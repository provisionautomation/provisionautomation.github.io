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L:\02 - Bridge\04. THIRD OFFICER ADMIN\99.OTHER\D\New folder\Provision_Automation_Free_Website\downloads\"/>
    </mc:Choice>
  </mc:AlternateContent>
  <bookViews>
    <workbookView xWindow="-120" yWindow="-120" windowWidth="29040" windowHeight="15720" tabRatio="690" activeTab="1"/>
  </bookViews>
  <sheets>
    <sheet name="START HERE" sheetId="1" r:id="rId1"/>
    <sheet name="CONTROL" sheetId="17" r:id="rId2"/>
    <sheet name="Stock Report" sheetId="6" r:id="rId3"/>
    <sheet name="ITEM MASTER" sheetId="7" state="veryHidden" r:id="rId4"/>
    <sheet name="PREVIOUS CLOSING" sheetId="8" state="veryHidden" r:id="rId5"/>
    <sheet name="DELIVERY LOG" sheetId="9" state="veryHidden" r:id="rId6"/>
    <sheet name="PHYSICAL COUNT" sheetId="10" r:id="rId7"/>
    <sheet name="DELIVERY SUMMARY" sheetId="11" r:id="rId8"/>
    <sheet name="MONTH END CALC" sheetId="12" r:id="rId9"/>
    <sheet name="ADDITIONAL ITEMS" sheetId="13" state="veryHidden" r:id="rId10"/>
    <sheet name="PARTIES" sheetId="14" r:id="rId11"/>
    <sheet name="CURRENCY RATES" sheetId="15" r:id="rId12"/>
    <sheet name="LICENSE" sheetId="18" state="veryHidden" r:id="rId13"/>
    <sheet name="ROB PRINT" sheetId="16" state="veryHidden" r:id="rId14"/>
  </sheets>
  <functionGroups builtInGroupCount="18"/>
  <definedNames>
    <definedName name="_xlnm._FilterDatabase" localSheetId="2" hidden="1">'Stock Report'!$A$14:$AA$14</definedName>
    <definedName name="_xlnm.Print_Area" localSheetId="13">'ROB PRINT'!$A$1:$J$405</definedName>
    <definedName name="_xlnm.Print_Titles" localSheetId="13">'ROB PRINT'!$1:$4</definedName>
  </definedNames>
  <calcPr calcId="162913" forceFullCalc="1"/>
  <fileRecoveryPr repairLoad="1"/>
</workbook>
</file>

<file path=xl/calcChain.xml><?xml version="1.0" encoding="utf-8"?>
<calcChain xmlns="http://schemas.openxmlformats.org/spreadsheetml/2006/main">
  <c r="Z494" i="6" l="1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I405" i="10"/>
  <c r="I404" i="10"/>
  <c r="I403" i="10"/>
  <c r="I402" i="10"/>
  <c r="I401" i="10"/>
  <c r="I400" i="10"/>
  <c r="I399" i="10"/>
  <c r="I398" i="10"/>
  <c r="I397" i="10"/>
  <c r="I396" i="10"/>
  <c r="I395" i="10"/>
  <c r="I394" i="10"/>
  <c r="I393" i="10"/>
  <c r="I392" i="10"/>
  <c r="I391" i="10"/>
  <c r="I390" i="10"/>
  <c r="I389" i="10"/>
  <c r="I388" i="10"/>
  <c r="I387" i="10"/>
  <c r="I386" i="10"/>
  <c r="I385" i="10"/>
  <c r="I384" i="10"/>
  <c r="I383" i="10"/>
  <c r="I382" i="10"/>
  <c r="I381" i="10"/>
  <c r="I380" i="10"/>
  <c r="I379" i="10"/>
  <c r="I378" i="10"/>
  <c r="I377" i="10"/>
  <c r="I376" i="10"/>
  <c r="I375" i="10"/>
  <c r="I374" i="10"/>
  <c r="I373" i="10"/>
  <c r="I372" i="10"/>
  <c r="I371" i="10"/>
  <c r="I370" i="10"/>
  <c r="I369" i="10"/>
  <c r="I368" i="10"/>
  <c r="I367" i="10"/>
  <c r="I366" i="10"/>
  <c r="I365" i="10"/>
  <c r="I364" i="10"/>
  <c r="I363" i="10"/>
  <c r="I362" i="10"/>
  <c r="I361" i="10"/>
  <c r="I360" i="10"/>
  <c r="I359" i="10"/>
  <c r="I358" i="10"/>
  <c r="I357" i="10"/>
  <c r="I356" i="10"/>
  <c r="I355" i="10"/>
  <c r="I354" i="10"/>
  <c r="I353" i="10"/>
  <c r="I352" i="10"/>
  <c r="I351" i="10"/>
  <c r="I350" i="10"/>
  <c r="I349" i="10"/>
  <c r="I348" i="10"/>
  <c r="I347" i="10"/>
  <c r="I346" i="10"/>
  <c r="I345" i="10"/>
  <c r="I344" i="10"/>
  <c r="I343" i="10"/>
  <c r="I342" i="10"/>
  <c r="I341" i="10"/>
  <c r="I340" i="10"/>
  <c r="I339" i="10"/>
  <c r="I338" i="10"/>
  <c r="I337" i="10"/>
  <c r="I336" i="10"/>
  <c r="I335" i="10"/>
  <c r="I334" i="10"/>
  <c r="I333" i="10"/>
  <c r="I332" i="10"/>
  <c r="I331" i="10"/>
  <c r="I330" i="10"/>
  <c r="I329" i="10"/>
  <c r="I328" i="10"/>
  <c r="I327" i="10"/>
  <c r="I326" i="10"/>
  <c r="I325" i="10"/>
  <c r="I324" i="10"/>
  <c r="I323" i="10"/>
  <c r="I322" i="10"/>
  <c r="I321" i="10"/>
  <c r="I320" i="10"/>
  <c r="I319" i="10"/>
  <c r="I318" i="10"/>
  <c r="I317" i="10"/>
  <c r="I316" i="10"/>
  <c r="I315" i="10"/>
  <c r="I314" i="10"/>
  <c r="I313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8" i="17" l="1"/>
  <c r="I9" i="17"/>
  <c r="I7" i="17"/>
  <c r="I6" i="17"/>
  <c r="I5" i="17"/>
  <c r="I4" i="17"/>
  <c r="B5" i="6" l="1"/>
  <c r="AA4" i="6"/>
  <c r="B4" i="6"/>
  <c r="J15" i="12" l="1"/>
  <c r="I15" i="12"/>
  <c r="J28" i="12"/>
  <c r="J33" i="12"/>
  <c r="J90" i="12"/>
  <c r="I90" i="12"/>
  <c r="J113" i="12"/>
  <c r="J142" i="12"/>
  <c r="J342" i="12"/>
  <c r="J20" i="12"/>
  <c r="I20" i="12"/>
  <c r="J68" i="12"/>
  <c r="J80" i="12"/>
  <c r="J102" i="12"/>
  <c r="I102" i="12"/>
  <c r="J119" i="12"/>
  <c r="J168" i="12"/>
  <c r="J175" i="12"/>
  <c r="J201" i="12"/>
  <c r="I201" i="12"/>
  <c r="J240" i="12"/>
  <c r="I240" i="12"/>
  <c r="J253" i="12"/>
  <c r="I253" i="12"/>
  <c r="J283" i="12"/>
  <c r="J377" i="12"/>
  <c r="I24" i="12"/>
  <c r="J24" i="12"/>
  <c r="J107" i="12"/>
  <c r="J125" i="12"/>
  <c r="J184" i="12"/>
  <c r="J202" i="12"/>
  <c r="J211" i="12"/>
  <c r="I211" i="12"/>
  <c r="J262" i="12"/>
  <c r="J319" i="12"/>
  <c r="I319" i="12"/>
  <c r="J367" i="12"/>
  <c r="J402" i="12"/>
  <c r="I402" i="12"/>
  <c r="J452" i="12"/>
  <c r="I452" i="12"/>
  <c r="J38" i="12"/>
  <c r="J63" i="12"/>
  <c r="J74" i="12"/>
  <c r="I74" i="12"/>
  <c r="J193" i="12"/>
  <c r="J220" i="12"/>
  <c r="I220" i="12"/>
  <c r="J295" i="12"/>
  <c r="I295" i="12"/>
  <c r="J369" i="12"/>
  <c r="J466" i="12"/>
  <c r="I466" i="12"/>
  <c r="J34" i="12"/>
  <c r="I34" i="12"/>
  <c r="J85" i="12"/>
  <c r="I85" i="12"/>
  <c r="J97" i="12"/>
  <c r="J132" i="12"/>
  <c r="I132" i="12"/>
  <c r="J276" i="12"/>
  <c r="J333" i="12"/>
  <c r="I333" i="12"/>
  <c r="J381" i="12"/>
  <c r="J416" i="12"/>
  <c r="I416" i="12"/>
  <c r="J427" i="12"/>
  <c r="I427" i="12"/>
  <c r="J481" i="12"/>
  <c r="I481" i="12"/>
  <c r="J8" i="12"/>
  <c r="J53" i="12"/>
  <c r="J75" i="12"/>
  <c r="I75" i="12"/>
  <c r="J109" i="12"/>
  <c r="J138" i="12"/>
  <c r="I138" i="12"/>
  <c r="J232" i="12"/>
  <c r="J243" i="12"/>
  <c r="J264" i="12"/>
  <c r="J309" i="12"/>
  <c r="J344" i="12"/>
  <c r="I344" i="12"/>
  <c r="J394" i="12"/>
  <c r="I394" i="12"/>
  <c r="J441" i="12"/>
  <c r="I441" i="12"/>
  <c r="J12" i="12"/>
  <c r="I12" i="12"/>
  <c r="J59" i="12"/>
  <c r="I59" i="12"/>
  <c r="J64" i="12"/>
  <c r="I64" i="12"/>
  <c r="J156" i="12"/>
  <c r="J163" i="12"/>
  <c r="I163" i="12"/>
  <c r="J212" i="12"/>
  <c r="J299" i="12"/>
  <c r="J17" i="12"/>
  <c r="J25" i="12"/>
  <c r="I25" i="12"/>
  <c r="J44" i="12"/>
  <c r="I44" i="12"/>
  <c r="J49" i="12"/>
  <c r="J69" i="12"/>
  <c r="J103" i="12"/>
  <c r="I103" i="12"/>
  <c r="J120" i="12"/>
  <c r="I120" i="12"/>
  <c r="J150" i="12"/>
  <c r="I150" i="12"/>
  <c r="J204" i="12"/>
  <c r="I204" i="12"/>
  <c r="J223" i="12"/>
  <c r="J358" i="12"/>
  <c r="I358" i="12"/>
  <c r="J21" i="12"/>
  <c r="I21" i="12"/>
  <c r="I30" i="12"/>
  <c r="J30" i="12"/>
  <c r="J81" i="12"/>
  <c r="I81" i="12"/>
  <c r="J115" i="12"/>
  <c r="J145" i="12"/>
  <c r="I145" i="12"/>
  <c r="J334" i="12"/>
  <c r="J455" i="12"/>
  <c r="I455" i="12"/>
  <c r="B6" i="6"/>
  <c r="J26" i="12"/>
  <c r="J55" i="12"/>
  <c r="I55" i="12"/>
  <c r="J93" i="12"/>
  <c r="I93" i="12"/>
  <c r="J122" i="12"/>
  <c r="I122" i="12"/>
  <c r="I197" i="12"/>
  <c r="J197" i="12"/>
  <c r="J205" i="12"/>
  <c r="J324" i="12"/>
  <c r="I324" i="12"/>
  <c r="J370" i="12"/>
  <c r="J470" i="12"/>
  <c r="I470" i="12"/>
  <c r="F4" i="14"/>
  <c r="J105" i="12"/>
  <c r="J128" i="12"/>
  <c r="J187" i="12"/>
  <c r="I187" i="12"/>
  <c r="J225" i="12"/>
  <c r="I225" i="12"/>
  <c r="J256" i="12"/>
  <c r="J300" i="12"/>
  <c r="J5" i="12"/>
  <c r="B9" i="6"/>
  <c r="J35" i="12"/>
  <c r="I35" i="12"/>
  <c r="J110" i="12"/>
  <c r="J133" i="12"/>
  <c r="I133" i="12"/>
  <c r="J216" i="12"/>
  <c r="J278" i="12"/>
  <c r="I278" i="12"/>
  <c r="J384" i="12"/>
  <c r="I384" i="12"/>
  <c r="J419" i="12"/>
  <c r="I419" i="12"/>
  <c r="J9" i="12"/>
  <c r="J31" i="12"/>
  <c r="J65" i="12"/>
  <c r="J77" i="12"/>
  <c r="J99" i="12"/>
  <c r="I99" i="12"/>
  <c r="J180" i="12"/>
  <c r="I180" i="12"/>
  <c r="J226" i="12"/>
  <c r="J237" i="12"/>
  <c r="J301" i="12"/>
  <c r="I301" i="12"/>
  <c r="J314" i="12"/>
  <c r="I314" i="12"/>
  <c r="J360" i="12"/>
  <c r="I360" i="12"/>
  <c r="J446" i="12"/>
  <c r="I446" i="12"/>
  <c r="J14" i="12"/>
  <c r="I14" i="12"/>
  <c r="J22" i="12"/>
  <c r="J88" i="12"/>
  <c r="J116" i="12"/>
  <c r="I116" i="12"/>
  <c r="J159" i="12"/>
  <c r="I159" i="12"/>
  <c r="J291" i="12"/>
  <c r="I291" i="12"/>
  <c r="J461" i="12"/>
  <c r="I461" i="12"/>
  <c r="J18" i="12"/>
  <c r="J117" i="12"/>
  <c r="I117" i="12"/>
  <c r="J153" i="12"/>
  <c r="I153" i="12"/>
  <c r="J174" i="12"/>
  <c r="J198" i="12"/>
  <c r="J207" i="12"/>
  <c r="I207" i="12"/>
  <c r="J260" i="12"/>
  <c r="I260" i="12"/>
  <c r="J315" i="12"/>
  <c r="I315" i="12"/>
  <c r="J409" i="12"/>
  <c r="I409" i="12"/>
  <c r="J23" i="12"/>
  <c r="J41" i="12"/>
  <c r="I41" i="12"/>
  <c r="J67" i="12"/>
  <c r="J94" i="12"/>
  <c r="J123" i="12"/>
  <c r="J248" i="12"/>
  <c r="J37" i="12"/>
  <c r="J46" i="12"/>
  <c r="J61" i="12"/>
  <c r="J72" i="12"/>
  <c r="J106" i="12"/>
  <c r="I106" i="12"/>
  <c r="J118" i="12"/>
  <c r="J129" i="12"/>
  <c r="I191" i="12"/>
  <c r="J191" i="12"/>
  <c r="I282" i="12"/>
  <c r="J282" i="12"/>
  <c r="J327" i="12"/>
  <c r="I327" i="12"/>
  <c r="I84" i="12"/>
  <c r="J84" i="12"/>
  <c r="J270" i="12"/>
  <c r="I270" i="12"/>
  <c r="J303" i="12"/>
  <c r="I303" i="12"/>
  <c r="J376" i="12"/>
  <c r="J6" i="12"/>
  <c r="I6" i="12"/>
  <c r="J52" i="12"/>
  <c r="J306" i="12"/>
  <c r="J341" i="12"/>
  <c r="I341" i="12"/>
  <c r="J426" i="12"/>
  <c r="I426" i="12"/>
  <c r="J11" i="12"/>
  <c r="J101" i="12"/>
  <c r="I101" i="12"/>
  <c r="J136" i="12"/>
  <c r="I136" i="12"/>
  <c r="J160" i="12"/>
  <c r="I160" i="12"/>
  <c r="J231" i="12"/>
  <c r="I231" i="12"/>
  <c r="J352" i="12"/>
  <c r="I352" i="12"/>
  <c r="J390" i="12"/>
  <c r="I390" i="12"/>
  <c r="J166" i="12"/>
  <c r="I166" i="12"/>
  <c r="J194" i="12"/>
  <c r="J320" i="12"/>
  <c r="I320" i="12"/>
  <c r="J362" i="12"/>
  <c r="J395" i="12"/>
  <c r="I395" i="12"/>
  <c r="J32" i="12"/>
  <c r="I32" i="12"/>
  <c r="J50" i="12"/>
  <c r="I50" i="12"/>
  <c r="J78" i="12"/>
  <c r="I78" i="12"/>
  <c r="J112" i="12"/>
  <c r="J147" i="12"/>
  <c r="J183" i="12"/>
  <c r="J188" i="12"/>
  <c r="J213" i="12"/>
  <c r="I213" i="12"/>
  <c r="J379" i="12"/>
  <c r="J404" i="12"/>
  <c r="I404" i="12"/>
  <c r="J447" i="12"/>
  <c r="I447" i="12"/>
  <c r="J43" i="12"/>
  <c r="I43" i="12"/>
  <c r="J58" i="12"/>
  <c r="J83" i="12"/>
  <c r="I83" i="12"/>
  <c r="J162" i="12"/>
  <c r="I215" i="12"/>
  <c r="J215" i="12"/>
  <c r="J228" i="12"/>
  <c r="I228" i="12"/>
  <c r="J313" i="12"/>
  <c r="I313" i="12"/>
  <c r="J346" i="12"/>
  <c r="J413" i="12"/>
  <c r="I413" i="12"/>
  <c r="J476" i="12"/>
  <c r="I476" i="12"/>
  <c r="J16" i="12"/>
  <c r="I87" i="12"/>
  <c r="J87" i="12"/>
  <c r="J148" i="12"/>
  <c r="I289" i="12"/>
  <c r="J289" i="12"/>
  <c r="J338" i="12"/>
  <c r="I407" i="12"/>
  <c r="J407" i="12"/>
  <c r="I13" i="12"/>
  <c r="J13" i="12"/>
  <c r="J29" i="12"/>
  <c r="J62" i="12"/>
  <c r="I62" i="12"/>
  <c r="J135" i="12"/>
  <c r="I139" i="12"/>
  <c r="J139" i="12"/>
  <c r="J157" i="12"/>
  <c r="I157" i="12"/>
  <c r="J251" i="12"/>
  <c r="I251" i="12"/>
  <c r="J266" i="12"/>
  <c r="J273" i="12"/>
  <c r="J347" i="12"/>
  <c r="I347" i="12"/>
  <c r="J422" i="12"/>
  <c r="I422" i="12"/>
  <c r="I432" i="12"/>
  <c r="J432" i="12"/>
  <c r="J10" i="12"/>
  <c r="J40" i="12"/>
  <c r="J47" i="12"/>
  <c r="I47" i="12"/>
  <c r="J66" i="12"/>
  <c r="I66" i="12"/>
  <c r="I96" i="12"/>
  <c r="J96" i="12"/>
  <c r="J100" i="12"/>
  <c r="I100" i="12"/>
  <c r="J104" i="12"/>
  <c r="J126" i="12"/>
  <c r="I126" i="12"/>
  <c r="J130" i="12"/>
  <c r="I130" i="12"/>
  <c r="J172" i="12"/>
  <c r="I172" i="12"/>
  <c r="J178" i="12"/>
  <c r="J208" i="12"/>
  <c r="I208" i="12"/>
  <c r="J244" i="12"/>
  <c r="I244" i="12"/>
  <c r="J296" i="12"/>
  <c r="J356" i="12"/>
  <c r="I356" i="12"/>
  <c r="J372" i="12"/>
  <c r="J459" i="12"/>
  <c r="I459" i="12"/>
  <c r="J467" i="12"/>
  <c r="I467" i="12"/>
  <c r="J7" i="12"/>
  <c r="I7" i="12"/>
  <c r="J27" i="12"/>
  <c r="J39" i="12"/>
  <c r="I39" i="12"/>
  <c r="J42" i="12"/>
  <c r="I42" i="12"/>
  <c r="J45" i="12"/>
  <c r="I45" i="12"/>
  <c r="J48" i="12"/>
  <c r="J51" i="12"/>
  <c r="I51" i="12"/>
  <c r="J54" i="12"/>
  <c r="I54" i="12"/>
  <c r="J57" i="12"/>
  <c r="J60" i="12"/>
  <c r="I60" i="12"/>
  <c r="J82" i="12"/>
  <c r="J98" i="12"/>
  <c r="J127" i="12"/>
  <c r="J154" i="12"/>
  <c r="I154" i="12"/>
  <c r="J219" i="12"/>
  <c r="J257" i="12"/>
  <c r="I257" i="12"/>
  <c r="J279" i="12"/>
  <c r="J323" i="12"/>
  <c r="I323" i="12"/>
  <c r="J398" i="12"/>
  <c r="I398" i="12"/>
  <c r="J429" i="12"/>
  <c r="I429" i="12"/>
  <c r="J79" i="12"/>
  <c r="I79" i="12"/>
  <c r="J95" i="12"/>
  <c r="I95" i="12"/>
  <c r="J114" i="12"/>
  <c r="J144" i="12"/>
  <c r="J177" i="12"/>
  <c r="I177" i="12"/>
  <c r="J190" i="12"/>
  <c r="I190" i="12"/>
  <c r="J214" i="12"/>
  <c r="I214" i="12"/>
  <c r="J235" i="12"/>
  <c r="I235" i="12"/>
  <c r="J269" i="12"/>
  <c r="J317" i="12"/>
  <c r="J361" i="12"/>
  <c r="I361" i="12"/>
  <c r="I423" i="12"/>
  <c r="J423" i="12"/>
  <c r="J430" i="12"/>
  <c r="I430" i="12"/>
  <c r="J436" i="12"/>
  <c r="I436" i="12"/>
  <c r="J450" i="12"/>
  <c r="I450" i="12"/>
  <c r="J76" i="12"/>
  <c r="I92" i="12"/>
  <c r="J92" i="12"/>
  <c r="J124" i="12"/>
  <c r="J165" i="12"/>
  <c r="I181" i="12"/>
  <c r="J181" i="12"/>
  <c r="I186" i="12"/>
  <c r="J186" i="12"/>
  <c r="J200" i="12"/>
  <c r="I200" i="12"/>
  <c r="J247" i="12"/>
  <c r="I281" i="12"/>
  <c r="J281" i="12"/>
  <c r="J355" i="12"/>
  <c r="I380" i="12"/>
  <c r="J380" i="12"/>
  <c r="I386" i="12"/>
  <c r="J386" i="12"/>
  <c r="I393" i="12"/>
  <c r="J393" i="12"/>
  <c r="J443" i="12"/>
  <c r="I443" i="12"/>
  <c r="J73" i="12"/>
  <c r="I89" i="12"/>
  <c r="J89" i="12"/>
  <c r="I141" i="12"/>
  <c r="J141" i="12"/>
  <c r="J169" i="12"/>
  <c r="I169" i="12"/>
  <c r="J195" i="12"/>
  <c r="J310" i="12"/>
  <c r="J374" i="12"/>
  <c r="I418" i="12"/>
  <c r="J418" i="12"/>
  <c r="I480" i="12"/>
  <c r="J480" i="12"/>
  <c r="B7" i="6"/>
  <c r="J19" i="12"/>
  <c r="I19" i="12"/>
  <c r="J70" i="12"/>
  <c r="I70" i="12"/>
  <c r="J86" i="12"/>
  <c r="J108" i="12"/>
  <c r="J121" i="12"/>
  <c r="I121" i="12"/>
  <c r="J241" i="12"/>
  <c r="I241" i="12"/>
  <c r="J275" i="12"/>
  <c r="J292" i="12"/>
  <c r="I292" i="12"/>
  <c r="J337" i="12"/>
  <c r="I337" i="12"/>
  <c r="J412" i="12"/>
  <c r="I412" i="12"/>
  <c r="I437" i="12"/>
  <c r="J437" i="12"/>
  <c r="J477" i="12"/>
  <c r="I477" i="12"/>
  <c r="J185" i="12"/>
  <c r="J192" i="12"/>
  <c r="I192" i="12"/>
  <c r="J206" i="12"/>
  <c r="J246" i="12"/>
  <c r="J250" i="12"/>
  <c r="J254" i="12"/>
  <c r="I254" i="12"/>
  <c r="J284" i="12"/>
  <c r="I284" i="12"/>
  <c r="J330" i="12"/>
  <c r="I330" i="12"/>
  <c r="J340" i="12"/>
  <c r="I340" i="12"/>
  <c r="J363" i="12"/>
  <c r="I363" i="12"/>
  <c r="J382" i="12"/>
  <c r="J415" i="12"/>
  <c r="I415" i="12"/>
  <c r="J453" i="12"/>
  <c r="I453" i="12"/>
  <c r="J458" i="12"/>
  <c r="I458" i="12"/>
  <c r="J199" i="12"/>
  <c r="J217" i="12"/>
  <c r="J316" i="12"/>
  <c r="J326" i="12"/>
  <c r="I326" i="12"/>
  <c r="J401" i="12"/>
  <c r="I401" i="12"/>
  <c r="J434" i="12"/>
  <c r="I434" i="12"/>
  <c r="J463" i="12"/>
  <c r="I463" i="12"/>
  <c r="J473" i="12"/>
  <c r="I473" i="12"/>
  <c r="J210" i="12"/>
  <c r="J259" i="12"/>
  <c r="I263" i="12"/>
  <c r="J263" i="12"/>
  <c r="J302" i="12"/>
  <c r="I349" i="12"/>
  <c r="J349" i="12"/>
  <c r="I387" i="12"/>
  <c r="J387" i="12"/>
  <c r="I397" i="12"/>
  <c r="J397" i="12"/>
  <c r="J420" i="12"/>
  <c r="I420" i="12"/>
  <c r="J439" i="12"/>
  <c r="I439" i="12"/>
  <c r="I454" i="12"/>
  <c r="J454" i="12"/>
  <c r="J478" i="12"/>
  <c r="I478" i="12"/>
  <c r="J203" i="12"/>
  <c r="J267" i="12"/>
  <c r="I267" i="12"/>
  <c r="I312" i="12"/>
  <c r="J312" i="12"/>
  <c r="J335" i="12"/>
  <c r="I335" i="12"/>
  <c r="I373" i="12"/>
  <c r="J373" i="12"/>
  <c r="I383" i="12"/>
  <c r="J383" i="12"/>
  <c r="I469" i="12"/>
  <c r="J469" i="12"/>
  <c r="J36" i="12"/>
  <c r="I36" i="12"/>
  <c r="J56" i="12"/>
  <c r="J134" i="12"/>
  <c r="J137" i="12"/>
  <c r="I137" i="12"/>
  <c r="J140" i="12"/>
  <c r="I140" i="12"/>
  <c r="J143" i="12"/>
  <c r="I143" i="12"/>
  <c r="J146" i="12"/>
  <c r="I146" i="12"/>
  <c r="J149" i="12"/>
  <c r="I149" i="12"/>
  <c r="J152" i="12"/>
  <c r="J155" i="12"/>
  <c r="J158" i="12"/>
  <c r="J161" i="12"/>
  <c r="I161" i="12"/>
  <c r="J164" i="12"/>
  <c r="I164" i="12"/>
  <c r="J167" i="12"/>
  <c r="J170" i="12"/>
  <c r="I170" i="12"/>
  <c r="J173" i="12"/>
  <c r="I173" i="12"/>
  <c r="J176" i="12"/>
  <c r="I176" i="12"/>
  <c r="J179" i="12"/>
  <c r="J196" i="12"/>
  <c r="I196" i="12"/>
  <c r="J222" i="12"/>
  <c r="I222" i="12"/>
  <c r="J234" i="12"/>
  <c r="I234" i="12"/>
  <c r="J238" i="12"/>
  <c r="I238" i="12"/>
  <c r="J272" i="12"/>
  <c r="J280" i="12"/>
  <c r="J293" i="12"/>
  <c r="J298" i="12"/>
  <c r="I298" i="12"/>
  <c r="J321" i="12"/>
  <c r="J406" i="12"/>
  <c r="I406" i="12"/>
  <c r="I444" i="12"/>
  <c r="J444" i="12"/>
  <c r="J474" i="12"/>
  <c r="I474" i="12"/>
  <c r="J242" i="12"/>
  <c r="J261" i="12"/>
  <c r="I261" i="12"/>
  <c r="J277" i="12"/>
  <c r="I277" i="12"/>
  <c r="J307" i="12"/>
  <c r="J353" i="12"/>
  <c r="I353" i="12"/>
  <c r="J392" i="12"/>
  <c r="I392" i="12"/>
  <c r="J417" i="12"/>
  <c r="I417" i="12"/>
  <c r="J438" i="12"/>
  <c r="I438" i="12"/>
  <c r="J460" i="12"/>
  <c r="I460" i="12"/>
  <c r="J182" i="12"/>
  <c r="I182" i="12"/>
  <c r="J239" i="12"/>
  <c r="J258" i="12"/>
  <c r="J274" i="12"/>
  <c r="J290" i="12"/>
  <c r="J332" i="12"/>
  <c r="J339" i="12"/>
  <c r="I339" i="12"/>
  <c r="J357" i="12"/>
  <c r="J378" i="12"/>
  <c r="I378" i="12"/>
  <c r="J399" i="12"/>
  <c r="I399" i="12"/>
  <c r="J424" i="12"/>
  <c r="I424" i="12"/>
  <c r="J456" i="12"/>
  <c r="I456" i="12"/>
  <c r="J218" i="12"/>
  <c r="I221" i="12"/>
  <c r="J221" i="12"/>
  <c r="J224" i="12"/>
  <c r="J227" i="12"/>
  <c r="I230" i="12"/>
  <c r="J230" i="12"/>
  <c r="J233" i="12"/>
  <c r="J236" i="12"/>
  <c r="I236" i="12"/>
  <c r="I255" i="12"/>
  <c r="J255" i="12"/>
  <c r="I271" i="12"/>
  <c r="J271" i="12"/>
  <c r="J297" i="12"/>
  <c r="J318" i="12"/>
  <c r="J343" i="12"/>
  <c r="J364" i="12"/>
  <c r="I410" i="12"/>
  <c r="J410" i="12"/>
  <c r="I449" i="12"/>
  <c r="J449" i="12"/>
  <c r="I252" i="12"/>
  <c r="J252" i="12"/>
  <c r="I268" i="12"/>
  <c r="J268" i="12"/>
  <c r="J287" i="12"/>
  <c r="J304" i="12"/>
  <c r="J350" i="12"/>
  <c r="J389" i="12"/>
  <c r="I389" i="12"/>
  <c r="I414" i="12"/>
  <c r="J414" i="12"/>
  <c r="I435" i="12"/>
  <c r="J435" i="12"/>
  <c r="I464" i="12"/>
  <c r="J464" i="12"/>
  <c r="J479" i="12"/>
  <c r="I479" i="12"/>
  <c r="J71" i="12"/>
  <c r="I71" i="12"/>
  <c r="I91" i="12"/>
  <c r="J91" i="12"/>
  <c r="I111" i="12"/>
  <c r="J111" i="12"/>
  <c r="I131" i="12"/>
  <c r="J131" i="12"/>
  <c r="J151" i="12"/>
  <c r="I151" i="12"/>
  <c r="J171" i="12"/>
  <c r="I171" i="12"/>
  <c r="J249" i="12"/>
  <c r="J294" i="12"/>
  <c r="I294" i="12"/>
  <c r="J336" i="12"/>
  <c r="I336" i="12"/>
  <c r="J354" i="12"/>
  <c r="J375" i="12"/>
  <c r="I375" i="12"/>
  <c r="J400" i="12"/>
  <c r="I400" i="12"/>
  <c r="J421" i="12"/>
  <c r="I421" i="12"/>
  <c r="J442" i="12"/>
  <c r="I442" i="12"/>
  <c r="I457" i="12"/>
  <c r="J457" i="12"/>
  <c r="I472" i="12"/>
  <c r="J472" i="12"/>
  <c r="J189" i="12"/>
  <c r="J209" i="12"/>
  <c r="I209" i="12"/>
  <c r="J229" i="12"/>
  <c r="J286" i="12"/>
  <c r="J322" i="12"/>
  <c r="J329" i="12"/>
  <c r="J359" i="12"/>
  <c r="I359" i="12"/>
  <c r="J366" i="12"/>
  <c r="J396" i="12"/>
  <c r="I396" i="12"/>
  <c r="J403" i="12"/>
  <c r="I403" i="12"/>
  <c r="J433" i="12"/>
  <c r="I433" i="12"/>
  <c r="J440" i="12"/>
  <c r="I440" i="12"/>
  <c r="J475" i="12"/>
  <c r="I475" i="12"/>
  <c r="J462" i="12"/>
  <c r="I462" i="12"/>
  <c r="J482" i="12"/>
  <c r="I482" i="12"/>
  <c r="J245" i="12"/>
  <c r="I245" i="12"/>
  <c r="J265" i="12"/>
  <c r="I265" i="12"/>
  <c r="I285" i="12"/>
  <c r="J285" i="12"/>
  <c r="I305" i="12"/>
  <c r="J305" i="12"/>
  <c r="J325" i="12"/>
  <c r="I345" i="12"/>
  <c r="J345" i="12"/>
  <c r="J365" i="12"/>
  <c r="I385" i="12"/>
  <c r="J385" i="12"/>
  <c r="I405" i="12"/>
  <c r="J405" i="12"/>
  <c r="I425" i="12"/>
  <c r="J425" i="12"/>
  <c r="I445" i="12"/>
  <c r="J445" i="12"/>
  <c r="I465" i="12"/>
  <c r="J465" i="12"/>
  <c r="J288" i="12"/>
  <c r="I288" i="12"/>
  <c r="I308" i="12"/>
  <c r="J308" i="12"/>
  <c r="I328" i="12"/>
  <c r="J328" i="12"/>
  <c r="J348" i="12"/>
  <c r="I368" i="12"/>
  <c r="J368" i="12"/>
  <c r="I388" i="12"/>
  <c r="J388" i="12"/>
  <c r="I408" i="12"/>
  <c r="J408" i="12"/>
  <c r="I428" i="12"/>
  <c r="J428" i="12"/>
  <c r="I448" i="12"/>
  <c r="J448" i="12"/>
  <c r="I468" i="12"/>
  <c r="J468" i="12"/>
  <c r="J311" i="12"/>
  <c r="J331" i="12"/>
  <c r="J351" i="12"/>
  <c r="J371" i="12"/>
  <c r="J391" i="12"/>
  <c r="I391" i="12"/>
  <c r="J411" i="12"/>
  <c r="I411" i="12"/>
  <c r="J431" i="12"/>
  <c r="I431" i="12"/>
  <c r="J451" i="12"/>
  <c r="I451" i="12"/>
  <c r="J471" i="12"/>
  <c r="I471" i="12"/>
  <c r="I94" i="12" l="1"/>
  <c r="I210" i="12"/>
  <c r="I57" i="12"/>
  <c r="I273" i="12"/>
  <c r="I147" i="12"/>
  <c r="I194" i="12"/>
  <c r="I23" i="12"/>
  <c r="I105" i="12"/>
  <c r="I205" i="12"/>
  <c r="I115" i="12"/>
  <c r="I223" i="12"/>
  <c r="I156" i="12"/>
  <c r="I371" i="12"/>
  <c r="I189" i="12"/>
  <c r="I242" i="12"/>
  <c r="I293" i="12"/>
  <c r="I134" i="12"/>
  <c r="I382" i="12"/>
  <c r="I310" i="12"/>
  <c r="I114" i="12"/>
  <c r="I300" i="12"/>
  <c r="B8" i="6"/>
  <c r="I309" i="12"/>
  <c r="I193" i="12"/>
  <c r="I377" i="12"/>
  <c r="I286" i="12"/>
  <c r="I275" i="12"/>
  <c r="I269" i="12"/>
  <c r="I9" i="12"/>
  <c r="I142" i="12"/>
  <c r="I249" i="12"/>
  <c r="I218" i="12"/>
  <c r="I332" i="12"/>
  <c r="I158" i="12"/>
  <c r="I316" i="12"/>
  <c r="I165" i="12"/>
  <c r="I16" i="12"/>
  <c r="I248" i="12"/>
  <c r="I22" i="12"/>
  <c r="I226" i="12"/>
  <c r="I110" i="12"/>
  <c r="I53" i="12"/>
  <c r="I276" i="12"/>
  <c r="I367" i="12"/>
  <c r="I283" i="12"/>
  <c r="I366" i="12"/>
  <c r="I302" i="12"/>
  <c r="I86" i="12"/>
  <c r="I104" i="12"/>
  <c r="I338" i="12"/>
  <c r="I379" i="12"/>
  <c r="I52" i="12"/>
  <c r="I72" i="12"/>
  <c r="I329" i="12"/>
  <c r="I56" i="12"/>
  <c r="I250" i="12"/>
  <c r="I355" i="12"/>
  <c r="I266" i="12"/>
  <c r="I264" i="12"/>
  <c r="I125" i="12"/>
  <c r="I322" i="12"/>
  <c r="I364" i="12"/>
  <c r="I155" i="12"/>
  <c r="I127" i="12"/>
  <c r="I10" i="12"/>
  <c r="I58" i="12"/>
  <c r="I256" i="12"/>
  <c r="I17" i="12"/>
  <c r="I113" i="12"/>
  <c r="I80" i="12"/>
  <c r="I325" i="12"/>
  <c r="I350" i="12"/>
  <c r="I179" i="12"/>
  <c r="I246" i="12"/>
  <c r="I48" i="12"/>
  <c r="I112" i="12"/>
  <c r="I46" i="12"/>
  <c r="F10" i="1"/>
  <c r="I243" i="12"/>
  <c r="I63" i="12"/>
  <c r="I354" i="12"/>
  <c r="I290" i="12"/>
  <c r="I272" i="12"/>
  <c r="I152" i="12"/>
  <c r="I195" i="12"/>
  <c r="I73" i="12"/>
  <c r="I279" i="12"/>
  <c r="I178" i="12"/>
  <c r="I29" i="12"/>
  <c r="I334" i="12"/>
  <c r="I8" i="12"/>
  <c r="I107" i="12"/>
  <c r="I304" i="12"/>
  <c r="I306" i="12"/>
  <c r="I61" i="12"/>
  <c r="I348" i="12"/>
  <c r="I307" i="12"/>
  <c r="I37" i="12"/>
  <c r="I68" i="12"/>
  <c r="I351" i="12"/>
  <c r="I362" i="12"/>
  <c r="I331" i="12"/>
  <c r="I343" i="12"/>
  <c r="I274" i="12"/>
  <c r="I206" i="12"/>
  <c r="I124" i="12"/>
  <c r="I98" i="12"/>
  <c r="I129" i="12"/>
  <c r="I18" i="12"/>
  <c r="I232" i="12"/>
  <c r="I38" i="12"/>
  <c r="I346" i="12"/>
  <c r="I280" i="12"/>
  <c r="I233" i="12"/>
  <c r="I259" i="12"/>
  <c r="I247" i="12"/>
  <c r="I123" i="12"/>
  <c r="I370" i="12"/>
  <c r="I369" i="12"/>
  <c r="I262" i="12"/>
  <c r="I318" i="12"/>
  <c r="I376" i="12"/>
  <c r="I299" i="12"/>
  <c r="I77" i="12"/>
  <c r="I175" i="12"/>
  <c r="I118" i="12"/>
  <c r="I311" i="12"/>
  <c r="I229" i="12"/>
  <c r="I258" i="12"/>
  <c r="I185" i="12"/>
  <c r="I82" i="12"/>
  <c r="I162" i="12"/>
  <c r="I188" i="12"/>
  <c r="I97" i="12"/>
  <c r="I202" i="12"/>
  <c r="I167" i="12"/>
  <c r="I203" i="12"/>
  <c r="I144" i="12"/>
  <c r="I148" i="12"/>
  <c r="I69" i="12"/>
  <c r="I342" i="12"/>
  <c r="I227" i="12"/>
  <c r="I321" i="12"/>
  <c r="I199" i="12"/>
  <c r="I219" i="12"/>
  <c r="I27" i="12"/>
  <c r="I183" i="12"/>
  <c r="I67" i="12"/>
  <c r="I198" i="12"/>
  <c r="I88" i="12"/>
  <c r="I65" i="12"/>
  <c r="I5" i="12"/>
  <c r="B10" i="6"/>
  <c r="AA5" i="6" s="1"/>
  <c r="I26" i="12"/>
  <c r="I212" i="12"/>
  <c r="I109" i="12"/>
  <c r="I33" i="12"/>
  <c r="I287" i="12"/>
  <c r="I297" i="12"/>
  <c r="I374" i="12"/>
  <c r="I135" i="12"/>
  <c r="I216" i="12"/>
  <c r="I381" i="12"/>
  <c r="I184" i="12"/>
  <c r="I168" i="12"/>
  <c r="I365" i="12"/>
  <c r="I239" i="12"/>
  <c r="I108" i="12"/>
  <c r="I76" i="12"/>
  <c r="I317" i="12"/>
  <c r="I296" i="12"/>
  <c r="I128" i="12"/>
  <c r="I49" i="12"/>
  <c r="I28" i="12"/>
  <c r="I217" i="12"/>
  <c r="I372" i="12"/>
  <c r="I11" i="12"/>
  <c r="I224" i="12"/>
  <c r="I357" i="12"/>
  <c r="I40" i="12"/>
  <c r="I174" i="12"/>
  <c r="I237" i="12"/>
  <c r="I31" i="12"/>
  <c r="I119" i="12"/>
  <c r="F11" i="1" l="1"/>
  <c r="F12" i="1" s="1"/>
  <c r="F13" i="1" s="1"/>
</calcChain>
</file>

<file path=xl/sharedStrings.xml><?xml version="1.0" encoding="utf-8"?>
<sst xmlns="http://schemas.openxmlformats.org/spreadsheetml/2006/main" count="6626" uniqueCount="1049">
  <si>
    <t>PROVISION MONTH-END AUTOMATION</t>
  </si>
  <si>
    <t>Simple workflow for preparing the monthly provision stock report</t>
  </si>
  <si>
    <t>STEP</t>
  </si>
  <si>
    <t>WHAT TO DO</t>
  </si>
  <si>
    <t>DETAIL</t>
  </si>
  <si>
    <t>CONTROL</t>
  </si>
  <si>
    <t>1</t>
  </si>
  <si>
    <t>Set the month</t>
  </si>
  <si>
    <t>Enter the reporting month in CONTROL cells below.</t>
  </si>
  <si>
    <t>Reporting Month</t>
  </si>
  <si>
    <t>2</t>
  </si>
  <si>
    <t>Vessel</t>
  </si>
  <si>
    <t>3</t>
  </si>
  <si>
    <t>Set Meals / Review Party Costs</t>
  </si>
  <si>
    <t>Meals</t>
  </si>
  <si>
    <t>4</t>
  </si>
  <si>
    <t>Physical count</t>
  </si>
  <si>
    <t>Currency</t>
  </si>
  <si>
    <t>USD</t>
  </si>
  <si>
    <t>5</t>
  </si>
  <si>
    <t>Generate report</t>
  </si>
  <si>
    <t>Party Cost (USD)</t>
  </si>
  <si>
    <t>6</t>
  </si>
  <si>
    <t>Next month</t>
  </si>
  <si>
    <t>Net Consumption Cost (USD)</t>
  </si>
  <si>
    <t>Daily Rate (USD / Meal)</t>
  </si>
  <si>
    <t>Status</t>
  </si>
  <si>
    <t>Previous Report</t>
  </si>
  <si>
    <t>Provision Files</t>
  </si>
  <si>
    <t>Vessel:</t>
  </si>
  <si>
    <t>Month:</t>
  </si>
  <si>
    <t>Supplier</t>
  </si>
  <si>
    <t>BAYPORT - Cadiz (Head Office)</t>
  </si>
  <si>
    <t>1010170</t>
  </si>
  <si>
    <t>BEEF RUMP</t>
  </si>
  <si>
    <t>KG</t>
  </si>
  <si>
    <t>1030040</t>
  </si>
  <si>
    <t>LAMB LEG BONE IN</t>
  </si>
  <si>
    <t>2030387</t>
  </si>
  <si>
    <t>SALMON</t>
  </si>
  <si>
    <t>BAG (1 KG)</t>
  </si>
  <si>
    <t>2060243</t>
  </si>
  <si>
    <t>TUNA IN OIL</t>
  </si>
  <si>
    <t>TIN (120 GM)</t>
  </si>
  <si>
    <t>3020401</t>
  </si>
  <si>
    <t>CASHEW NUTS - RAW UNSALTED</t>
  </si>
  <si>
    <t>PACK (400 GM)</t>
  </si>
  <si>
    <t>JUICE ORANGE (100% PURE)</t>
  </si>
  <si>
    <t>1560146</t>
  </si>
  <si>
    <t>LUNCHEON MEAT, CHICKEN</t>
  </si>
  <si>
    <t>TIN (200 GM)</t>
  </si>
  <si>
    <t>1615607</t>
  </si>
  <si>
    <t>PORK LARD</t>
  </si>
  <si>
    <t>JAR (200 GM)</t>
  </si>
  <si>
    <t>2530313</t>
  </si>
  <si>
    <t>POTATO WEDGES</t>
  </si>
  <si>
    <t>3540150</t>
  </si>
  <si>
    <t>EGG NOODLES</t>
  </si>
  <si>
    <t>PACK (250 GM)</t>
  </si>
  <si>
    <t>4050470</t>
  </si>
  <si>
    <t>CHEESE PEPPER</t>
  </si>
  <si>
    <t>PACK (150 GM)</t>
  </si>
  <si>
    <t>5020070</t>
  </si>
  <si>
    <t>SAUCE MANGO CHUTNEY</t>
  </si>
  <si>
    <t>JAR (250 GM)</t>
  </si>
  <si>
    <t>50205931</t>
  </si>
  <si>
    <t>SAUCE SOY LIGHT</t>
  </si>
  <si>
    <t>BTL (700 ML)</t>
  </si>
  <si>
    <t>6020235</t>
  </si>
  <si>
    <t>SPREAD CHOCOLATE</t>
  </si>
  <si>
    <t>JAR (500 GM)</t>
  </si>
  <si>
    <t>MONTHLY STOCK REPORT</t>
  </si>
  <si>
    <t>AUTOMATED FROM DELIVERY LOG + PHYSICAL COUNT</t>
  </si>
  <si>
    <t>Consumption / Meal</t>
  </si>
  <si>
    <t>Begining Inventory :</t>
  </si>
  <si>
    <t>Purchases :</t>
  </si>
  <si>
    <t>Supplier/Chandler:</t>
  </si>
  <si>
    <t>On Boards :</t>
  </si>
  <si>
    <t>Invoice Number:</t>
  </si>
  <si>
    <t>AOG0827P0085</t>
  </si>
  <si>
    <t>AOG0813P0084</t>
  </si>
  <si>
    <t>Closing Inventory :</t>
  </si>
  <si>
    <t>Purchase Currency:</t>
  </si>
  <si>
    <t>EUR</t>
  </si>
  <si>
    <t>Consumption:</t>
  </si>
  <si>
    <t>Conversion Rate:</t>
  </si>
  <si>
    <t>BEGINING INVENTORY</t>
  </si>
  <si>
    <t>PURCHASES</t>
  </si>
  <si>
    <t>CASH PURCHASES</t>
  </si>
  <si>
    <t>ON BOARD TOTALS</t>
  </si>
  <si>
    <t>CLOSING INVENTORY</t>
  </si>
  <si>
    <t>CONSUMPTION</t>
  </si>
  <si>
    <t>PO #</t>
  </si>
  <si>
    <t>ITEM FAMILY</t>
  </si>
  <si>
    <t>V CODE</t>
  </si>
  <si>
    <t>ITEM NAME</t>
  </si>
  <si>
    <t>STOCKING UNIT</t>
  </si>
  <si>
    <t>QTY.</t>
  </si>
  <si>
    <t>UNIT COST</t>
  </si>
  <si>
    <t>TOTAL COST</t>
  </si>
  <si>
    <t>LOCAL CURRENCY</t>
  </si>
  <si>
    <t>ITEM MASTER</t>
  </si>
  <si>
    <t>Master list taken from the company Stock Report. OCL/V Code is the unique key.</t>
  </si>
  <si>
    <t>OCL/V CODE</t>
  </si>
  <si>
    <t>UNIT</t>
  </si>
  <si>
    <t>1010010</t>
  </si>
  <si>
    <t>BEEF BONES FOR SOUP</t>
  </si>
  <si>
    <t>FROZEN MEAT &amp; POULTRY- BEEF</t>
  </si>
  <si>
    <t>1010015</t>
  </si>
  <si>
    <t>BEEF BRISKET</t>
  </si>
  <si>
    <t>1010030</t>
  </si>
  <si>
    <t>BEEF CUBE ROLL / RIBEYE ROLL</t>
  </si>
  <si>
    <t>1010070</t>
  </si>
  <si>
    <t>BEEF STRIPLOIN</t>
  </si>
  <si>
    <t>1010105</t>
  </si>
  <si>
    <t>BEEF BURGER PATTIES</t>
  </si>
  <si>
    <t>1010120</t>
  </si>
  <si>
    <t>BEEF OX TAIL</t>
  </si>
  <si>
    <t>1010130</t>
  </si>
  <si>
    <t>BEEF OX TONGUE</t>
  </si>
  <si>
    <t>1010140</t>
  </si>
  <si>
    <t>BEEF OX TRIPE (Stomach Lining)</t>
  </si>
  <si>
    <t>1030010</t>
  </si>
  <si>
    <t>LAMB CARCASS</t>
  </si>
  <si>
    <t>FROZEN MEAT &amp; POULTRY- LAMB</t>
  </si>
  <si>
    <t>1030050</t>
  </si>
  <si>
    <t>LAMB LEG BONE OUT</t>
  </si>
  <si>
    <t>1050020</t>
  </si>
  <si>
    <t>PORK BELLY SLAB</t>
  </si>
  <si>
    <t>FROZEN MEAT &amp; POULTRY- PORK</t>
  </si>
  <si>
    <t>1050030</t>
  </si>
  <si>
    <t>PORK CHOP</t>
  </si>
  <si>
    <t>1050050</t>
  </si>
  <si>
    <t>PORK HOCKS / KNUCKLES</t>
  </si>
  <si>
    <t>1050100</t>
  </si>
  <si>
    <t>PORK NECK / BOSTON BUTT, BONE OUT</t>
  </si>
  <si>
    <t>1050120</t>
  </si>
  <si>
    <t>PORK SPARERIBS</t>
  </si>
  <si>
    <t>1050140</t>
  </si>
  <si>
    <t>PORK HEAD</t>
  </si>
  <si>
    <t>1050170</t>
  </si>
  <si>
    <t>PORK LIVER</t>
  </si>
  <si>
    <t>1050190</t>
  </si>
  <si>
    <t>PORK TROTTERS</t>
  </si>
  <si>
    <t>1060010</t>
  </si>
  <si>
    <t>CHICKEN BREAST BONELESS</t>
  </si>
  <si>
    <t>FROZEN MEAT &amp; POULTRY- CHICKEN</t>
  </si>
  <si>
    <t>1060020</t>
  </si>
  <si>
    <t>CHICKEN BURGER PATTIES</t>
  </si>
  <si>
    <t>1060030</t>
  </si>
  <si>
    <t>CHICKEN DRUMSTICKS BONE IN</t>
  </si>
  <si>
    <t>1060041</t>
  </si>
  <si>
    <t>CHICKEN GIZZARDS</t>
  </si>
  <si>
    <t>1060050</t>
  </si>
  <si>
    <t>CHICKEN LEG QUARTERS</t>
  </si>
  <si>
    <t>1060070</t>
  </si>
  <si>
    <t>CHICKEN NUGGETS</t>
  </si>
  <si>
    <t>1060080</t>
  </si>
  <si>
    <t>CHICKEN WHOLE, OVEN READY - (1.2KG)</t>
  </si>
  <si>
    <t>1060090</t>
  </si>
  <si>
    <t>CHICKEN WINGS</t>
  </si>
  <si>
    <t>1080010</t>
  </si>
  <si>
    <t>DUCK WHOLE, OVEN READY (4-5KG)</t>
  </si>
  <si>
    <t>FROZEN MEAT &amp; POULTRY- DUCK</t>
  </si>
  <si>
    <t>1510020</t>
  </si>
  <si>
    <t>BACON SMOKED</t>
  </si>
  <si>
    <t>PROCESSED MEATS- BACON</t>
  </si>
  <si>
    <t>1520040</t>
  </si>
  <si>
    <t>SAUSAGE FRANKFURTER BEEF</t>
  </si>
  <si>
    <t>PROCESSED MEATS- SAUSAGE</t>
  </si>
  <si>
    <t>1520050</t>
  </si>
  <si>
    <t>SAUSAGE FRANKFURTER CHICKEN</t>
  </si>
  <si>
    <t>1530020</t>
  </si>
  <si>
    <t>MORTADELLA</t>
  </si>
  <si>
    <t>PROCESSED MEATS- SALAMI</t>
  </si>
  <si>
    <t>1530030</t>
  </si>
  <si>
    <t>SALAMI BEEF</t>
  </si>
  <si>
    <t>1530040</t>
  </si>
  <si>
    <t>SALAMI DANISH</t>
  </si>
  <si>
    <t>1540010</t>
  </si>
  <si>
    <t>HAM COOKED / BOILED</t>
  </si>
  <si>
    <t>PROCESSED MEATS- HAM</t>
  </si>
  <si>
    <t>15601043</t>
  </si>
  <si>
    <t>PROCESSED MEATS- TINNED MEATS</t>
  </si>
  <si>
    <t>TIN (340 GM)</t>
  </si>
  <si>
    <t>1560113</t>
  </si>
  <si>
    <t>LUNCHEON MEAT, PORK</t>
  </si>
  <si>
    <t>1605050</t>
  </si>
  <si>
    <t>SAMOSAS VEGETABLE</t>
  </si>
  <si>
    <t>ETHNIC ITEMS - INDIAN- INDIAN ITEMS</t>
  </si>
  <si>
    <t>PC</t>
  </si>
  <si>
    <t>1605088</t>
  </si>
  <si>
    <t>CHICKEN SPRING ROLLS</t>
  </si>
  <si>
    <t>ETHNIC ITEMS - CHINESE- CHINESE ITEMS</t>
  </si>
  <si>
    <t>EACH</t>
  </si>
  <si>
    <t>2010010</t>
  </si>
  <si>
    <t>COD FILLET</t>
  </si>
  <si>
    <t>FROZEN FISH &amp; SEAFOOD- FISH FILLET</t>
  </si>
  <si>
    <t>2010040</t>
  </si>
  <si>
    <t>POLLOCK / POLLACK FILLET</t>
  </si>
  <si>
    <t>2010060</t>
  </si>
  <si>
    <t>WHITE FISH FILLET</t>
  </si>
  <si>
    <t>2030060</t>
  </si>
  <si>
    <t>MACKEREL</t>
  </si>
  <si>
    <t>FROZEN FISH &amp; SEAFOOD- FISH WHOLE</t>
  </si>
  <si>
    <t>2030090</t>
  </si>
  <si>
    <t>POMFRET,BLACK / POMPANO</t>
  </si>
  <si>
    <t>2030120</t>
  </si>
  <si>
    <t>RED SNAPPER</t>
  </si>
  <si>
    <t>2030130</t>
  </si>
  <si>
    <t>2030140</t>
  </si>
  <si>
    <t>SARDINES</t>
  </si>
  <si>
    <t>2030170</t>
  </si>
  <si>
    <t>TUNA</t>
  </si>
  <si>
    <t>2050010</t>
  </si>
  <si>
    <t>CRAB STICK IMMITATION</t>
  </si>
  <si>
    <t>FROZEN FISH &amp; SEAFOOD- SEAFOOD</t>
  </si>
  <si>
    <t>2050030</t>
  </si>
  <si>
    <t>MUSSEL GREEN HALF SHELL</t>
  </si>
  <si>
    <t>2050080</t>
  </si>
  <si>
    <t>SHRIMP RAW 26/30</t>
  </si>
  <si>
    <t>2050120</t>
  </si>
  <si>
    <t>SQUID TUBES</t>
  </si>
  <si>
    <t>2050140</t>
  </si>
  <si>
    <t>SQUID WHOLE, MEDIUM</t>
  </si>
  <si>
    <t>2050166</t>
  </si>
  <si>
    <t>FISH FINGERS</t>
  </si>
  <si>
    <t>2050220</t>
  </si>
  <si>
    <t>TIGER PRAWNS RAW  6/8</t>
  </si>
  <si>
    <t>2060239</t>
  </si>
  <si>
    <t>MACKEREL IN OIL</t>
  </si>
  <si>
    <t>FROZEN FISH &amp; SEAFOOD- TINNED FISH</t>
  </si>
  <si>
    <t>TIN (90 GM)</t>
  </si>
  <si>
    <t>2060315</t>
  </si>
  <si>
    <t>TIN (85 GM)</t>
  </si>
  <si>
    <t>2510030</t>
  </si>
  <si>
    <t>BEETROOT</t>
  </si>
  <si>
    <t>VEGETABLES- FRESH VEGETABLES</t>
  </si>
  <si>
    <t>2510045</t>
  </si>
  <si>
    <t>BOK CHOY</t>
  </si>
  <si>
    <t>2510050</t>
  </si>
  <si>
    <t>BROCCOLI</t>
  </si>
  <si>
    <t>2510055</t>
  </si>
  <si>
    <t>BUTTERNUT SQUASH</t>
  </si>
  <si>
    <t>2510060</t>
  </si>
  <si>
    <t>CABBAGE CHINESE/ NAPA</t>
  </si>
  <si>
    <t>2510080</t>
  </si>
  <si>
    <t>CABBAGE GREEN</t>
  </si>
  <si>
    <t>2510090</t>
  </si>
  <si>
    <t>CARROTS</t>
  </si>
  <si>
    <t>2510100</t>
  </si>
  <si>
    <t>CAULIFLOWER</t>
  </si>
  <si>
    <t>2510110</t>
  </si>
  <si>
    <t>CELERY,  TABLE</t>
  </si>
  <si>
    <t>2510120</t>
  </si>
  <si>
    <t>CHAYOTE</t>
  </si>
  <si>
    <t>2510130</t>
  </si>
  <si>
    <t>CUCUMBER</t>
  </si>
  <si>
    <t>2510140</t>
  </si>
  <si>
    <t>EGGPLANT</t>
  </si>
  <si>
    <t>2510150</t>
  </si>
  <si>
    <t>GARLIC</t>
  </si>
  <si>
    <t>2510160</t>
  </si>
  <si>
    <t>GINGER ROOT</t>
  </si>
  <si>
    <t>2510170</t>
  </si>
  <si>
    <t>LEEK</t>
  </si>
  <si>
    <t>2510180</t>
  </si>
  <si>
    <t>LETTUCE ICEBERG</t>
  </si>
  <si>
    <t>2510230</t>
  </si>
  <si>
    <t>ONIONS DRY YELLOW</t>
  </si>
  <si>
    <t>2510240</t>
  </si>
  <si>
    <t>ONIONS RED</t>
  </si>
  <si>
    <t>2510250</t>
  </si>
  <si>
    <t>PEPPERS BELL GREEN</t>
  </si>
  <si>
    <t>2510260</t>
  </si>
  <si>
    <t>PEPPERS BELL RED</t>
  </si>
  <si>
    <t>2510271</t>
  </si>
  <si>
    <t>PEPPER HOT CHILLI GREEN</t>
  </si>
  <si>
    <t>2510272</t>
  </si>
  <si>
    <t>PEPPER HOT CHILLI RED</t>
  </si>
  <si>
    <t>2510280</t>
  </si>
  <si>
    <t>POTATOES LARGE</t>
  </si>
  <si>
    <t>2510290</t>
  </si>
  <si>
    <t>POTATOES SWEET</t>
  </si>
  <si>
    <t>2510300</t>
  </si>
  <si>
    <t>PUMPKINS</t>
  </si>
  <si>
    <t>2510310</t>
  </si>
  <si>
    <t>RADISH RED</t>
  </si>
  <si>
    <t>2510320</t>
  </si>
  <si>
    <t>RADISH WHITE</t>
  </si>
  <si>
    <t>2510330</t>
  </si>
  <si>
    <t>SPINACH LEAVES</t>
  </si>
  <si>
    <t>2510340</t>
  </si>
  <si>
    <t>SPRING ONIONS</t>
  </si>
  <si>
    <t>2510350</t>
  </si>
  <si>
    <t>TOMATOES HALF RIPE</t>
  </si>
  <si>
    <t>2510370</t>
  </si>
  <si>
    <t>ZUCCHINI / MARROW / COURGETTE</t>
  </si>
  <si>
    <t>2510440</t>
  </si>
  <si>
    <t>CABBAGE WHITE</t>
  </si>
  <si>
    <t>2520040</t>
  </si>
  <si>
    <t>FRESH PARSLEY</t>
  </si>
  <si>
    <t>VEGETABLES- FRESH HERBS</t>
  </si>
  <si>
    <t>2520096</t>
  </si>
  <si>
    <t>FRESH CILANTRO</t>
  </si>
  <si>
    <t>2530010</t>
  </si>
  <si>
    <t>BEANS GREEN</t>
  </si>
  <si>
    <t>VEGETABLES- FROZEN VEGETABLES</t>
  </si>
  <si>
    <t>2530020</t>
  </si>
  <si>
    <t>2530040</t>
  </si>
  <si>
    <t>CARROTS SLICED</t>
  </si>
  <si>
    <t>2530050</t>
  </si>
  <si>
    <t>25300513</t>
  </si>
  <si>
    <t>OKRA ( LADYFINGER)</t>
  </si>
  <si>
    <t>PACK (1000 GM)</t>
  </si>
  <si>
    <t>2530060</t>
  </si>
  <si>
    <t>CORN KERNELS</t>
  </si>
  <si>
    <t>2530070</t>
  </si>
  <si>
    <t>CORN ON THE COB</t>
  </si>
  <si>
    <t>2530080</t>
  </si>
  <si>
    <t>POTATO FRENCH FRIES - 3/8 Straight Cut</t>
  </si>
  <si>
    <t>2530100</t>
  </si>
  <si>
    <t>MIXED VEGETABLES</t>
  </si>
  <si>
    <t>2530110</t>
  </si>
  <si>
    <t>2530120</t>
  </si>
  <si>
    <t>PEAS GREEN</t>
  </si>
  <si>
    <t>2530130</t>
  </si>
  <si>
    <t>2530312</t>
  </si>
  <si>
    <t>POTATO HASH BROWNS</t>
  </si>
  <si>
    <t>2530432</t>
  </si>
  <si>
    <t>POTATOES CROQUETTES</t>
  </si>
  <si>
    <t>2530981</t>
  </si>
  <si>
    <t>TOFU FRESH</t>
  </si>
  <si>
    <t>PACK (120 GM)</t>
  </si>
  <si>
    <t>2540020</t>
  </si>
  <si>
    <t>BEANS KIDNEY RED</t>
  </si>
  <si>
    <t>VEGETABLES- DRIED VEGETABLES</t>
  </si>
  <si>
    <t>2540030</t>
  </si>
  <si>
    <t>BEANS MOONG</t>
  </si>
  <si>
    <t>25400385</t>
  </si>
  <si>
    <t>SEAWEED</t>
  </si>
  <si>
    <t>2540050</t>
  </si>
  <si>
    <t>BEANS WHITE SMALL NAVY</t>
  </si>
  <si>
    <t>2540055</t>
  </si>
  <si>
    <t>BLACK FUNGUS</t>
  </si>
  <si>
    <t>2540090</t>
  </si>
  <si>
    <t>PEAS SPLIT GREEN</t>
  </si>
  <si>
    <t>2540100</t>
  </si>
  <si>
    <t>PEAS SPLIT YELLOW</t>
  </si>
  <si>
    <t>2550120</t>
  </si>
  <si>
    <t>MUSHROOMS WHOLE</t>
  </si>
  <si>
    <t>VEGETABLES- TINNED VEGETABLES</t>
  </si>
  <si>
    <t>TIN (850 GM)</t>
  </si>
  <si>
    <t>2550190</t>
  </si>
  <si>
    <t>TOMATO PEELED</t>
  </si>
  <si>
    <t>TIN (800 GM)</t>
  </si>
  <si>
    <t>2550453</t>
  </si>
  <si>
    <t>TOMATO PASTE</t>
  </si>
  <si>
    <t>2550476</t>
  </si>
  <si>
    <t>TIN (500 GM)</t>
  </si>
  <si>
    <t>2550512</t>
  </si>
  <si>
    <t>TIN (1000 GM)</t>
  </si>
  <si>
    <t>3010015</t>
  </si>
  <si>
    <t>APPLES GREEN (GRANNY SMITH)</t>
  </si>
  <si>
    <t xml:space="preserve"> FRUITS- FRESH FRUITS</t>
  </si>
  <si>
    <t>3010020</t>
  </si>
  <si>
    <t>APPLES RED</t>
  </si>
  <si>
    <t>3010050</t>
  </si>
  <si>
    <t>BANANAS MEDIUM</t>
  </si>
  <si>
    <t>3010100</t>
  </si>
  <si>
    <t>LEMON</t>
  </si>
  <si>
    <t>3010120</t>
  </si>
  <si>
    <t>MANDARINES</t>
  </si>
  <si>
    <t>3010130</t>
  </si>
  <si>
    <t>MANGO</t>
  </si>
  <si>
    <t>3010140</t>
  </si>
  <si>
    <t>MELON CANTALOUPE</t>
  </si>
  <si>
    <t>3010141</t>
  </si>
  <si>
    <t>MELON HONEYDEW</t>
  </si>
  <si>
    <t>3010160</t>
  </si>
  <si>
    <t>ORANGES - COMMON TYPE</t>
  </si>
  <si>
    <t>3010180</t>
  </si>
  <si>
    <t>PEACHES</t>
  </si>
  <si>
    <t>3010200</t>
  </si>
  <si>
    <t>PINEAPPLE</t>
  </si>
  <si>
    <t>3010250</t>
  </si>
  <si>
    <t>WATERMELON</t>
  </si>
  <si>
    <t>3020040</t>
  </si>
  <si>
    <t xml:space="preserve"> FRUITS- DRIED FRUITS &amp; NUTS</t>
  </si>
  <si>
    <t>3020060</t>
  </si>
  <si>
    <t>COCONUT DESICCATED</t>
  </si>
  <si>
    <t>3020100</t>
  </si>
  <si>
    <t>PEANUTS, DRY - RAW UNSALTED</t>
  </si>
  <si>
    <t>3020140</t>
  </si>
  <si>
    <t>RAISINS DRY</t>
  </si>
  <si>
    <t>3020456</t>
  </si>
  <si>
    <t>3030030</t>
  </si>
  <si>
    <t>FRUIT COCKTAIL</t>
  </si>
  <si>
    <t xml:space="preserve"> FRUITS- TINNED FRUITS</t>
  </si>
  <si>
    <t>3030060</t>
  </si>
  <si>
    <t>PEARS</t>
  </si>
  <si>
    <t>TIN (820 GM)</t>
  </si>
  <si>
    <t>3030143</t>
  </si>
  <si>
    <t>3030157</t>
  </si>
  <si>
    <t>3030167</t>
  </si>
  <si>
    <t>3030211</t>
  </si>
  <si>
    <t>3510010</t>
  </si>
  <si>
    <t>ALL PURPOSE FLOUR</t>
  </si>
  <si>
    <t>GRAIN &amp; GRAIN PRODUCTS- FLOUR</t>
  </si>
  <si>
    <t>3510020</t>
  </si>
  <si>
    <t>ATTA FLOUR (CHAPPATI)</t>
  </si>
  <si>
    <t>3510035</t>
  </si>
  <si>
    <t>RICE FLOUR</t>
  </si>
  <si>
    <t>3510060</t>
  </si>
  <si>
    <t>CORN FLOUR</t>
  </si>
  <si>
    <t>PACK (500 GM)</t>
  </si>
  <si>
    <t>3510070</t>
  </si>
  <si>
    <t>CORN STARCH</t>
  </si>
  <si>
    <t>3510086</t>
  </si>
  <si>
    <t>SAGO STARCH</t>
  </si>
  <si>
    <t>35101510</t>
  </si>
  <si>
    <t>POTATO FLOUR</t>
  </si>
  <si>
    <t>3520020</t>
  </si>
  <si>
    <t>RICE BASMATI INDIA</t>
  </si>
  <si>
    <t>GRAIN &amp; GRAIN PRODUCTS- RICE</t>
  </si>
  <si>
    <t>3520060</t>
  </si>
  <si>
    <t>RICE CHINESE</t>
  </si>
  <si>
    <t>3520080</t>
  </si>
  <si>
    <t>RICE LONG GRAIN, THAI</t>
  </si>
  <si>
    <t>3530010</t>
  </si>
  <si>
    <t>PASTA FUSSILI</t>
  </si>
  <si>
    <t>GRAIN &amp; GRAIN PRODUCTS- PASTA</t>
  </si>
  <si>
    <t>3530040</t>
  </si>
  <si>
    <t>PASTA MACARONI ELBOW</t>
  </si>
  <si>
    <t>3530080</t>
  </si>
  <si>
    <t>PASTA SPAGHETTI</t>
  </si>
  <si>
    <t>3540035</t>
  </si>
  <si>
    <t>BEAN VERMICELLI</t>
  </si>
  <si>
    <t>GRAIN &amp; GRAIN PRODUCTS- NOODLES</t>
  </si>
  <si>
    <t>35401152</t>
  </si>
  <si>
    <t>INSTANT NOODLES BEEF FLAVOR, Brand: MASTER KONG</t>
  </si>
  <si>
    <t>BOX (24 PC)</t>
  </si>
  <si>
    <t>3540167</t>
  </si>
  <si>
    <t>BEAN THREAD SOTANGHON</t>
  </si>
  <si>
    <t>35403934</t>
  </si>
  <si>
    <t>INSTANT NOODLE, Brand: SHIN RAMYUN, Brand: SHIN RAMYUN</t>
  </si>
  <si>
    <t>BOX (4 PC)</t>
  </si>
  <si>
    <t>3540704</t>
  </si>
  <si>
    <t>SWEET POTATO VERMICELLI</t>
  </si>
  <si>
    <t>3541020</t>
  </si>
  <si>
    <t>INSTANT RAMEN NOODLES</t>
  </si>
  <si>
    <t>3550030</t>
  </si>
  <si>
    <t>CEREAL CORN FLAKES</t>
  </si>
  <si>
    <t>GRAIN &amp; GRAIN PRODUCTS- BREAKFAST CEREALS</t>
  </si>
  <si>
    <t>3550172</t>
  </si>
  <si>
    <t>CEREAL MUESLI</t>
  </si>
  <si>
    <t>3550241</t>
  </si>
  <si>
    <t>QUAKER OATS</t>
  </si>
  <si>
    <t>PACK (800 GM)</t>
  </si>
  <si>
    <t>3550355</t>
  </si>
  <si>
    <t>CEREAL FRUITS &amp; NUTS</t>
  </si>
  <si>
    <t>3560036</t>
  </si>
  <si>
    <t>MARIE BISCUITS</t>
  </si>
  <si>
    <t>GRAIN &amp; GRAIN PRODUCTS- BISCUITS &amp; CRACKERS</t>
  </si>
  <si>
    <t>PACK (200 GM)</t>
  </si>
  <si>
    <t>3560051</t>
  </si>
  <si>
    <t>RITZ CRACKERS</t>
  </si>
  <si>
    <t>3560060</t>
  </si>
  <si>
    <t>BISCUITS TEA TIME</t>
  </si>
  <si>
    <t>35602721</t>
  </si>
  <si>
    <t>COOKIES CHOCOLATE</t>
  </si>
  <si>
    <t>PACK (175 GM)</t>
  </si>
  <si>
    <t>3560478</t>
  </si>
  <si>
    <t>BUTTER COOKIES</t>
  </si>
  <si>
    <t>PACK (454 GM)</t>
  </si>
  <si>
    <t>3560491</t>
  </si>
  <si>
    <t>BISCUITS GOOD DAY</t>
  </si>
  <si>
    <t>3560492</t>
  </si>
  <si>
    <t>CRACKERS SALTED</t>
  </si>
  <si>
    <t>PACK (100 GM)</t>
  </si>
  <si>
    <t>3560493</t>
  </si>
  <si>
    <t>3560505</t>
  </si>
  <si>
    <t>3560555</t>
  </si>
  <si>
    <t>CRACKERS CREAM</t>
  </si>
  <si>
    <t>3560599</t>
  </si>
  <si>
    <t>ASSORTED BISCUITS</t>
  </si>
  <si>
    <t>3560674</t>
  </si>
  <si>
    <t>3570010</t>
  </si>
  <si>
    <t>BREAD BROWN SLICED</t>
  </si>
  <si>
    <t>GRAIN &amp; GRAIN PRODUCTS- BREADS</t>
  </si>
  <si>
    <t>EACH (750 GM)</t>
  </si>
  <si>
    <t>3570020</t>
  </si>
  <si>
    <t>BREAD FRENCH BAGUETTE PRE-BAKED</t>
  </si>
  <si>
    <t>EACH (300 GM)</t>
  </si>
  <si>
    <t>3570035</t>
  </si>
  <si>
    <t>BREAD TORTILLA</t>
  </si>
  <si>
    <t>3570050</t>
  </si>
  <si>
    <t>BREAD WHITE SLICED</t>
  </si>
  <si>
    <t>3570070</t>
  </si>
  <si>
    <t>CROISSANT BUTTER</t>
  </si>
  <si>
    <t>3570103</t>
  </si>
  <si>
    <t>BREAD CRUMBS</t>
  </si>
  <si>
    <t>3570106</t>
  </si>
  <si>
    <t>35701060</t>
  </si>
  <si>
    <t>PIZZA BASE</t>
  </si>
  <si>
    <t>PACK (24 PC)</t>
  </si>
  <si>
    <t>35701918</t>
  </si>
  <si>
    <t>PACK (150 PC)</t>
  </si>
  <si>
    <t>35702285</t>
  </si>
  <si>
    <t>BURGER BUNS</t>
  </si>
  <si>
    <t>PACK (64 PC)</t>
  </si>
  <si>
    <t>3570289</t>
  </si>
  <si>
    <t>EACH (250 GM)</t>
  </si>
  <si>
    <t>3570305</t>
  </si>
  <si>
    <t>EACH (800 GM)</t>
  </si>
  <si>
    <t>3570308</t>
  </si>
  <si>
    <t>3570324</t>
  </si>
  <si>
    <t>HOT DOG ROLLS</t>
  </si>
  <si>
    <t>PACK (36 PC)</t>
  </si>
  <si>
    <t>3570343</t>
  </si>
  <si>
    <t>EACH (240 GM)</t>
  </si>
  <si>
    <t>3570593</t>
  </si>
  <si>
    <t>4010010</t>
  </si>
  <si>
    <t>EGGS FRESH, MEDIUM A</t>
  </si>
  <si>
    <t>DAIRY PRODUCTS / OILS &amp; FATS- EGGS</t>
  </si>
  <si>
    <t>DOZ (12 PC)</t>
  </si>
  <si>
    <t>4010208</t>
  </si>
  <si>
    <t>DUCK EGGS PRESERVED</t>
  </si>
  <si>
    <t>4020050</t>
  </si>
  <si>
    <t>MILK UHT FULL FAT</t>
  </si>
  <si>
    <t>DAIRY PRODUCTS / OILS &amp; FATS- MILK</t>
  </si>
  <si>
    <t>LTR</t>
  </si>
  <si>
    <t>4030010</t>
  </si>
  <si>
    <t>HEAVY CREAM  UHT</t>
  </si>
  <si>
    <t>DAIRY PRODUCTS / OILS &amp; FATS- CREAM</t>
  </si>
  <si>
    <t>4030020</t>
  </si>
  <si>
    <t>SOUR CREAM UHT</t>
  </si>
  <si>
    <t>4030025</t>
  </si>
  <si>
    <t>WHIPPING CREAM UHT</t>
  </si>
  <si>
    <t>4040010</t>
  </si>
  <si>
    <t>YOGURT FRUIT LONG LIFE</t>
  </si>
  <si>
    <t>DAIRY PRODUCTS / OILS &amp; FATS- YOGURT</t>
  </si>
  <si>
    <t>CUP (125 GM)</t>
  </si>
  <si>
    <t>4040030</t>
  </si>
  <si>
    <t>YOGURT PLAIN LONG LIFE</t>
  </si>
  <si>
    <t>4050100</t>
  </si>
  <si>
    <t>CHEESE EDAM</t>
  </si>
  <si>
    <t>DAIRY PRODUCTS / OILS &amp; FATS- CHEESE</t>
  </si>
  <si>
    <t>4050150</t>
  </si>
  <si>
    <t>CHEESE GOUDA</t>
  </si>
  <si>
    <t>4050180</t>
  </si>
  <si>
    <t>CHEESE MOZZARELLA GRATED</t>
  </si>
  <si>
    <t>4050230</t>
  </si>
  <si>
    <t>CHEESE PROCESSED/SLICED</t>
  </si>
  <si>
    <t>4050827</t>
  </si>
  <si>
    <t>CHEESE CREAM</t>
  </si>
  <si>
    <t>4050848</t>
  </si>
  <si>
    <t>4060030</t>
  </si>
  <si>
    <t>ICE CREAM CHOCOLATE</t>
  </si>
  <si>
    <t>DAIRY PRODUCTS / OILS &amp; FATS- ICE CREAM</t>
  </si>
  <si>
    <t>4060040</t>
  </si>
  <si>
    <t>ICE CREAM STRAWBERRY</t>
  </si>
  <si>
    <t>4060050</t>
  </si>
  <si>
    <t>ICE CREAM VANILLA</t>
  </si>
  <si>
    <t>40601941</t>
  </si>
  <si>
    <t>TUB (1.42 LTR)</t>
  </si>
  <si>
    <t>40701322</t>
  </si>
  <si>
    <t>CAKE APPLE PIE</t>
  </si>
  <si>
    <t>DAIRY PRODUCTS / OILS &amp; FATS- CAKES</t>
  </si>
  <si>
    <t>EACH (1304 GM)</t>
  </si>
  <si>
    <t>40702200</t>
  </si>
  <si>
    <t>SWISS ROLL</t>
  </si>
  <si>
    <t>PACK (1 GM)</t>
  </si>
  <si>
    <t>4080030</t>
  </si>
  <si>
    <t>BUTTER UNSALTED - PURE</t>
  </si>
  <si>
    <t>DAIRY PRODUCTS / OILS &amp; FATS- FATS</t>
  </si>
  <si>
    <t>4080040</t>
  </si>
  <si>
    <t>BUTTER SALTED - PURE</t>
  </si>
  <si>
    <t>4080117</t>
  </si>
  <si>
    <t>CUP (113 GM)</t>
  </si>
  <si>
    <t>4080121</t>
  </si>
  <si>
    <t>4090010</t>
  </si>
  <si>
    <t>OIL COOKING</t>
  </si>
  <si>
    <t xml:space="preserve">DAIRY PRODUCTS / OILS &amp; FATS- OILS </t>
  </si>
  <si>
    <t>4090040</t>
  </si>
  <si>
    <t>OIL OLIVE EXTRA VIRGIN</t>
  </si>
  <si>
    <t>4090080</t>
  </si>
  <si>
    <t>OIL SUNFLOWER</t>
  </si>
  <si>
    <t>4090138</t>
  </si>
  <si>
    <t>OIL SESAME</t>
  </si>
  <si>
    <t>BTL (650 ML)</t>
  </si>
  <si>
    <t>4090234</t>
  </si>
  <si>
    <t>BTL (410 ML)</t>
  </si>
  <si>
    <t>4510050</t>
  </si>
  <si>
    <t>PICKLED CUCUMBERS</t>
  </si>
  <si>
    <t>PICKLES &amp; VINEGARS- PICKLES</t>
  </si>
  <si>
    <t>JAR (680 GM)</t>
  </si>
  <si>
    <t>45101665</t>
  </si>
  <si>
    <t>OLIVES BLACK</t>
  </si>
  <si>
    <t>TIN (185 GM)</t>
  </si>
  <si>
    <t>45102410</t>
  </si>
  <si>
    <t>MANGO PICKLES</t>
  </si>
  <si>
    <t>JAR (150 GM)</t>
  </si>
  <si>
    <t>4520010</t>
  </si>
  <si>
    <t>VINEGAR BALSAMIC</t>
  </si>
  <si>
    <t>PICKLES &amp; VINEGARS- VINEGAR</t>
  </si>
  <si>
    <t>BTL (750 ML)</t>
  </si>
  <si>
    <t>4520030</t>
  </si>
  <si>
    <t>VINEGAR RED</t>
  </si>
  <si>
    <t>BTL (1000 ML)</t>
  </si>
  <si>
    <t>4520042</t>
  </si>
  <si>
    <t>VINEGAR WHITE</t>
  </si>
  <si>
    <t>45201079</t>
  </si>
  <si>
    <t>VINEGAR APPLE CIDER</t>
  </si>
  <si>
    <t>4520128</t>
  </si>
  <si>
    <t>JAR (720 GM)</t>
  </si>
  <si>
    <t>4520186</t>
  </si>
  <si>
    <t>SAUERKRAUT</t>
  </si>
  <si>
    <t>JAR (770 GM)</t>
  </si>
  <si>
    <t>4520252</t>
  </si>
  <si>
    <t>OLIVES GREEN</t>
  </si>
  <si>
    <t>TIN (300 GM)</t>
  </si>
  <si>
    <t>4520511</t>
  </si>
  <si>
    <t>JAR (350 GM)</t>
  </si>
  <si>
    <t>4520705</t>
  </si>
  <si>
    <t>TIN (330 GM)</t>
  </si>
  <si>
    <t>5010010</t>
  </si>
  <si>
    <t>DRESSING ITALIAN</t>
  </si>
  <si>
    <t>DRESSINGS, SAUCES &amp; SOUPS- DRESSINGS</t>
  </si>
  <si>
    <t>BTL (450 GM)</t>
  </si>
  <si>
    <t>5010020</t>
  </si>
  <si>
    <t>DRESSING THOUSAND ISLANDS</t>
  </si>
  <si>
    <t>BTL (250 GM)</t>
  </si>
  <si>
    <t>5010061</t>
  </si>
  <si>
    <t>5020030</t>
  </si>
  <si>
    <t>SAUCE CHILLI GARLIC</t>
  </si>
  <si>
    <t>DRESSINGS, SAUCES &amp; SOUPS- SAUCES</t>
  </si>
  <si>
    <t>BTL (400 GM)</t>
  </si>
  <si>
    <t>5020091</t>
  </si>
  <si>
    <t>SAUCE MUSTARD FRENCH</t>
  </si>
  <si>
    <t>5020100</t>
  </si>
  <si>
    <t>SAUCE OYSTER</t>
  </si>
  <si>
    <t>BTL (500 GM)</t>
  </si>
  <si>
    <t>502010859</t>
  </si>
  <si>
    <t>SAUCE CHILLI PASTE, Brand: SAMBAL OLEK</t>
  </si>
  <si>
    <t>BTL (150 GM)</t>
  </si>
  <si>
    <t>5020125</t>
  </si>
  <si>
    <t>SAUCE PIZZA</t>
  </si>
  <si>
    <t>5020150</t>
  </si>
  <si>
    <t>SAUCE SOY KIKKOMAN</t>
  </si>
  <si>
    <t>5020240</t>
  </si>
  <si>
    <t>SAUCE FISH</t>
  </si>
  <si>
    <t>BTL (500 ML)</t>
  </si>
  <si>
    <t>50203416</t>
  </si>
  <si>
    <t>HOT CHILI SAUCE SRIRACHA</t>
  </si>
  <si>
    <t>BTL (320 ML)</t>
  </si>
  <si>
    <t>50203931</t>
  </si>
  <si>
    <t>SOYA BEAN PASTE, BRAND: HADAY</t>
  </si>
  <si>
    <t>5020700</t>
  </si>
  <si>
    <t>SAUCE BBQ</t>
  </si>
  <si>
    <t>BTL (300 GM)</t>
  </si>
  <si>
    <t>5020702</t>
  </si>
  <si>
    <t>SAUCE CHILLI HOT</t>
  </si>
  <si>
    <t>5020717</t>
  </si>
  <si>
    <t>MAYONNAISE</t>
  </si>
  <si>
    <t>JAR (300 GM)</t>
  </si>
  <si>
    <t>5020740</t>
  </si>
  <si>
    <t>SAUCE TABASCO</t>
  </si>
  <si>
    <t>BTL (60 ML)</t>
  </si>
  <si>
    <t>5020765</t>
  </si>
  <si>
    <t>SAUCE SOY</t>
  </si>
  <si>
    <t>5020783</t>
  </si>
  <si>
    <t>5020800</t>
  </si>
  <si>
    <t>SAUCE THAI SWEET CHILLI</t>
  </si>
  <si>
    <t>BTL (720 GM)</t>
  </si>
  <si>
    <t>50208280</t>
  </si>
  <si>
    <t>SAUCE TOMATO KETCHUP, BRAND: HEINZ, Brand: HEINZ</t>
  </si>
  <si>
    <t>BTL (340 GM)</t>
  </si>
  <si>
    <t>5020833</t>
  </si>
  <si>
    <t>SAUCE MAGGI</t>
  </si>
  <si>
    <t>BTL (200 ML)</t>
  </si>
  <si>
    <t>5020924</t>
  </si>
  <si>
    <t>SAUCE SAMBAL OELEK</t>
  </si>
  <si>
    <t>JAR (360 GM)</t>
  </si>
  <si>
    <t>50209892</t>
  </si>
  <si>
    <t>LINGHAMS CHILLI SAUCE</t>
  </si>
  <si>
    <t>BTL (102.00 GM)</t>
  </si>
  <si>
    <t>5021004</t>
  </si>
  <si>
    <t>5021721</t>
  </si>
  <si>
    <t>TOM YAM PASTE</t>
  </si>
  <si>
    <t>BTL (454 ML)</t>
  </si>
  <si>
    <t>5021864</t>
  </si>
  <si>
    <t>BTL (368 GM)</t>
  </si>
  <si>
    <t>5030010</t>
  </si>
  <si>
    <t>BROTH CUBES BEEF</t>
  </si>
  <si>
    <t>DRESSINGS, SAUCES &amp; SOUPS- BROTH</t>
  </si>
  <si>
    <t>5030020</t>
  </si>
  <si>
    <t>BROTH CUBES CHICKEN</t>
  </si>
  <si>
    <t>5030122</t>
  </si>
  <si>
    <t>5031232</t>
  </si>
  <si>
    <t>PACK (25.00 PC * 92.00 GM)</t>
  </si>
  <si>
    <t>5040067</t>
  </si>
  <si>
    <t>BASE CHICKEN CONSOMME</t>
  </si>
  <si>
    <t>DRESSINGS, SAUCES &amp; SOUPS- SOUP BASE</t>
  </si>
  <si>
    <t>5040082</t>
  </si>
  <si>
    <t>BASE BEEF CONSOMME</t>
  </si>
  <si>
    <t>5040102</t>
  </si>
  <si>
    <t>SINIGANG MIX</t>
  </si>
  <si>
    <t>PACK (40 GM)</t>
  </si>
  <si>
    <t>5510030</t>
  </si>
  <si>
    <t>ANISE STAR</t>
  </si>
  <si>
    <t>HERBS AND SPICES- HERBS &amp; SPICES</t>
  </si>
  <si>
    <t>551011013</t>
  </si>
  <si>
    <t>OREGANO, DRY</t>
  </si>
  <si>
    <t>551011806</t>
  </si>
  <si>
    <t>GARLIC POWDER</t>
  </si>
  <si>
    <t>PACK (850 GM)</t>
  </si>
  <si>
    <t>551011807</t>
  </si>
  <si>
    <t>PEPPER BLACK WHOLE</t>
  </si>
  <si>
    <t>PACK (710 GM)</t>
  </si>
  <si>
    <t>551011928</t>
  </si>
  <si>
    <t>BASIL DRY</t>
  </si>
  <si>
    <t>PACK (260 GM)</t>
  </si>
  <si>
    <t>551011963</t>
  </si>
  <si>
    <t>RED CHILLI POWDER</t>
  </si>
  <si>
    <t>PACK (600 GM)</t>
  </si>
  <si>
    <t>551012017</t>
  </si>
  <si>
    <t>RED CHILLI WHOLE DRY</t>
  </si>
  <si>
    <t>551012603</t>
  </si>
  <si>
    <t>5510240</t>
  </si>
  <si>
    <t>PEPPER WHITE GROUND</t>
  </si>
  <si>
    <t>5510270</t>
  </si>
  <si>
    <t>55109645</t>
  </si>
  <si>
    <t>PACK (700 GM)</t>
  </si>
  <si>
    <t>55109692</t>
  </si>
  <si>
    <t>CURRY POWDER</t>
  </si>
  <si>
    <t>5520313</t>
  </si>
  <si>
    <t>SALT TABLE</t>
  </si>
  <si>
    <t>HERBS AND SPICES- SALT</t>
  </si>
  <si>
    <t>6010010</t>
  </si>
  <si>
    <t>BAKING POWDER</t>
  </si>
  <si>
    <t>BAKERY PRODUCTS &amp; PRESERVES- BAKERY PRODUCTS</t>
  </si>
  <si>
    <t>6010049</t>
  </si>
  <si>
    <t>CAKE MIX VANILLA</t>
  </si>
  <si>
    <t>60100917</t>
  </si>
  <si>
    <t>FOOD COLOR RED</t>
  </si>
  <si>
    <t>60101053</t>
  </si>
  <si>
    <t>BI-CARBONATE BAKING SODA, Brand: TWIN VALLEY</t>
  </si>
  <si>
    <t>6010230</t>
  </si>
  <si>
    <t>PUFF PASTRY SHEETS FROZEN</t>
  </si>
  <si>
    <t>6010270</t>
  </si>
  <si>
    <t>YEAST DRY</t>
  </si>
  <si>
    <t>601043075</t>
  </si>
  <si>
    <t>CHOCOLATE DARK BAKING</t>
  </si>
  <si>
    <t>PACK (225 GM)</t>
  </si>
  <si>
    <t>6011029</t>
  </si>
  <si>
    <t>6011114</t>
  </si>
  <si>
    <t>COCOA POWDER</t>
  </si>
  <si>
    <t>6011427</t>
  </si>
  <si>
    <t>CAKE MIX ASSORTED</t>
  </si>
  <si>
    <t>6011557</t>
  </si>
  <si>
    <t>PACK (900 GM)</t>
  </si>
  <si>
    <t>6020010</t>
  </si>
  <si>
    <t>HONEY (PURE BEE HONEY)</t>
  </si>
  <si>
    <t>BAKERY PRODUCTS &amp; PRESERVES- JAMS</t>
  </si>
  <si>
    <t>6020021</t>
  </si>
  <si>
    <t>JAM BLUEBERRY</t>
  </si>
  <si>
    <t>JAR (450 GM)</t>
  </si>
  <si>
    <t>6020024</t>
  </si>
  <si>
    <t>JAM PLUM</t>
  </si>
  <si>
    <t>6020030</t>
  </si>
  <si>
    <t>MARMALADE ORANGE</t>
  </si>
  <si>
    <t>60201071</t>
  </si>
  <si>
    <t>JAR (330 GM)</t>
  </si>
  <si>
    <t>60201119</t>
  </si>
  <si>
    <t>CHOCOLATE SPREAD NUTELLA</t>
  </si>
  <si>
    <t>60201573</t>
  </si>
  <si>
    <t>BTL (454 GM)</t>
  </si>
  <si>
    <t>6020232</t>
  </si>
  <si>
    <t>PEANUT BUTTER</t>
  </si>
  <si>
    <t>JAR (340 GM)</t>
  </si>
  <si>
    <t>6020249</t>
  </si>
  <si>
    <t>JAM STRAWBERRY</t>
  </si>
  <si>
    <t>60202495</t>
  </si>
  <si>
    <t>6020276</t>
  </si>
  <si>
    <t>JAR (400 GM)</t>
  </si>
  <si>
    <t>6020658</t>
  </si>
  <si>
    <t>JAR (440 GM)</t>
  </si>
  <si>
    <t>6030012</t>
  </si>
  <si>
    <t>SUGAR BROWN</t>
  </si>
  <si>
    <t>BAKERY PRODUCTS &amp; PRESERVES- SUGAR</t>
  </si>
  <si>
    <t>6030020</t>
  </si>
  <si>
    <t>SUGAR GRANULATED</t>
  </si>
  <si>
    <t>6030030</t>
  </si>
  <si>
    <t>SUGAR ICING</t>
  </si>
  <si>
    <t>6040085</t>
  </si>
  <si>
    <t>SYRUP CHOCOLATE</t>
  </si>
  <si>
    <t>BAKERY PRODUCTS &amp; PRESERVES- SYRUP</t>
  </si>
  <si>
    <t>6040088</t>
  </si>
  <si>
    <t>SYRUP STRAWBERRY</t>
  </si>
  <si>
    <t>6111955</t>
  </si>
  <si>
    <t>SIOPAO</t>
  </si>
  <si>
    <t>PROCESSED MEATS- OTHER MEAT PRODUCTS</t>
  </si>
  <si>
    <t>PACK (1 PC)</t>
  </si>
  <si>
    <t>6510110</t>
  </si>
  <si>
    <t>JUICE APPLE (100% PURE)</t>
  </si>
  <si>
    <t>BEVERAGES- JUICE</t>
  </si>
  <si>
    <t>6510130</t>
  </si>
  <si>
    <t>JUICE GRAPEFRUIT (100% PURE)</t>
  </si>
  <si>
    <t>6510140</t>
  </si>
  <si>
    <t>JUICE GUAVA</t>
  </si>
  <si>
    <t>6510150</t>
  </si>
  <si>
    <t>JUICE MANGO</t>
  </si>
  <si>
    <t>6510160</t>
  </si>
  <si>
    <t>6510170</t>
  </si>
  <si>
    <t>JUICE PEACH</t>
  </si>
  <si>
    <t>6510200</t>
  </si>
  <si>
    <t>JUICE TROPICAL</t>
  </si>
  <si>
    <t>6530030</t>
  </si>
  <si>
    <t>TEA GREEN</t>
  </si>
  <si>
    <t>BEVERAGES- TEA</t>
  </si>
  <si>
    <t>6530050</t>
  </si>
  <si>
    <t>TEA JASMINE</t>
  </si>
  <si>
    <t>6530070</t>
  </si>
  <si>
    <t>TEA LIPTON, YELLOW LABEL</t>
  </si>
  <si>
    <t>PACK (100 PC)</t>
  </si>
  <si>
    <t>6530236</t>
  </si>
  <si>
    <t>PACK (20 PC)</t>
  </si>
  <si>
    <t>6530279</t>
  </si>
  <si>
    <t>TEA CAMOMILE</t>
  </si>
  <si>
    <t>PACK (25 PC)</t>
  </si>
  <si>
    <t>6530286</t>
  </si>
  <si>
    <t>6540090</t>
  </si>
  <si>
    <t>COFFEE INSTANT GOLD, BRAND: NESCAFE</t>
  </si>
  <si>
    <t>BEVERAGES- COFFEE</t>
  </si>
  <si>
    <t>65401475</t>
  </si>
  <si>
    <t>COFFEE BEANS, BRAND: LAVAZZA</t>
  </si>
  <si>
    <t>JAR (1000 GM)</t>
  </si>
  <si>
    <t>65401555</t>
  </si>
  <si>
    <t>COFFEE BEANS, Brand: LAVAZZA</t>
  </si>
  <si>
    <t>PACK (1 KG)</t>
  </si>
  <si>
    <t>65401686</t>
  </si>
  <si>
    <t>CREAMER COFFEEMATE, Brand: NESTLE</t>
  </si>
  <si>
    <t>6540232</t>
  </si>
  <si>
    <t>COFFEE INSTANT CLASSIC, BRAND: NESCAFE</t>
  </si>
  <si>
    <t>74101428</t>
  </si>
  <si>
    <t>HOT POT SAUCE CONDIMENTS</t>
  </si>
  <si>
    <t>PACK (20 GM)</t>
  </si>
  <si>
    <t>7417010</t>
  </si>
  <si>
    <t>LAO GAN MA SPICY CHILI SAUCE</t>
  </si>
  <si>
    <t>BTL (57 GM)</t>
  </si>
  <si>
    <t>7417191</t>
  </si>
  <si>
    <t>7417920</t>
  </si>
  <si>
    <t>LINGHAMS CHILLI SAUCE, Brand: MAGGIE</t>
  </si>
  <si>
    <t>BTL (120 GM)</t>
  </si>
  <si>
    <t>7492966</t>
  </si>
  <si>
    <t>STEAMED BUN</t>
  </si>
  <si>
    <t>7510040</t>
  </si>
  <si>
    <t>DHALL MASSOR SPLIT</t>
  </si>
  <si>
    <t>ETHNIC ITEMS - INDIAN- DHALS</t>
  </si>
  <si>
    <t>7510060</t>
  </si>
  <si>
    <t>DHALL MOONG</t>
  </si>
  <si>
    <t>7520035</t>
  </si>
  <si>
    <t>ROTI PARATHA</t>
  </si>
  <si>
    <t>ETHNIC ITEMS - INDIAN- INDIAN BREADS</t>
  </si>
  <si>
    <t>7530114</t>
  </si>
  <si>
    <t>DOSA INSTANT MIX</t>
  </si>
  <si>
    <t>ETHNIC ITEMS - INDIAN- INDIAN MIX</t>
  </si>
  <si>
    <t>7540175</t>
  </si>
  <si>
    <t>JEERA PAPADAM, BRAND: AACHI</t>
  </si>
  <si>
    <t>ETHNIC ITEMS - INDIAN- PAPPADUMS</t>
  </si>
  <si>
    <t>7550010</t>
  </si>
  <si>
    <t>INDIAN HOT CHILLI PICKLE</t>
  </si>
  <si>
    <t>ETHNIC ITEMS - INDIAN- INDIAN PICKLES</t>
  </si>
  <si>
    <t>7550050</t>
  </si>
  <si>
    <t>INDIAN HOT MANGO PICKLE</t>
  </si>
  <si>
    <t>7550137</t>
  </si>
  <si>
    <t>INDIAN HOT GARLIC PICKLE</t>
  </si>
  <si>
    <t>7550152</t>
  </si>
  <si>
    <t>JAR (283 GM)</t>
  </si>
  <si>
    <t>7560030</t>
  </si>
  <si>
    <t>CARDAMON WHOLE GREEN</t>
  </si>
  <si>
    <t>ETHNIC ITEMS - INDIAN- INDIAN SPICES</t>
  </si>
  <si>
    <t>7560050</t>
  </si>
  <si>
    <t>CUMIN SEED WHOLE</t>
  </si>
  <si>
    <t>7560221</t>
  </si>
  <si>
    <t>TURMERIC POWDER</t>
  </si>
  <si>
    <t>7561030</t>
  </si>
  <si>
    <t>7561108</t>
  </si>
  <si>
    <t>CUMIN GROUND</t>
  </si>
  <si>
    <t>75701108</t>
  </si>
  <si>
    <t>MASALA, TANDORI</t>
  </si>
  <si>
    <t>ETHNIC ITEMS - INDIAN- MASALA</t>
  </si>
  <si>
    <t>PACK (125 GM)</t>
  </si>
  <si>
    <t>7570134</t>
  </si>
  <si>
    <t>MASALA, CHICKEN, BRAND: MDH</t>
  </si>
  <si>
    <t>7570164</t>
  </si>
  <si>
    <t>7570209</t>
  </si>
  <si>
    <t>MASALA, BIRIYANI</t>
  </si>
  <si>
    <t>PACK (50 GM)</t>
  </si>
  <si>
    <t>7571230</t>
  </si>
  <si>
    <t>EACH (39 GM)</t>
  </si>
  <si>
    <t>8510134</t>
  </si>
  <si>
    <t>8510138</t>
  </si>
  <si>
    <t>RED CHILLI FLAKES</t>
  </si>
  <si>
    <t>8510166</t>
  </si>
  <si>
    <t>PEPPER BLACK GROUND</t>
  </si>
  <si>
    <t>8510385</t>
  </si>
  <si>
    <t>BAY LEAVES</t>
  </si>
  <si>
    <t>8510487</t>
  </si>
  <si>
    <t>SESAME SEED WHITE</t>
  </si>
  <si>
    <t>8510543</t>
  </si>
  <si>
    <t>8510725</t>
  </si>
  <si>
    <t>8510905</t>
  </si>
  <si>
    <t>8511232</t>
  </si>
  <si>
    <t>85116753</t>
  </si>
  <si>
    <t>PACK (3 GM)</t>
  </si>
  <si>
    <t>85116999</t>
  </si>
  <si>
    <t>CURRY PUFF</t>
  </si>
  <si>
    <t>8512652</t>
  </si>
  <si>
    <t>KOREAN RADISH KIMCHI</t>
  </si>
  <si>
    <t>PACK (350 GM)</t>
  </si>
  <si>
    <t>8530853</t>
  </si>
  <si>
    <t>PACK (16 PC * 302 GM)</t>
  </si>
  <si>
    <t>9711728</t>
  </si>
  <si>
    <t>ESSENCE VANILLA</t>
  </si>
  <si>
    <t>BTL (118 ML)</t>
  </si>
  <si>
    <t>98111901</t>
  </si>
  <si>
    <t>PCS</t>
  </si>
  <si>
    <t>9816908</t>
  </si>
  <si>
    <t>PREVIOUS MONTH CLOSING</t>
  </si>
  <si>
    <t>Enter/paste the previous company month-end Closing Inventory quantities here. August 2026 values are preloaded from your supplied report.</t>
  </si>
  <si>
    <t>PREVIOUS CLOSING QTY</t>
  </si>
  <si>
    <t>CHECK</t>
  </si>
  <si>
    <t>PREVIOUS CLOSING UNIT COST (USD)</t>
  </si>
  <si>
    <t>PREVIOUS CLOSING TOTAL COST (USD)</t>
  </si>
  <si>
    <t>PROVISION DELIVERY LOG</t>
  </si>
  <si>
    <t>Imported delivery lines. Currency is original invoice currency. USD RATE means USD value of 1 unit of that currency.</t>
  </si>
  <si>
    <t>Delivery Date</t>
  </si>
  <si>
    <t>PO / Invoice</t>
  </si>
  <si>
    <t>QTY RECEIVED</t>
  </si>
  <si>
    <t>CURRENCY</t>
  </si>
  <si>
    <t>USD PER 1 UNIT</t>
  </si>
  <si>
    <t>USD TOTAL COST</t>
  </si>
  <si>
    <t>SOURCE / NOTE</t>
  </si>
  <si>
    <t>PHYSICAL MONTH-END COUNT</t>
  </si>
  <si>
    <t>Enter only physical closing quantity. Additional items imported during the month are automatically added to this list.</t>
  </si>
  <si>
    <t>STATUS</t>
  </si>
  <si>
    <t>DELIVERY SUMMARY</t>
  </si>
  <si>
    <t>Automatically totals all delivery lines by OCL/V Code for the selected reporting month.</t>
  </si>
  <si>
    <t>TOTAL RECEIVED QTY</t>
  </si>
  <si>
    <t>DELIVERY COUNT</t>
  </si>
  <si>
    <t>FIRST PO</t>
  </si>
  <si>
    <t>SECOND PO</t>
  </si>
  <si>
    <t>THIRD+ PO COUNT</t>
  </si>
  <si>
    <t>WEIGHTED AVG UNIT COST</t>
  </si>
  <si>
    <t>MONTH-END CALCULATION</t>
  </si>
  <si>
    <t>All calculations are automatic. Consumption = Beginning + Total Received - Physical Closing.</t>
  </si>
  <si>
    <t>BEGINNING QTY</t>
  </si>
  <si>
    <t>TOTAL RECEIVED</t>
  </si>
  <si>
    <t>ON BOARD</t>
  </si>
  <si>
    <t>PHYSICAL CLOSING</t>
  </si>
  <si>
    <t>CONSUMPTION QTY</t>
  </si>
  <si>
    <t>CONSUMPTION / MEAL</t>
  </si>
  <si>
    <t>ADDITIONAL ITEMS</t>
  </si>
  <si>
    <t>Items not in the original monthly company list are automatically added here and to the master list.</t>
  </si>
  <si>
    <t>ADDED DATE</t>
  </si>
  <si>
    <t>SOURCE</t>
  </si>
  <si>
    <t>PARTY COSTS</t>
  </si>
  <si>
    <t>Enter party/event food cost here. USD COST is deducted from total consumption cost before daily rate.</t>
  </si>
  <si>
    <t>DATE</t>
  </si>
  <si>
    <t>PARTY / EVENT</t>
  </si>
  <si>
    <t>COST</t>
  </si>
  <si>
    <t>USD RATE</t>
  </si>
  <si>
    <t>USD COST</t>
  </si>
  <si>
    <t>CURRENCY RATES</t>
  </si>
  <si>
    <t>Enter the USD value of 1 unit of each currency. Example: 1 EUR = 1.1486 USD -&gt; enter 1.1486.</t>
  </si>
  <si>
    <t>DESCRIPTION</t>
  </si>
  <si>
    <t>US Dollar</t>
  </si>
  <si>
    <t>Euro</t>
  </si>
  <si>
    <t>GBP</t>
  </si>
  <si>
    <t>British Pound</t>
  </si>
  <si>
    <t>LKR</t>
  </si>
  <si>
    <t>Sri Lankan Rupee</t>
  </si>
  <si>
    <t>AED</t>
  </si>
  <si>
    <t>UAE Dirham</t>
  </si>
  <si>
    <t>SGD</t>
  </si>
  <si>
    <t>Singapore Dollar</t>
  </si>
  <si>
    <t>JPY</t>
  </si>
  <si>
    <t>Japanese Yen</t>
  </si>
  <si>
    <t>CNY</t>
  </si>
  <si>
    <t>Chinese Yuan</t>
  </si>
  <si>
    <t>INR</t>
  </si>
  <si>
    <t>Indian Rupee</t>
  </si>
  <si>
    <t>Enter total meals in F8. If there are parties, enter them on PARTIES.</t>
  </si>
  <si>
    <t>OCL / V Code</t>
  </si>
  <si>
    <t>Item Name</t>
  </si>
  <si>
    <t>Added Date</t>
  </si>
  <si>
    <t>Source</t>
  </si>
  <si>
    <t>Item Family</t>
  </si>
  <si>
    <t>Unit</t>
  </si>
  <si>
    <t>Beginning Qty</t>
  </si>
  <si>
    <t>Received Qty</t>
  </si>
  <si>
    <t>Total Qty</t>
  </si>
  <si>
    <t>Unit Cost</t>
  </si>
  <si>
    <t>Physical ROB</t>
  </si>
  <si>
    <t>Consumption</t>
  </si>
  <si>
    <t>Remarks</t>
  </si>
  <si>
    <t>Quantity</t>
  </si>
  <si>
    <t>PARTY COST</t>
  </si>
  <si>
    <t>PHYSICAL ROB COUNT SHEET</t>
  </si>
  <si>
    <t>Item Description</t>
  </si>
  <si>
    <t>BEEF TENDERLOIN</t>
  </si>
  <si>
    <t>LAMB WHOLE</t>
  </si>
  <si>
    <t>HAIRTAIL / BELT FISH</t>
  </si>
  <si>
    <t>OCTOPUS, MEDIUM</t>
  </si>
  <si>
    <t>LETTUCE ROMAINE</t>
  </si>
  <si>
    <t>VERMICELLI</t>
  </si>
  <si>
    <t>EACH (55 GM)</t>
  </si>
  <si>
    <t>MILK POWDER</t>
  </si>
  <si>
    <t>MILK UHT LOW FAT</t>
  </si>
  <si>
    <t>YOGURT PLAIN LONG LIFE, LOW FAT</t>
  </si>
  <si>
    <t>GHEE OIL</t>
  </si>
  <si>
    <t>TIN (1000 ML)</t>
  </si>
  <si>
    <t>OIL SESAME, BRAND: BEKSUL</t>
  </si>
  <si>
    <t>CAKE MIX CHOCOLATE</t>
  </si>
  <si>
    <t>SIOPAO PORK</t>
  </si>
  <si>
    <t>PACK (480 GM)</t>
  </si>
  <si>
    <t>JUICE GRAPE (100% PURE)</t>
  </si>
  <si>
    <t>PAPADUM, PLAIN</t>
  </si>
  <si>
    <t>PACK (113 GM)</t>
  </si>
  <si>
    <t>TOTAL (USD)</t>
  </si>
  <si>
    <t>Provision Automation License</t>
  </si>
  <si>
    <t>ACTIVE</t>
  </si>
  <si>
    <t>PA-PC1-BRIDGE</t>
  </si>
  <si>
    <t>Previous closing &amp; Provision Supply</t>
  </si>
  <si>
    <t>Use Close Month to  reset monthly inputs.</t>
  </si>
  <si>
    <r>
      <t xml:space="preserve">Insert the previous company report + Provision Supply files using </t>
    </r>
    <r>
      <rPr>
        <b/>
        <sz val="11"/>
        <color indexed="8"/>
        <rFont val="Calibri"/>
        <family val="2"/>
      </rPr>
      <t xml:space="preserve"> Import Previous Month &amp; Import Provision Files buttons</t>
    </r>
  </si>
  <si>
    <r>
      <t xml:space="preserve">Generate the final company report using </t>
    </r>
    <r>
      <rPr>
        <b/>
        <sz val="11"/>
        <color indexed="8"/>
        <rFont val="Calibri"/>
        <family val="2"/>
      </rPr>
      <t>Generate Month-End Report Button</t>
    </r>
  </si>
  <si>
    <r>
      <t>Export Physical Count, count onboard, then fill the sheet and Import again using</t>
    </r>
    <r>
      <rPr>
        <b/>
        <sz val="11"/>
        <color indexed="8"/>
        <rFont val="Calibri"/>
        <family val="2"/>
      </rPr>
      <t xml:space="preserve"> Import &amp; Export Physical count Buttons</t>
    </r>
  </si>
  <si>
    <t>Computer ID :-</t>
  </si>
  <si>
    <t>License Status :-</t>
  </si>
  <si>
    <t>License Type :-</t>
  </si>
  <si>
    <t>Trial Start :-</t>
  </si>
  <si>
    <t>Expiry Date :-</t>
  </si>
  <si>
    <t>Last Check :-</t>
  </si>
  <si>
    <t>Activation Key :-</t>
  </si>
  <si>
    <t>Enter Activation Key :-</t>
  </si>
  <si>
    <t>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</si>
</sst>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7" formatCode="&quot;$&quot;#,##0.00_);\(&quot;$&quot;#,##0.00\)"/>
    <numFmt numFmtId="164" formatCode="[$-10409]#,##0.00;\(#,##0.00\)"/>
    <numFmt numFmtId="165" formatCode="0.0000"/>
    <numFmt numFmtId="166" formatCode="[$-10409]#,##0.00;\(#,##0.00\);&quot;&quot;"/>
    <numFmt numFmtId="167" formatCode="[$-10409]0.00;\-0.00;&quot;&quot;"/>
    <numFmt numFmtId="168" formatCode="[$-10409]#,##0.00;\-#,##0.00;&quot;&quot;"/>
    <numFmt numFmtId="169" formatCode="mmm\-yyyy"/>
    <numFmt numFmtId="170" formatCode="dd\-mmm\-yyyy"/>
    <numFmt numFmtId="171" formatCode="&quot;$&quot;#,##0.00"/>
    <numFmt numFmtId="172" formatCode="[$-409]d/mmm/yyyy;@"/>
  </numFmts>
  <fonts count="24" x14ac:knownFonts="1"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8.5"/>
      <color rgb="FF000000"/>
      <name val="Calibri"/>
      <family val="2"/>
    </font>
    <font>
      <sz val="10"/>
      <color rgb="FF000000"/>
      <name val="Arial"/>
      <family val="2"/>
    </font>
    <font>
      <sz val="8.5"/>
      <color rgb="FF000000"/>
      <name val="Calibri"/>
      <family val="2"/>
    </font>
    <font>
      <b/>
      <sz val="9"/>
      <color rgb="FF000000"/>
      <name val="Calibri"/>
      <family val="2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rgb="FFFF0000"/>
      <name val="Calibri"/>
      <family val="2"/>
    </font>
    <font>
      <b/>
      <sz val="18"/>
      <color rgb="FFFFFFFF"/>
      <name val="Calibri"/>
      <family val="2"/>
    </font>
    <font>
      <i/>
      <sz val="11"/>
      <color rgb="FF666666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C00000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b/>
      <sz val="14"/>
      <color indexed="8"/>
      <name val="Aptos"/>
      <family val="2"/>
    </font>
    <font>
      <b/>
      <sz val="11"/>
      <color rgb="FFFF6600"/>
      <name val="Aptos"/>
      <family val="2"/>
    </font>
    <font>
      <b/>
      <sz val="11"/>
      <color rgb="FF99CC00"/>
      <name val="Aptos"/>
      <family val="2"/>
    </font>
    <font>
      <sz val="10"/>
      <color indexed="8"/>
      <name val="Aptos"/>
      <family val="2"/>
    </font>
    <font>
      <sz val="9"/>
      <color theme="1" tint="0.34998626667073579"/>
      <name val="Aptos"/>
      <family val="2"/>
    </font>
    <font>
      <sz val="11"/>
      <color indexed="8"/>
      <name val="Aptos"/>
      <family val="2"/>
    </font>
    <font>
      <sz val="11"/>
      <color theme="0" tint="-0.249977111117893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0E68C"/>
        <bgColor rgb="FFF0E68C"/>
      </patternFill>
    </fill>
    <fill>
      <patternFill patternType="solid">
        <fgColor rgb="FFAFEEEE"/>
        <bgColor rgb="FFAFEEEE"/>
      </patternFill>
    </fill>
    <fill>
      <patternFill patternType="solid">
        <fgColor rgb="FFD3D3D3"/>
        <bgColor rgb="FFD3D3D3"/>
      </patternFill>
    </fill>
    <fill>
      <patternFill patternType="solid">
        <fgColor rgb="FFFFEFD5"/>
        <bgColor rgb="FFFFEFD5"/>
      </patternFill>
    </fill>
    <fill>
      <patternFill patternType="solid">
        <fgColor rgb="FFDBEEF3"/>
        <bgColor rgb="FFDBEEF3"/>
      </patternFill>
    </fill>
    <fill>
      <patternFill patternType="solid">
        <fgColor rgb="FFF2DDDC"/>
        <bgColor rgb="FFF2DDDC"/>
      </patternFill>
    </fill>
    <fill>
      <patternFill patternType="solid">
        <fgColor rgb="FFFFFFFF"/>
        <bgColor rgb="FFFFFFFF"/>
      </patternFill>
    </fill>
    <fill>
      <patternFill patternType="solid">
        <fgColor rgb="FFFFFFCE"/>
        <bgColor rgb="FFFFFFCE"/>
      </patternFill>
    </fill>
    <fill>
      <patternFill patternType="solid">
        <fgColor rgb="FFFDE9D9"/>
        <bgColor rgb="FFFDE9D9"/>
      </patternFill>
    </fill>
    <fill>
      <patternFill patternType="solid">
        <fgColor rgb="FFFFF2FF"/>
        <bgColor rgb="FFFFF2FF"/>
      </patternFill>
    </fill>
    <fill>
      <patternFill patternType="solid">
        <fgColor rgb="FF17365D"/>
      </patternFill>
    </fill>
    <fill>
      <patternFill patternType="solid">
        <fgColor rgb="FF5B9BD5"/>
      </patternFill>
    </fill>
    <fill>
      <patternFill patternType="solid">
        <fgColor rgb="FF70AD47"/>
      </patternFill>
    </fill>
    <fill>
      <patternFill patternType="solid">
        <fgColor rgb="FFE2F0D9"/>
      </patternFill>
    </fill>
    <fill>
      <patternFill patternType="solid">
        <fgColor rgb="FFFCE4D6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 applyAlignment="1">
      <alignment vertical="center"/>
    </xf>
    <xf numFmtId="0" fontId="2" fillId="0" borderId="1" xfId="0" applyFont="1" applyBorder="1" applyAlignment="1">
      <alignment horizontal="right" vertical="top" wrapText="1" readingOrder="1"/>
    </xf>
    <xf numFmtId="0" fontId="4" fillId="0" borderId="0" xfId="0" applyFont="1" applyAlignment="1">
      <alignment vertical="top" wrapText="1" readingOrder="1"/>
    </xf>
    <xf numFmtId="0" fontId="5" fillId="0" borderId="0" xfId="0" applyFont="1" applyAlignment="1">
      <alignment horizontal="center" vertical="top" wrapText="1" readingOrder="1"/>
    </xf>
    <xf numFmtId="0" fontId="3" fillId="0" borderId="3" xfId="0" applyFont="1" applyBorder="1" applyAlignment="1">
      <alignment vertical="top" readingOrder="1"/>
    </xf>
    <xf numFmtId="0" fontId="3" fillId="2" borderId="3" xfId="0" applyFont="1" applyFill="1" applyBorder="1" applyAlignment="1">
      <alignment horizontal="right" vertical="top" wrapText="1" readingOrder="1"/>
    </xf>
    <xf numFmtId="17" fontId="3" fillId="2" borderId="3" xfId="0" applyNumberFormat="1" applyFont="1" applyFill="1" applyBorder="1" applyAlignment="1">
      <alignment horizontal="right" vertical="top" wrapText="1" readingOrder="1"/>
    </xf>
    <xf numFmtId="0" fontId="3" fillId="0" borderId="0" xfId="0" applyFont="1" applyAlignment="1">
      <alignment horizontal="center" vertical="top" wrapText="1" readingOrder="1"/>
    </xf>
    <xf numFmtId="0" fontId="3" fillId="0" borderId="7" xfId="0" applyFont="1" applyBorder="1" applyAlignment="1">
      <alignment horizontal="center" vertical="top" wrapText="1" readingOrder="1"/>
    </xf>
    <xf numFmtId="0" fontId="4" fillId="0" borderId="0" xfId="0" applyFont="1" applyAlignment="1">
      <alignment vertical="top" readingOrder="1"/>
    </xf>
    <xf numFmtId="0" fontId="6" fillId="2" borderId="4" xfId="0" applyFont="1" applyFill="1" applyBorder="1" applyAlignment="1">
      <alignment horizontal="right" vertical="center" wrapText="1" readingOrder="1"/>
    </xf>
    <xf numFmtId="0" fontId="7" fillId="0" borderId="3" xfId="0" applyFont="1" applyBorder="1" applyAlignment="1">
      <alignment horizontal="left" vertical="center" wrapText="1" readingOrder="1"/>
    </xf>
    <xf numFmtId="0" fontId="7" fillId="0" borderId="7" xfId="0" applyFont="1" applyBorder="1" applyAlignment="1">
      <alignment horizontal="left" vertical="center" wrapText="1" readingOrder="1"/>
    </xf>
    <xf numFmtId="0" fontId="6" fillId="2" borderId="3" xfId="0" applyFont="1" applyFill="1" applyBorder="1" applyAlignment="1">
      <alignment vertical="top" wrapText="1" readingOrder="1"/>
    </xf>
    <xf numFmtId="0" fontId="3" fillId="3" borderId="3" xfId="0" applyFont="1" applyFill="1" applyBorder="1" applyAlignment="1">
      <alignment horizontal="center" vertical="top" readingOrder="1"/>
    </xf>
    <xf numFmtId="0" fontId="3" fillId="3" borderId="3" xfId="0" applyFont="1" applyFill="1" applyBorder="1" applyAlignment="1">
      <alignment horizontal="center" vertical="top" wrapText="1" readingOrder="1"/>
    </xf>
    <xf numFmtId="0" fontId="3" fillId="3" borderId="4" xfId="0" applyFont="1" applyFill="1" applyBorder="1" applyAlignment="1">
      <alignment horizontal="center" vertical="top" wrapText="1" readingOrder="1"/>
    </xf>
    <xf numFmtId="0" fontId="8" fillId="4" borderId="0" xfId="0" applyFont="1" applyFill="1" applyAlignment="1">
      <alignment horizontal="center" vertical="top" readingOrder="1"/>
    </xf>
    <xf numFmtId="0" fontId="8" fillId="4" borderId="0" xfId="0" applyFont="1" applyFill="1" applyAlignment="1">
      <alignment horizontal="center" vertical="top" wrapText="1" readingOrder="1"/>
    </xf>
    <xf numFmtId="0" fontId="8" fillId="4" borderId="10" xfId="0" applyFont="1" applyFill="1" applyBorder="1" applyAlignment="1">
      <alignment horizontal="center" vertical="top" wrapText="1" readingOrder="1"/>
    </xf>
    <xf numFmtId="0" fontId="8" fillId="2" borderId="3" xfId="0" applyFont="1" applyFill="1" applyBorder="1" applyAlignment="1">
      <alignment horizontal="center" vertical="top" wrapText="1" readingOrder="1"/>
    </xf>
    <xf numFmtId="0" fontId="8" fillId="5" borderId="3" xfId="0" applyFont="1" applyFill="1" applyBorder="1" applyAlignment="1">
      <alignment horizontal="left" vertical="center" readingOrder="1"/>
    </xf>
    <xf numFmtId="0" fontId="8" fillId="0" borderId="3" xfId="0" applyFont="1" applyBorder="1" applyAlignment="1">
      <alignment horizontal="center" vertical="center" wrapText="1" readingOrder="1"/>
    </xf>
    <xf numFmtId="0" fontId="8" fillId="0" borderId="3" xfId="0" applyFont="1" applyBorder="1" applyAlignment="1">
      <alignment horizontal="left" vertical="center" wrapText="1" readingOrder="1"/>
    </xf>
    <xf numFmtId="0" fontId="8" fillId="0" borderId="4" xfId="0" applyFont="1" applyBorder="1" applyAlignment="1">
      <alignment horizontal="right" vertical="center" wrapText="1" readingOrder="1"/>
    </xf>
    <xf numFmtId="0" fontId="8" fillId="0" borderId="3" xfId="0" applyFont="1" applyBorder="1" applyAlignment="1">
      <alignment horizontal="right" vertical="center" wrapText="1" readingOrder="1"/>
    </xf>
    <xf numFmtId="0" fontId="0" fillId="0" borderId="0" xfId="0" applyAlignment="1">
      <alignment vertical="center"/>
    </xf>
    <xf numFmtId="0" fontId="3" fillId="0" borderId="0" xfId="0" applyFont="1" applyAlignment="1">
      <alignment horizontal="right" vertical="top" wrapText="1" readingOrder="1"/>
    </xf>
    <xf numFmtId="0" fontId="3" fillId="0" borderId="0" xfId="0" applyFont="1" applyAlignment="1">
      <alignment horizontal="right" vertical="center" wrapText="1" readingOrder="1"/>
    </xf>
    <xf numFmtId="0" fontId="7" fillId="4" borderId="3" xfId="0" applyFont="1" applyFill="1" applyBorder="1" applyAlignment="1">
      <alignment horizontal="center" vertical="top" wrapText="1" readingOrder="1"/>
    </xf>
    <xf numFmtId="0" fontId="1" fillId="0" borderId="0" xfId="0" applyFont="1" applyAlignment="1"/>
    <xf numFmtId="0" fontId="0" fillId="0" borderId="0" xfId="0" applyAlignment="1"/>
    <xf numFmtId="0" fontId="11" fillId="0" borderId="0" xfId="0" applyFont="1" applyAlignment="1"/>
    <xf numFmtId="0" fontId="12" fillId="13" borderId="0" xfId="0" applyFont="1" applyFill="1" applyAlignment="1"/>
    <xf numFmtId="0" fontId="12" fillId="14" borderId="0" xfId="0" applyFont="1" applyFill="1" applyAlignment="1"/>
    <xf numFmtId="0" fontId="0" fillId="0" borderId="11" xfId="0" applyBorder="1" applyAlignment="1">
      <alignment vertical="top" wrapText="1"/>
    </xf>
    <xf numFmtId="0" fontId="14" fillId="0" borderId="0" xfId="0" applyFont="1" applyAlignment="1">
      <alignment wrapText="1"/>
    </xf>
    <xf numFmtId="0" fontId="13" fillId="0" borderId="0" xfId="0" applyFont="1" applyAlignment="1">
      <alignment horizontal="center" vertical="top" wrapText="1" readingOrder="1"/>
    </xf>
    <xf numFmtId="2" fontId="0" fillId="0" borderId="0" xfId="0" applyNumberFormat="1" applyAlignment="1"/>
    <xf numFmtId="164" fontId="3" fillId="3" borderId="3" xfId="0" applyNumberFormat="1" applyFont="1" applyFill="1" applyBorder="1" applyAlignment="1">
      <alignment horizontal="right" vertical="top" wrapText="1" readingOrder="1"/>
    </xf>
    <xf numFmtId="165" fontId="3" fillId="0" borderId="7" xfId="0" applyNumberFormat="1" applyFont="1" applyBorder="1" applyAlignment="1">
      <alignment horizontal="center" vertical="top" wrapText="1" readingOrder="1"/>
    </xf>
    <xf numFmtId="166" fontId="8" fillId="6" borderId="4" xfId="0" applyNumberFormat="1" applyFont="1" applyFill="1" applyBorder="1" applyAlignment="1">
      <alignment horizontal="right" vertical="center" wrapText="1" readingOrder="1"/>
    </xf>
    <xf numFmtId="167" fontId="8" fillId="6" borderId="3" xfId="0" applyNumberFormat="1" applyFont="1" applyFill="1" applyBorder="1" applyAlignment="1">
      <alignment horizontal="right" vertical="center" wrapText="1" readingOrder="1"/>
    </xf>
    <xf numFmtId="168" fontId="8" fillId="6" borderId="3" xfId="0" applyNumberFormat="1" applyFont="1" applyFill="1" applyBorder="1" applyAlignment="1">
      <alignment horizontal="right" vertical="center" wrapText="1" readingOrder="1"/>
    </xf>
    <xf numFmtId="166" fontId="8" fillId="7" borderId="4" xfId="0" applyNumberFormat="1" applyFont="1" applyFill="1" applyBorder="1" applyAlignment="1">
      <alignment horizontal="right" vertical="center" wrapText="1" readingOrder="1"/>
    </xf>
    <xf numFmtId="167" fontId="8" fillId="7" borderId="3" xfId="0" applyNumberFormat="1" applyFont="1" applyFill="1" applyBorder="1" applyAlignment="1">
      <alignment horizontal="right" vertical="center" wrapText="1" readingOrder="1"/>
    </xf>
    <xf numFmtId="168" fontId="8" fillId="7" borderId="3" xfId="0" applyNumberFormat="1" applyFont="1" applyFill="1" applyBorder="1" applyAlignment="1">
      <alignment horizontal="right" vertical="center" wrapText="1" readingOrder="1"/>
    </xf>
    <xf numFmtId="166" fontId="8" fillId="8" borderId="4" xfId="0" applyNumberFormat="1" applyFont="1" applyFill="1" applyBorder="1" applyAlignment="1">
      <alignment horizontal="right" vertical="center" wrapText="1" readingOrder="1"/>
    </xf>
    <xf numFmtId="167" fontId="8" fillId="8" borderId="3" xfId="0" applyNumberFormat="1" applyFont="1" applyFill="1" applyBorder="1" applyAlignment="1">
      <alignment horizontal="right" vertical="center" wrapText="1" readingOrder="1"/>
    </xf>
    <xf numFmtId="168" fontId="8" fillId="8" borderId="3" xfId="0" applyNumberFormat="1" applyFont="1" applyFill="1" applyBorder="1" applyAlignment="1">
      <alignment horizontal="right" vertical="center" wrapText="1" readingOrder="1"/>
    </xf>
    <xf numFmtId="166" fontId="8" fillId="9" borderId="4" xfId="0" applyNumberFormat="1" applyFont="1" applyFill="1" applyBorder="1" applyAlignment="1">
      <alignment horizontal="right" vertical="center" wrapText="1" readingOrder="1"/>
    </xf>
    <xf numFmtId="167" fontId="8" fillId="9" borderId="3" xfId="0" applyNumberFormat="1" applyFont="1" applyFill="1" applyBorder="1" applyAlignment="1">
      <alignment horizontal="right" vertical="center" wrapText="1" readingOrder="1"/>
    </xf>
    <xf numFmtId="168" fontId="8" fillId="9" borderId="3" xfId="0" applyNumberFormat="1" applyFont="1" applyFill="1" applyBorder="1" applyAlignment="1">
      <alignment horizontal="right" vertical="center" wrapText="1" readingOrder="1"/>
    </xf>
    <xf numFmtId="166" fontId="9" fillId="10" borderId="4" xfId="0" applyNumberFormat="1" applyFont="1" applyFill="1" applyBorder="1" applyAlignment="1">
      <alignment horizontal="right" vertical="center" wrapText="1" readingOrder="1"/>
    </xf>
    <xf numFmtId="167" fontId="8" fillId="10" borderId="3" xfId="0" applyNumberFormat="1" applyFont="1" applyFill="1" applyBorder="1" applyAlignment="1">
      <alignment horizontal="right" vertical="center" wrapText="1" readingOrder="1"/>
    </xf>
    <xf numFmtId="168" fontId="8" fillId="10" borderId="3" xfId="0" applyNumberFormat="1" applyFont="1" applyFill="1" applyBorder="1" applyAlignment="1">
      <alignment horizontal="right" vertical="center" wrapText="1" readingOrder="1"/>
    </xf>
    <xf numFmtId="166" fontId="8" fillId="11" borderId="4" xfId="0" applyNumberFormat="1" applyFont="1" applyFill="1" applyBorder="1" applyAlignment="1">
      <alignment horizontal="right" vertical="center" wrapText="1" readingOrder="1"/>
    </xf>
    <xf numFmtId="168" fontId="8" fillId="11" borderId="3" xfId="0" applyNumberFormat="1" applyFont="1" applyFill="1" applyBorder="1" applyAlignment="1">
      <alignment horizontal="right" vertical="center" wrapText="1" readingOrder="1"/>
    </xf>
    <xf numFmtId="166" fontId="9" fillId="8" borderId="4" xfId="0" applyNumberFormat="1" applyFont="1" applyFill="1" applyBorder="1" applyAlignment="1">
      <alignment horizontal="right" vertical="center" wrapText="1" readingOrder="1"/>
    </xf>
    <xf numFmtId="2" fontId="0" fillId="16" borderId="0" xfId="0" applyNumberFormat="1" applyFill="1" applyAlignment="1"/>
    <xf numFmtId="0" fontId="0" fillId="16" borderId="0" xfId="0" applyFill="1" applyAlignment="1"/>
    <xf numFmtId="0" fontId="0" fillId="17" borderId="0" xfId="0" applyFill="1" applyAlignment="1"/>
    <xf numFmtId="165" fontId="0" fillId="16" borderId="0" xfId="0" applyNumberFormat="1" applyFill="1" applyAlignment="1"/>
    <xf numFmtId="2" fontId="0" fillId="15" borderId="0" xfId="0" applyNumberFormat="1" applyFill="1" applyAlignment="1"/>
    <xf numFmtId="0" fontId="13" fillId="0" borderId="0" xfId="0" applyFont="1" applyAlignment="1"/>
    <xf numFmtId="170" fontId="0" fillId="16" borderId="0" xfId="0" applyNumberFormat="1" applyFill="1" applyAlignment="1"/>
    <xf numFmtId="2" fontId="0" fillId="19" borderId="0" xfId="0" applyNumberFormat="1" applyFill="1" applyAlignment="1"/>
    <xf numFmtId="0" fontId="12" fillId="18" borderId="0" xfId="0" applyFont="1" applyFill="1" applyAlignment="1"/>
    <xf numFmtId="0" fontId="15" fillId="0" borderId="0" xfId="0" applyFont="1" applyAlignment="1">
      <alignment horizontal="center" vertical="center"/>
    </xf>
    <xf numFmtId="171" fontId="0" fillId="0" borderId="0" xfId="0" applyNumberFormat="1" applyAlignment="1">
      <alignment vertical="center"/>
    </xf>
    <xf numFmtId="2" fontId="13" fillId="0" borderId="0" xfId="0" applyNumberFormat="1" applyFont="1" applyAlignment="1"/>
    <xf numFmtId="2" fontId="0" fillId="0" borderId="0" xfId="0" applyNumberFormat="1" applyAlignment="1">
      <alignment vertical="center"/>
    </xf>
    <xf numFmtId="166" fontId="8" fillId="0" borderId="4" xfId="0" applyNumberFormat="1" applyFont="1" applyBorder="1" applyAlignment="1">
      <alignment horizontal="right" vertical="center" wrapText="1" readingOrder="1"/>
    </xf>
    <xf numFmtId="167" fontId="8" fillId="0" borderId="3" xfId="0" applyNumberFormat="1" applyFont="1" applyBorder="1" applyAlignment="1">
      <alignment horizontal="right" vertical="center" wrapText="1" readingOrder="1"/>
    </xf>
    <xf numFmtId="168" fontId="8" fillId="0" borderId="3" xfId="0" applyNumberFormat="1" applyFont="1" applyBorder="1" applyAlignment="1">
      <alignment horizontal="right" vertical="center" wrapText="1" readingOrder="1"/>
    </xf>
    <xf numFmtId="0" fontId="12" fillId="13" borderId="0" xfId="0" applyFont="1" applyFill="1" applyAlignment="1">
      <alignment horizontal="center"/>
    </xf>
    <xf numFmtId="14" fontId="0" fillId="0" borderId="0" xfId="0" applyNumberFormat="1" applyAlignment="1"/>
    <xf numFmtId="0" fontId="15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7" fontId="0" fillId="0" borderId="12" xfId="0" applyNumberFormat="1" applyBorder="1" applyAlignment="1">
      <alignment vertical="center"/>
    </xf>
    <xf numFmtId="0" fontId="12" fillId="18" borderId="12" xfId="0" applyFont="1" applyFill="1" applyBorder="1" applyAlignment="1">
      <alignment horizontal="center" vertical="center" wrapText="1"/>
    </xf>
    <xf numFmtId="0" fontId="12" fillId="18" borderId="12" xfId="0" applyFont="1" applyFill="1" applyBorder="1" applyAlignment="1"/>
    <xf numFmtId="0" fontId="0" fillId="0" borderId="12" xfId="0" applyBorder="1" applyAlignment="1"/>
    <xf numFmtId="0" fontId="0" fillId="19" borderId="12" xfId="0" applyFill="1" applyBorder="1" applyAlignment="1"/>
    <xf numFmtId="14" fontId="0" fillId="19" borderId="12" xfId="0" applyNumberFormat="1" applyFill="1" applyBorder="1" applyAlignment="1"/>
    <xf numFmtId="0" fontId="0" fillId="0" borderId="0" xfId="0" applyBorder="1" applyAlignment="1">
      <alignment vertical="top" wrapText="1"/>
    </xf>
    <xf numFmtId="0" fontId="21" fillId="0" borderId="0" xfId="0" applyFont="1" applyBorder="1" applyAlignment="1">
      <alignment vertical="top" wrapText="1"/>
    </xf>
    <xf numFmtId="0" fontId="20" fillId="0" borderId="13" xfId="0" applyFont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13" fillId="0" borderId="1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22" fillId="20" borderId="14" xfId="0" applyFont="1" applyFill="1" applyBorder="1" applyAlignment="1">
      <alignment vertical="center"/>
    </xf>
    <xf numFmtId="0" fontId="22" fillId="20" borderId="15" xfId="0" applyFont="1" applyFill="1" applyBorder="1" applyAlignment="1">
      <alignment vertical="center"/>
    </xf>
    <xf numFmtId="14" fontId="22" fillId="20" borderId="15" xfId="0" applyNumberFormat="1" applyFont="1" applyFill="1" applyBorder="1" applyAlignment="1">
      <alignment vertical="center"/>
    </xf>
    <xf numFmtId="0" fontId="22" fillId="20" borderId="16" xfId="0" applyFont="1" applyFill="1" applyBorder="1" applyAlignment="1">
      <alignment vertical="center"/>
    </xf>
    <xf numFmtId="0" fontId="22" fillId="20" borderId="17" xfId="0" applyFont="1" applyFill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2" xfId="0" applyFont="1" applyBorder="1" applyAlignment="1">
      <alignment vertical="center"/>
    </xf>
    <xf numFmtId="0" fontId="23" fillId="0" borderId="23" xfId="0" applyFont="1" applyBorder="1" applyAlignment="1">
      <alignment horizontal="left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vertical="center"/>
    </xf>
    <xf numFmtId="172" fontId="23" fillId="0" borderId="23" xfId="0" applyNumberFormat="1" applyFont="1" applyBorder="1" applyAlignment="1">
      <alignment vertical="center"/>
    </xf>
    <xf numFmtId="0" fontId="23" fillId="0" borderId="24" xfId="0" applyFont="1" applyBorder="1" applyAlignment="1">
      <alignment vertical="center"/>
    </xf>
    <xf numFmtId="0" fontId="23" fillId="0" borderId="25" xfId="0" applyFont="1" applyBorder="1" applyAlignment="1">
      <alignment vertical="center"/>
    </xf>
    <xf numFmtId="169" fontId="0" fillId="15" borderId="11" xfId="0" applyNumberFormat="1" applyFill="1" applyBorder="1" applyAlignment="1" applyProtection="1">
      <alignment horizontal="center" vertical="center"/>
      <protection locked="0"/>
    </xf>
    <xf numFmtId="0" fontId="0" fillId="15" borderId="11" xfId="0" applyFill="1" applyBorder="1" applyAlignment="1" applyProtection="1">
      <alignment horizontal="center" vertical="center"/>
      <protection locked="0"/>
    </xf>
    <xf numFmtId="0" fontId="0" fillId="16" borderId="11" xfId="0" applyFill="1" applyBorder="1" applyAlignment="1" applyProtection="1">
      <alignment horizontal="center" vertical="center"/>
      <protection locked="0"/>
    </xf>
    <xf numFmtId="0" fontId="11" fillId="0" borderId="0" xfId="0" applyFont="1" applyAlignment="1"/>
    <xf numFmtId="0" fontId="0" fillId="0" borderId="0" xfId="0" applyAlignment="1"/>
    <xf numFmtId="0" fontId="0" fillId="0" borderId="0" xfId="0" applyAlignment="1">
      <alignment vertical="center"/>
    </xf>
    <xf numFmtId="0" fontId="10" fillId="12" borderId="0" xfId="0" applyFont="1" applyFill="1" applyAlignment="1">
      <alignment horizontal="left"/>
    </xf>
    <xf numFmtId="0" fontId="8" fillId="0" borderId="3" xfId="0" applyFont="1" applyBorder="1" applyAlignment="1">
      <alignment horizontal="center" vertical="center" wrapText="1" readingOrder="1"/>
    </xf>
    <xf numFmtId="0" fontId="0" fillId="0" borderId="5" xfId="0" applyBorder="1" applyAlignment="1"/>
    <xf numFmtId="0" fontId="0" fillId="0" borderId="6" xfId="0" applyBorder="1" applyAlignment="1"/>
    <xf numFmtId="0" fontId="6" fillId="4" borderId="8" xfId="0" applyFont="1" applyFill="1" applyBorder="1" applyAlignment="1">
      <alignment horizontal="center" vertical="top" wrapText="1" readingOrder="1"/>
    </xf>
    <xf numFmtId="0" fontId="0" fillId="0" borderId="9" xfId="0" applyBorder="1" applyAlignment="1"/>
    <xf numFmtId="0" fontId="2" fillId="0" borderId="2" xfId="0" applyFont="1" applyBorder="1" applyAlignment="1">
      <alignment horizontal="center" vertical="top" readingOrder="1"/>
    </xf>
    <xf numFmtId="0" fontId="0" fillId="0" borderId="2" xfId="0" applyBorder="1" applyAlignment="1"/>
    <xf numFmtId="0" fontId="3" fillId="0" borderId="0" xfId="0" applyFont="1" applyAlignment="1">
      <alignment horizontal="right" vertical="center" wrapText="1" readingOrder="1"/>
    </xf>
    <xf numFmtId="0" fontId="1" fillId="0" borderId="0" xfId="0" applyFont="1" applyAlignment="1"/>
    <xf numFmtId="0" fontId="3" fillId="0" borderId="4" xfId="0" applyFont="1" applyBorder="1" applyAlignment="1">
      <alignment horizontal="right" vertical="top" wrapText="1" readingOrder="1"/>
    </xf>
    <xf numFmtId="0" fontId="3" fillId="0" borderId="0" xfId="0" applyFont="1" applyAlignment="1">
      <alignment horizontal="right" vertical="top" wrapText="1" readingOrder="1"/>
    </xf>
    <xf numFmtId="0" fontId="3" fillId="0" borderId="4" xfId="0" applyFont="1" applyBorder="1" applyAlignment="1">
      <alignment horizontal="right" vertical="center" wrapText="1" readingOrder="1"/>
    </xf>
    <xf numFmtId="165" fontId="3" fillId="0" borderId="0" xfId="0" applyNumberFormat="1" applyFont="1" applyAlignment="1">
      <alignment horizontal="right" vertical="top" wrapText="1" readingOrder="1"/>
    </xf>
    <xf numFmtId="0" fontId="7" fillId="4" borderId="3" xfId="0" applyFont="1" applyFill="1" applyBorder="1" applyAlignment="1">
      <alignment horizontal="center" vertical="top" wrapText="1" readingOrder="1"/>
    </xf>
    <xf numFmtId="0" fontId="17" fillId="20" borderId="18" xfId="0" applyFont="1" applyFill="1" applyBorder="1" applyAlignment="1">
      <alignment horizontal="center" vertical="center"/>
    </xf>
    <xf numFmtId="0" fontId="17" fillId="20" borderId="19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1">
    <cellStyle name="Normal" xfId="0" builtinId="0"/>
  </cellStyles>
  <dxfs count="13">
    <dxf>
      <fill>
        <patternFill patternType="solid">
          <fgColor rgb="FFF4B183"/>
        </patternFill>
      </fill>
    </dxf>
    <dxf>
      <fill>
        <patternFill patternType="solid">
          <fgColor rgb="FFFFC7CE"/>
        </patternFill>
      </fill>
    </dxf>
    <dxf>
      <numFmt numFmtId="2" formatCode="0.00"/>
    </dxf>
    <dxf>
      <numFmt numFmtId="2" formatCode="0.00"/>
    </dxf>
    <dxf>
      <numFmt numFmtId="171" formatCode="&quot;$&quot;#,##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textRotation="0" wrapText="0" indent="0" justifyLastLine="0" shrinkToFit="0" readingOrder="0"/>
    </dxf>
    <dxf>
      <fill>
        <patternFill patternType="solid">
          <fgColor rgb="FFFFC7CE"/>
        </patternFill>
      </fill>
    </dxf>
    <dxf>
      <fill>
        <patternFill>
          <bgColor theme="6" tint="0.79998168889431442"/>
        </patternFill>
      </fill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9" tint="0.80001220740379042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18</xdr:row>
          <xdr:rowOff>123825</xdr:rowOff>
        </xdr:from>
        <xdr:to>
          <xdr:col>5</xdr:col>
          <xdr:colOff>0</xdr:colOff>
          <xdr:row>20</xdr:row>
          <xdr:rowOff>152400</xdr:rowOff>
        </xdr:to>
        <xdr:sp macro="" textlink="">
          <xdr:nvSpPr>
            <xdr:cNvPr id="2061" name="btnExportPhysicalCoun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Aptos"/>
                </a:rPr>
                <a:t>Export Physical 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21</xdr:row>
          <xdr:rowOff>57150</xdr:rowOff>
        </xdr:from>
        <xdr:to>
          <xdr:col>5</xdr:col>
          <xdr:colOff>0</xdr:colOff>
          <xdr:row>23</xdr:row>
          <xdr:rowOff>85725</xdr:rowOff>
        </xdr:to>
        <xdr:sp macro="" textlink="">
          <xdr:nvSpPr>
            <xdr:cNvPr id="2062" name="btnImportCompletedPhysicalCount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CC00"/>
                  </a:solidFill>
                  <a:latin typeface="Aptos"/>
                </a:rPr>
                <a:t>Import Completed Physical 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228600</xdr:colOff>
      <xdr:row>10</xdr:row>
      <xdr:rowOff>76200</xdr:rowOff>
    </xdr:from>
    <xdr:to>
      <xdr:col>8</xdr:col>
      <xdr:colOff>1009650</xdr:colOff>
      <xdr:row>11</xdr:row>
      <xdr:rowOff>123825</xdr:rowOff>
    </xdr:to>
    <xdr:sp macro="[0]!OpenActivationForm" textlink="">
      <xdr:nvSpPr>
        <xdr:cNvPr id="17" name="Rounded Rectangle 16"/>
        <xdr:cNvSpPr/>
      </xdr:nvSpPr>
      <xdr:spPr>
        <a:xfrm>
          <a:off x="4495800" y="2000250"/>
          <a:ext cx="2085975" cy="238125"/>
        </a:xfrm>
        <a:prstGeom prst="roundRect">
          <a:avLst/>
        </a:prstGeom>
        <a:gradFill>
          <a:gsLst>
            <a:gs pos="3300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gradFill>
            <a:gsLst>
              <a:gs pos="3200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7000" dir="168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Activate</a:t>
          </a:r>
        </a:p>
      </xdr:txBody>
    </xdr:sp>
    <xdr:clientData/>
  </xdr:twoCellAnchor>
  <xdr:twoCellAnchor>
    <xdr:from>
      <xdr:col>0</xdr:col>
      <xdr:colOff>254000</xdr:colOff>
      <xdr:row>2</xdr:row>
      <xdr:rowOff>117475</xdr:rowOff>
    </xdr:from>
    <xdr:to>
      <xdr:col>5</xdr:col>
      <xdr:colOff>0</xdr:colOff>
      <xdr:row>4</xdr:row>
      <xdr:rowOff>142875</xdr:rowOff>
    </xdr:to>
    <xdr:sp macro="ImportPreviousMonthReport" textlink="">
      <xdr:nvSpPr>
        <xdr:cNvPr id="7" name="btnImportPrevious"/>
        <xdr:cNvSpPr/>
      </xdr:nvSpPr>
      <xdr:spPr>
        <a:xfrm>
          <a:off x="254000" y="508000"/>
          <a:ext cx="2794000" cy="406400"/>
        </a:xfrm>
        <a:prstGeom prst="roundRect">
          <a:avLst/>
        </a:prstGeom>
        <a:gradFill flip="none" rotWithShape="0">
          <a:gsLst>
            <a:gs pos="0">
              <a:srgbClr val="1F4E79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1. Import Previous Month</a:t>
          </a:r>
        </a:p>
      </xdr:txBody>
    </xdr:sp>
    <xdr:clientData/>
  </xdr:twoCellAnchor>
  <xdr:twoCellAnchor>
    <xdr:from>
      <xdr:col>0</xdr:col>
      <xdr:colOff>254000</xdr:colOff>
      <xdr:row>5</xdr:row>
      <xdr:rowOff>53975</xdr:rowOff>
    </xdr:from>
    <xdr:to>
      <xdr:col>5</xdr:col>
      <xdr:colOff>0</xdr:colOff>
      <xdr:row>7</xdr:row>
      <xdr:rowOff>79375</xdr:rowOff>
    </xdr:to>
    <xdr:sp macro="ImportProvisionFiles" textlink="">
      <xdr:nvSpPr>
        <xdr:cNvPr id="8" name="btnImportProvision"/>
        <xdr:cNvSpPr/>
      </xdr:nvSpPr>
      <xdr:spPr>
        <a:xfrm>
          <a:off x="254000" y="1016000"/>
          <a:ext cx="2794000" cy="406400"/>
        </a:xfrm>
        <a:prstGeom prst="roundRect">
          <a:avLst/>
        </a:prstGeom>
        <a:gradFill flip="none" rotWithShape="0">
          <a:gsLst>
            <a:gs pos="0">
              <a:srgbClr val="2E75B6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2. Import Provision Files</a:t>
          </a:r>
        </a:p>
      </xdr:txBody>
    </xdr:sp>
    <xdr:clientData/>
  </xdr:twoCellAnchor>
  <xdr:twoCellAnchor>
    <xdr:from>
      <xdr:col>0</xdr:col>
      <xdr:colOff>254000</xdr:colOff>
      <xdr:row>7</xdr:row>
      <xdr:rowOff>180975</xdr:rowOff>
    </xdr:from>
    <xdr:to>
      <xdr:col>5</xdr:col>
      <xdr:colOff>0</xdr:colOff>
      <xdr:row>10</xdr:row>
      <xdr:rowOff>6350</xdr:rowOff>
    </xdr:to>
    <xdr:sp macro="GenerateMonthEndReport" textlink="">
      <xdr:nvSpPr>
        <xdr:cNvPr id="9" name="btnGenerateReport"/>
        <xdr:cNvSpPr/>
      </xdr:nvSpPr>
      <xdr:spPr>
        <a:xfrm>
          <a:off x="254000" y="1524000"/>
          <a:ext cx="2794000" cy="406400"/>
        </a:xfrm>
        <a:prstGeom prst="roundRect">
          <a:avLst/>
        </a:prstGeom>
        <a:gradFill flip="none" rotWithShape="0">
          <a:gsLst>
            <a:gs pos="0">
              <a:srgbClr val="468C46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3. Generate Month-End Report</a:t>
          </a:r>
        </a:p>
      </xdr:txBody>
    </xdr:sp>
    <xdr:clientData/>
  </xdr:twoCellAnchor>
  <xdr:twoCellAnchor>
    <xdr:from>
      <xdr:col>0</xdr:col>
      <xdr:colOff>254000</xdr:colOff>
      <xdr:row>10</xdr:row>
      <xdr:rowOff>107950</xdr:rowOff>
    </xdr:from>
    <xdr:to>
      <xdr:col>5</xdr:col>
      <xdr:colOff>0</xdr:colOff>
      <xdr:row>12</xdr:row>
      <xdr:rowOff>133350</xdr:rowOff>
    </xdr:to>
    <xdr:sp macro="ClearAddedContent" textlink="">
      <xdr:nvSpPr>
        <xdr:cNvPr id="10" name="btnClearMonth"/>
        <xdr:cNvSpPr/>
      </xdr:nvSpPr>
      <xdr:spPr>
        <a:xfrm>
          <a:off x="254000" y="2032000"/>
          <a:ext cx="2794000" cy="406400"/>
        </a:xfrm>
        <a:prstGeom prst="roundRect">
          <a:avLst/>
        </a:prstGeom>
        <a:gradFill flip="none" rotWithShape="0">
          <a:gsLst>
            <a:gs pos="0">
              <a:srgbClr val="E6912D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4. Close Month </a:t>
          </a:r>
        </a:p>
      </xdr:txBody>
    </xdr:sp>
    <xdr:clientData/>
  </xdr:twoCellAnchor>
  <xdr:twoCellAnchor>
    <xdr:from>
      <xdr:col>0</xdr:col>
      <xdr:colOff>254000</xdr:colOff>
      <xdr:row>13</xdr:row>
      <xdr:rowOff>44450</xdr:rowOff>
    </xdr:from>
    <xdr:to>
      <xdr:col>5</xdr:col>
      <xdr:colOff>0</xdr:colOff>
      <xdr:row>15</xdr:row>
      <xdr:rowOff>69850</xdr:rowOff>
    </xdr:to>
    <xdr:sp macro="[0]!RebuildSystem" textlink="">
      <xdr:nvSpPr>
        <xdr:cNvPr id="11" name="btnSetup"/>
        <xdr:cNvSpPr/>
      </xdr:nvSpPr>
      <xdr:spPr>
        <a:xfrm>
          <a:off x="254000" y="2540000"/>
          <a:ext cx="2794000" cy="406400"/>
        </a:xfrm>
        <a:prstGeom prst="roundRect">
          <a:avLst/>
        </a:prstGeom>
        <a:gradFill flip="none" rotWithShape="0">
          <a:gsLst>
            <a:gs pos="0">
              <a:srgbClr val="595959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Rebuild / Repair System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62484</xdr:colOff>
      <xdr:row>0</xdr:row>
      <xdr:rowOff>63220</xdr:rowOff>
    </xdr:from>
    <xdr:to>
      <xdr:col>0</xdr:col>
      <xdr:colOff>1473107</xdr:colOff>
      <xdr:row>0</xdr:row>
      <xdr:rowOff>309747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1076326</xdr:colOff>
      <xdr:row>13</xdr:row>
      <xdr:rowOff>19050</xdr:rowOff>
    </xdr:from>
    <xdr:to>
      <xdr:col>0</xdr:col>
      <xdr:colOff>2200276</xdr:colOff>
      <xdr:row>14</xdr:row>
      <xdr:rowOff>76200</xdr:rowOff>
    </xdr:to>
    <xdr:sp macro="[0]!OpenActivationForm" textlink="">
      <xdr:nvSpPr>
        <xdr:cNvPr id="2" name="Rectangle 1"/>
        <xdr:cNvSpPr/>
      </xdr:nvSpPr>
      <xdr:spPr>
        <a:xfrm>
          <a:off x="1076326" y="2495550"/>
          <a:ext cx="1123950" cy="247650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r>
            <a:rPr lang="en-US" sz="1100"/>
            <a:t>Activate</a:t>
          </a:r>
          <a:r>
            <a:rPr lang="en-US" sz="1100" baseline="0"/>
            <a:t> License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ItemMaster" displayName="ItemMaster" ref="A4:D405">
  <autoFilter ref="A4:D405"/>
  <tableColumns count="4">
    <tableColumn id="1" name="OCL/V CODE"/>
    <tableColumn id="2" name="ITEM NAME"/>
    <tableColumn id="3" name="ITEM FAMILY"/>
    <tableColumn id="4" name="UN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reviousClosing" displayName="PreviousClosing" ref="A4:E405">
  <autoFilter ref="A4:E405"/>
  <tableColumns count="5">
    <tableColumn id="1" name="OCL/V CODE"/>
    <tableColumn id="2" name="ITEM NAME"/>
    <tableColumn id="3" name="UNIT"/>
    <tableColumn id="4" name="PREVIOUS CLOSING QTY"/>
    <tableColumn id="5" name="CHECK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DeliveryLog" displayName="DeliveryLog" ref="A4:L1004">
  <autoFilter ref="A4:L1004"/>
  <tableColumns count="12">
    <tableColumn id="1" name="Delivery Date"/>
    <tableColumn id="2" name="PO / Invoice"/>
    <tableColumn id="3" name="Supplier"/>
    <tableColumn id="4" name="OCL/V CODE"/>
    <tableColumn id="5" name="ITEM NAME"/>
    <tableColumn id="6" name="UNIT"/>
    <tableColumn id="7" name="QTY RECEIVED"/>
    <tableColumn id="8" name="UNIT COST"/>
    <tableColumn id="9" name="CURRENCY"/>
    <tableColumn id="10" name="USD RATE"/>
    <tableColumn id="11" name="USD COST"/>
    <tableColumn id="12" name="SOURCE / NO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PhysicalCount" displayName="PhysicalCount" ref="A4:J405" headerRowDxfId="8">
  <autoFilter ref="A4:J405"/>
  <tableColumns count="10">
    <tableColumn id="1" name="OCL / V Code"/>
    <tableColumn id="2" name="Item Family"/>
    <tableColumn id="3" name="Unit"/>
    <tableColumn id="4" name="Beginning Qty" dataDxfId="7"/>
    <tableColumn id="5" name="Received Qty" dataDxfId="6"/>
    <tableColumn id="6" name="Total Qty" dataDxfId="5"/>
    <tableColumn id="7" name="Unit Cost" dataDxfId="4"/>
    <tableColumn id="8" name="Physical ROB" dataDxfId="3"/>
    <tableColumn id="9" name="Consumption" dataDxfId="2">
      <calculatedColumnFormula>IF(ISNUMBER(H5),F5-H5,"")</calculatedColumnFormula>
    </tableColumn>
    <tableColumn id="10" name="Remarks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id="5" name="DeliverySummary" displayName="DeliverySummary" ref="A4:I405">
  <autoFilter ref="A4:I405"/>
  <tableColumns count="9">
    <tableColumn id="1" name="OCL/V CODE"/>
    <tableColumn id="2" name="ITEM NAME"/>
    <tableColumn id="3" name="UNIT"/>
    <tableColumn id="4" name="TOTAL RECEIVED QTY"/>
    <tableColumn id="5" name="DELIVERY COUNT"/>
    <tableColumn id="6" name="FIRST PO"/>
    <tableColumn id="7" name="SECOND PO"/>
    <tableColumn id="8" name="THIRD+ PO COUNT"/>
    <tableColumn id="9" name="WEIGHTED AVG UNIT CO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MonthEndCalc" displayName="MonthEndCalc" ref="A4:J382">
  <autoFilter ref="A4:J382"/>
  <tableColumns count="10">
    <tableColumn id="1" name="OCL/V CODE"/>
    <tableColumn id="2" name="ITEM NAME"/>
    <tableColumn id="3" name="UNIT"/>
    <tableColumn id="4" name="BEGINNING QTY"/>
    <tableColumn id="5" name="TOTAL RECEIVED"/>
    <tableColumn id="6" name="ON BOARD"/>
    <tableColumn id="7" name="PHYSICAL CLOSING"/>
    <tableColumn id="8" name="CONSUMPTION QTY"/>
    <tableColumn id="9" name="CONSUMPTION / MEAL"/>
    <tableColumn id="10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17365D"/>
  </sheetPr>
  <dimension ref="A1:H17"/>
  <sheetViews>
    <sheetView showGridLines="0" workbookViewId="0">
      <pane ySplit="4" topLeftCell="A5" activePane="bottomLeft" state="frozen"/>
      <selection sqref="A1:F3"/>
      <selection pane="bottomLeft" activeCell="F6" sqref="F6"/>
    </sheetView>
  </sheetViews>
  <sheetFormatPr defaultRowHeight="15" x14ac:dyDescent="0.25"/>
  <cols>
    <col min="1" max="1" width="10" style="31" customWidth="1"/>
    <col min="2" max="2" width="24" style="31" customWidth="1"/>
    <col min="3" max="3" width="100" style="31" customWidth="1"/>
    <col min="4" max="4" width="7.28515625" customWidth="1"/>
    <col min="5" max="5" width="27" style="31" customWidth="1"/>
    <col min="6" max="6" width="24" style="31" customWidth="1"/>
  </cols>
  <sheetData>
    <row r="1" spans="1:8" ht="23.25" x14ac:dyDescent="0.35">
      <c r="A1" s="111" t="s">
        <v>0</v>
      </c>
      <c r="B1" s="109"/>
      <c r="C1" s="109"/>
      <c r="D1" s="110"/>
      <c r="E1" s="109"/>
      <c r="F1" s="109"/>
      <c r="G1" s="110"/>
      <c r="H1" s="110"/>
    </row>
    <row r="2" spans="1:8" x14ac:dyDescent="0.25">
      <c r="A2" s="108" t="s">
        <v>1</v>
      </c>
      <c r="B2" s="109"/>
      <c r="C2" s="109"/>
      <c r="D2" s="110"/>
      <c r="E2" s="109"/>
      <c r="F2" s="109"/>
      <c r="G2" s="110"/>
      <c r="H2" s="110"/>
    </row>
    <row r="3" spans="1:8" s="26" customFormat="1" x14ac:dyDescent="0.25">
      <c r="A3" s="32"/>
      <c r="B3" s="31"/>
      <c r="C3" s="31"/>
      <c r="E3" s="31"/>
      <c r="F3" s="31"/>
    </row>
    <row r="5" spans="1:8" x14ac:dyDescent="0.25">
      <c r="A5" s="33" t="s">
        <v>2</v>
      </c>
      <c r="B5" s="33" t="s">
        <v>3</v>
      </c>
      <c r="C5" s="33" t="s">
        <v>4</v>
      </c>
      <c r="E5" s="34" t="s">
        <v>5</v>
      </c>
    </row>
    <row r="6" spans="1:8" ht="33.950000000000003" customHeight="1" x14ac:dyDescent="0.25">
      <c r="A6" s="35" t="s">
        <v>6</v>
      </c>
      <c r="B6" s="35" t="s">
        <v>7</v>
      </c>
      <c r="C6" s="35" t="s">
        <v>8</v>
      </c>
      <c r="E6" s="89" t="s">
        <v>9</v>
      </c>
      <c r="F6" s="105"/>
    </row>
    <row r="7" spans="1:8" ht="30" x14ac:dyDescent="0.25">
      <c r="A7" s="35" t="s">
        <v>10</v>
      </c>
      <c r="B7" s="35" t="s">
        <v>1035</v>
      </c>
      <c r="C7" s="35" t="s">
        <v>1037</v>
      </c>
      <c r="E7" s="89" t="s">
        <v>11</v>
      </c>
      <c r="F7" s="106"/>
    </row>
    <row r="8" spans="1:8" ht="30" x14ac:dyDescent="0.25">
      <c r="A8" s="35" t="s">
        <v>12</v>
      </c>
      <c r="B8" s="35" t="s">
        <v>13</v>
      </c>
      <c r="C8" s="35" t="s">
        <v>994</v>
      </c>
      <c r="E8" s="89" t="s">
        <v>14</v>
      </c>
      <c r="F8" s="107"/>
    </row>
    <row r="9" spans="1:8" ht="30" x14ac:dyDescent="0.25">
      <c r="A9" s="35" t="s">
        <v>15</v>
      </c>
      <c r="B9" s="35" t="s">
        <v>16</v>
      </c>
      <c r="C9" s="35" t="s">
        <v>1039</v>
      </c>
      <c r="E9" s="89" t="s">
        <v>17</v>
      </c>
      <c r="F9" s="88" t="s">
        <v>18</v>
      </c>
    </row>
    <row r="10" spans="1:8" x14ac:dyDescent="0.25">
      <c r="A10" s="35" t="s">
        <v>19</v>
      </c>
      <c r="B10" s="35" t="s">
        <v>20</v>
      </c>
      <c r="C10" s="35" t="s">
        <v>1038</v>
      </c>
      <c r="E10" s="90" t="s">
        <v>21</v>
      </c>
      <c r="F10" s="38">
        <f>SUM(PARTIES!F4:F103)</f>
        <v>0</v>
      </c>
    </row>
    <row r="11" spans="1:8" x14ac:dyDescent="0.25">
      <c r="A11" s="35" t="s">
        <v>22</v>
      </c>
      <c r="B11" s="35" t="s">
        <v>23</v>
      </c>
      <c r="C11" s="35" t="s">
        <v>1036</v>
      </c>
      <c r="E11" s="90" t="s">
        <v>24</v>
      </c>
      <c r="F11" s="38">
        <f>IFERROR('Stock Report'!Z494-F10,0)</f>
        <v>0</v>
      </c>
    </row>
    <row r="12" spans="1:8" ht="15.75" thickBot="1" x14ac:dyDescent="0.3">
      <c r="A12" s="85"/>
      <c r="B12" s="85"/>
      <c r="C12" s="85"/>
      <c r="E12" s="90" t="s">
        <v>25</v>
      </c>
      <c r="F12" s="38" t="str">
        <f>IFERROR(F11/F8,"")</f>
        <v/>
      </c>
    </row>
    <row r="13" spans="1:8" ht="16.5" customHeight="1" thickBot="1" x14ac:dyDescent="0.3">
      <c r="A13" s="85"/>
      <c r="E13" s="90" t="s">
        <v>26</v>
      </c>
      <c r="F13" s="87" t="str">
        <f>IF(F8="","ENTER MEALS",IF(F12&lt;0,"CHECK PARTY COST","READY"))</f>
        <v>ENTER MEALS</v>
      </c>
    </row>
    <row r="14" spans="1:8" ht="16.5" customHeight="1" x14ac:dyDescent="0.25">
      <c r="A14" s="85"/>
      <c r="E14" s="90" t="s">
        <v>27</v>
      </c>
    </row>
    <row r="15" spans="1:8" x14ac:dyDescent="0.25">
      <c r="E15" s="90" t="s">
        <v>28</v>
      </c>
    </row>
    <row r="16" spans="1:8" x14ac:dyDescent="0.25">
      <c r="B16" s="86"/>
      <c r="C16" s="86"/>
    </row>
    <row r="17" spans="2:3" x14ac:dyDescent="0.25">
      <c r="B17" s="86"/>
      <c r="C17" s="86"/>
    </row>
  </sheetData>
  <sheetProtection password="BCBB" sheet="1" objects="1" scenarios="1" selectLockedCells="1"/>
  <mergeCells count="2">
    <mergeCell ref="A2:H2"/>
    <mergeCell ref="A1:H1"/>
  </mergeCells>
  <conditionalFormatting sqref="F13">
    <cfRule type="containsText" dxfId="12" priority="3" operator="containsText" text="ENTER MEALS">
      <formula>NOT(ISERROR(SEARCH("ENTER MEALS",F13)))</formula>
    </cfRule>
    <cfRule type="containsText" dxfId="11" priority="2" operator="containsText" text="READY">
      <formula>NOT(ISERROR(SEARCH("READY",F13)))</formula>
    </cfRule>
  </conditionalFormatting>
  <conditionalFormatting sqref="F12">
    <cfRule type="colorScale" priority="1">
      <colorScale>
        <cfvo type="num" val="10.5"/>
        <cfvo type="num" val="11.5"/>
        <cfvo type="num" val="13"/>
        <color rgb="FFFFFF00"/>
        <color rgb="FF92D050"/>
        <color rgb="FFFF000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</sheetPr>
  <dimension ref="H2:I10"/>
  <sheetViews>
    <sheetView showGridLines="0" tabSelected="1" workbookViewId="0">
      <selection activeCell="I17" sqref="I17"/>
    </sheetView>
  </sheetViews>
  <sheetFormatPr defaultRowHeight="15" x14ac:dyDescent="0.25"/>
  <cols>
    <col min="8" max="8" width="19.5703125" customWidth="1"/>
    <col min="9" max="9" width="18.85546875" customWidth="1"/>
  </cols>
  <sheetData>
    <row r="2" spans="8:9" ht="15.75" thickBot="1" x14ac:dyDescent="0.3"/>
    <row r="3" spans="8:9" x14ac:dyDescent="0.25">
      <c r="H3" s="96"/>
      <c r="I3" s="97"/>
    </row>
    <row r="4" spans="8:9" x14ac:dyDescent="0.25">
      <c r="H4" s="98" t="s">
        <v>1040</v>
      </c>
      <c r="I4" s="99" t="str">
        <f>LICENSE!B3</f>
        <v>PA-PC1-BRIDGE</v>
      </c>
    </row>
    <row r="5" spans="8:9" x14ac:dyDescent="0.25">
      <c r="H5" s="98" t="s">
        <v>1041</v>
      </c>
      <c r="I5" s="100" t="str">
        <f>LICENSE!B4</f>
        <v>ACTIVE</v>
      </c>
    </row>
    <row r="6" spans="8:9" x14ac:dyDescent="0.25">
      <c r="H6" s="98" t="s">
        <v>1042</v>
      </c>
      <c r="I6" s="101" t="str">
        <f>LICENSE!B5</f>
        <v>TRIAL</v>
      </c>
    </row>
    <row r="7" spans="8:9" x14ac:dyDescent="0.25">
      <c r="H7" s="98" t="s">
        <v>1043</v>
      </c>
      <c r="I7" s="102">
        <f>LICENSE!B6</f>
        <v>46296</v>
      </c>
    </row>
    <row r="8" spans="8:9" x14ac:dyDescent="0.25">
      <c r="H8" s="98" t="s">
        <v>1044</v>
      </c>
      <c r="I8" s="102">
        <f>LICENSE!B7</f>
        <v>46296</v>
      </c>
    </row>
    <row r="9" spans="8:9" x14ac:dyDescent="0.25">
      <c r="H9" s="98" t="s">
        <v>1045</v>
      </c>
      <c r="I9" s="102">
        <f>LICENSE!B8</f>
        <v>46296</v>
      </c>
    </row>
    <row r="10" spans="8:9" ht="15.75" thickBot="1" x14ac:dyDescent="0.3">
      <c r="H10" s="103"/>
      <c r="I10" s="104"/>
    </row>
  </sheetData>
  <sheetProtection password="BCBB" sheet="1" objects="1" scenarios="1" selectLockedCells="1" selectUnlockedCells="1"/>
  <conditionalFormatting sqref="I5">
    <cfRule type="containsText" dxfId="10" priority="1" operator="containsText" text="ACTIVE">
      <formula>NOT(ISERROR(SEARCH("ACTIVE",I5)))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tnExportPhysicalCount">
              <controlPr defaultSize="0" print="0" autoFill="0" autoPict="0" macro="[0]!ExportPhysicalCount">
                <anchor moveWithCells="1" sizeWithCells="1">
                  <from>
                    <xdr:col>0</xdr:col>
                    <xdr:colOff>247650</xdr:colOff>
                    <xdr:row>18</xdr:row>
                    <xdr:rowOff>123825</xdr:rowOff>
                  </from>
                  <to>
                    <xdr:col>5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" name="btnImportCompletedPhysicalCount">
              <controlPr defaultSize="0" print="0" autoFill="0" autoPict="0" macro="[0]!ImportCompletedPhysicalCount">
                <anchor moveWithCells="1" sizeWithCells="1">
                  <from>
                    <xdr:col>0</xdr:col>
                    <xdr:colOff>247650</xdr:colOff>
                    <xdr:row>21</xdr:row>
                    <xdr:rowOff>57150</xdr:rowOff>
                  </from>
                  <to>
                    <xdr:col>5</xdr:col>
                    <xdr:colOff>0</xdr:colOff>
                    <xdr:row>23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  <pageSetUpPr fitToPage="1"/>
  </sheetPr>
  <dimension ref="A1:AA494"/>
  <sheetViews>
    <sheetView showGridLines="0" topLeftCell="B10" workbookViewId="0">
      <selection activeCell="C18" sqref="C18"/>
    </sheetView>
  </sheetViews>
  <sheetFormatPr defaultRowHeight="15" x14ac:dyDescent="0.25"/>
  <cols>
    <col min="1" max="1" width="41.42578125" style="30" customWidth="1"/>
    <col min="2" max="2" width="22.140625" style="30" customWidth="1"/>
    <col min="3" max="3" width="22" style="30" customWidth="1"/>
    <col min="4" max="4" width="13.7109375" style="30" customWidth="1"/>
    <col min="5" max="5" width="6.140625" style="30" customWidth="1"/>
    <col min="6" max="6" width="7.28515625" style="30" customWidth="1"/>
    <col min="7" max="7" width="9.28515625" style="30" customWidth="1"/>
    <col min="8" max="8" width="6.140625" style="30" customWidth="1"/>
    <col min="9" max="9" width="7.28515625" style="30" customWidth="1"/>
    <col min="10" max="10" width="9.42578125" style="30" customWidth="1"/>
    <col min="11" max="11" width="9.28515625" style="30" customWidth="1"/>
    <col min="12" max="12" width="6.140625" style="30" customWidth="1"/>
    <col min="13" max="13" width="7.28515625" style="30" customWidth="1"/>
    <col min="14" max="14" width="9.42578125" style="30" customWidth="1"/>
    <col min="15" max="15" width="9.28515625" style="30" customWidth="1"/>
    <col min="16" max="16" width="6.140625" style="30" customWidth="1"/>
    <col min="17" max="17" width="7.28515625" style="30" customWidth="1"/>
    <col min="18" max="18" width="9.28515625" style="30" customWidth="1"/>
    <col min="19" max="19" width="6.140625" style="30" customWidth="1"/>
    <col min="20" max="20" width="7.28515625" style="30" customWidth="1"/>
    <col min="21" max="21" width="9.28515625" style="30" customWidth="1"/>
    <col min="22" max="22" width="8.7109375" style="30" bestFit="1" customWidth="1"/>
    <col min="23" max="23" width="7.28515625" style="30" customWidth="1"/>
    <col min="24" max="24" width="9.28515625" style="30" customWidth="1"/>
    <col min="25" max="25" width="6.140625" style="30" customWidth="1"/>
    <col min="26" max="26" width="9.28515625" style="30" customWidth="1"/>
  </cols>
  <sheetData>
    <row r="1" spans="1:27" s="30" customFormat="1" ht="7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7" s="30" customFormat="1" ht="18" customHeight="1" x14ac:dyDescent="0.25">
      <c r="A2" s="117" t="s">
        <v>71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</row>
    <row r="3" spans="1:27" s="30" customFormat="1" ht="17.25" customHeight="1" x14ac:dyDescent="0.25">
      <c r="A3" s="36" t="s">
        <v>72</v>
      </c>
      <c r="B3" s="27"/>
      <c r="C3" s="2"/>
      <c r="D3" s="2"/>
      <c r="E3" s="27"/>
      <c r="F3" s="27"/>
      <c r="G3" s="3"/>
      <c r="H3" s="27"/>
      <c r="I3" s="27"/>
      <c r="J3" s="27"/>
      <c r="K3" s="3"/>
      <c r="L3" s="27"/>
      <c r="M3" s="27"/>
      <c r="N3" s="27"/>
      <c r="O3" s="3"/>
      <c r="P3" s="27"/>
      <c r="Q3" s="27"/>
      <c r="R3" s="3"/>
      <c r="S3" s="27"/>
      <c r="T3" s="27"/>
      <c r="U3" s="3"/>
      <c r="V3" s="27"/>
      <c r="W3" s="27"/>
      <c r="X3" s="3"/>
      <c r="Y3" s="27"/>
      <c r="Z3" s="3"/>
    </row>
    <row r="4" spans="1:27" s="30" customFormat="1" ht="18" customHeight="1" x14ac:dyDescent="0.25">
      <c r="A4" s="4" t="s">
        <v>29</v>
      </c>
      <c r="B4" s="5">
        <f>'START HERE'!F7</f>
        <v>0</v>
      </c>
      <c r="C4" s="2"/>
      <c r="D4" s="2"/>
      <c r="E4" s="27"/>
      <c r="F4" s="27"/>
      <c r="G4" s="3"/>
      <c r="H4" s="27"/>
      <c r="I4" s="27"/>
      <c r="J4" s="27"/>
      <c r="K4" s="3"/>
      <c r="L4" s="27"/>
      <c r="M4" s="27"/>
      <c r="N4" s="27"/>
      <c r="O4" s="3"/>
      <c r="P4" s="27"/>
      <c r="Q4" s="27"/>
      <c r="R4" s="3"/>
      <c r="S4" s="27"/>
      <c r="T4" s="27"/>
      <c r="U4" s="3"/>
      <c r="V4" s="27"/>
      <c r="W4" s="27"/>
      <c r="X4" s="3"/>
      <c r="Y4" s="27"/>
      <c r="Z4" s="37" t="s">
        <v>14</v>
      </c>
      <c r="AA4" s="38">
        <f>'START HERE'!F8</f>
        <v>0</v>
      </c>
    </row>
    <row r="5" spans="1:27" s="30" customFormat="1" ht="18" customHeight="1" x14ac:dyDescent="0.25">
      <c r="A5" s="4" t="s">
        <v>30</v>
      </c>
      <c r="B5" s="6">
        <f>'START HERE'!F6</f>
        <v>0</v>
      </c>
      <c r="D5" s="2"/>
      <c r="E5" s="27"/>
      <c r="F5" s="27"/>
      <c r="G5" s="3"/>
      <c r="H5" s="27"/>
      <c r="I5" s="27"/>
      <c r="J5" s="27"/>
      <c r="K5" s="3"/>
      <c r="L5" s="27"/>
      <c r="M5" s="27"/>
      <c r="N5" s="27"/>
      <c r="O5" s="3"/>
      <c r="P5" s="27"/>
      <c r="Q5" s="27"/>
      <c r="R5" s="3"/>
      <c r="S5" s="27"/>
      <c r="T5" s="27"/>
      <c r="U5" s="3"/>
      <c r="V5" s="27"/>
      <c r="W5" s="27"/>
      <c r="X5" s="3"/>
      <c r="Y5" s="27"/>
      <c r="Z5" s="37" t="s">
        <v>73</v>
      </c>
      <c r="AA5" s="38">
        <f>IFERROR(B10/AA4,0)</f>
        <v>0</v>
      </c>
    </row>
    <row r="6" spans="1:27" s="30" customFormat="1" ht="18" customHeight="1" x14ac:dyDescent="0.25">
      <c r="A6" s="4" t="s">
        <v>74</v>
      </c>
      <c r="B6" s="39">
        <f>SUM('MONTH END CALC'!D5:D382)</f>
        <v>0</v>
      </c>
      <c r="C6" s="2"/>
      <c r="D6" s="2"/>
      <c r="E6" s="27"/>
      <c r="F6" s="27"/>
      <c r="G6" s="3"/>
      <c r="H6" s="27"/>
      <c r="I6" s="27"/>
      <c r="J6" s="27"/>
      <c r="K6" s="3"/>
      <c r="L6" s="27"/>
      <c r="M6" s="27"/>
      <c r="N6" s="27"/>
      <c r="O6" s="3"/>
      <c r="P6" s="27"/>
      <c r="Q6" s="27"/>
      <c r="R6" s="3"/>
      <c r="S6" s="27"/>
      <c r="T6" s="27"/>
      <c r="U6" s="3"/>
      <c r="V6" s="27"/>
      <c r="W6" s="27"/>
      <c r="X6" s="3"/>
      <c r="Y6" s="27"/>
      <c r="Z6" s="3"/>
    </row>
    <row r="7" spans="1:27" s="30" customFormat="1" ht="30.75" customHeight="1" x14ac:dyDescent="0.25">
      <c r="A7" s="4" t="s">
        <v>75</v>
      </c>
      <c r="B7" s="39">
        <f>SUM('MONTH END CALC'!E5:E382)</f>
        <v>0</v>
      </c>
      <c r="C7" s="2"/>
      <c r="D7" s="2"/>
      <c r="E7" s="122"/>
      <c r="F7" s="120"/>
      <c r="G7" s="7"/>
      <c r="H7" s="121" t="s">
        <v>76</v>
      </c>
      <c r="I7" s="113"/>
      <c r="J7" s="114"/>
      <c r="K7" s="8"/>
      <c r="L7" s="121" t="s">
        <v>76</v>
      </c>
      <c r="M7" s="113"/>
      <c r="N7" s="114"/>
      <c r="O7" s="8" t="s">
        <v>32</v>
      </c>
      <c r="P7" s="122"/>
      <c r="Q7" s="120"/>
      <c r="R7" s="7"/>
      <c r="S7" s="122"/>
      <c r="T7" s="120"/>
      <c r="U7" s="7"/>
      <c r="V7" s="122"/>
      <c r="W7" s="120"/>
      <c r="X7" s="7"/>
      <c r="Y7" s="27"/>
      <c r="Z7" s="7"/>
      <c r="AA7" s="120"/>
    </row>
    <row r="8" spans="1:27" s="30" customFormat="1" ht="18" customHeight="1" x14ac:dyDescent="0.25">
      <c r="A8" s="4" t="s">
        <v>77</v>
      </c>
      <c r="B8" s="39">
        <f>SUM('MONTH END CALC'!F5:F382)</f>
        <v>0</v>
      </c>
      <c r="C8" s="2"/>
      <c r="D8" s="2"/>
      <c r="E8" s="122"/>
      <c r="F8" s="120"/>
      <c r="G8" s="7"/>
      <c r="H8" s="121" t="s">
        <v>78</v>
      </c>
      <c r="I8" s="113"/>
      <c r="J8" s="114"/>
      <c r="K8" s="8" t="s">
        <v>79</v>
      </c>
      <c r="L8" s="121" t="s">
        <v>78</v>
      </c>
      <c r="M8" s="113"/>
      <c r="N8" s="114"/>
      <c r="O8" s="8" t="s">
        <v>80</v>
      </c>
      <c r="P8" s="122"/>
      <c r="Q8" s="120"/>
      <c r="R8" s="7"/>
      <c r="S8" s="122"/>
      <c r="T8" s="120"/>
      <c r="U8" s="7"/>
      <c r="V8" s="122"/>
      <c r="W8" s="120"/>
      <c r="X8" s="7"/>
      <c r="Y8" s="27"/>
      <c r="Z8" s="7"/>
      <c r="AA8" s="120"/>
    </row>
    <row r="9" spans="1:27" s="30" customFormat="1" ht="18.75" customHeight="1" x14ac:dyDescent="0.25">
      <c r="A9" s="4" t="s">
        <v>81</v>
      </c>
      <c r="B9" s="39">
        <f>SUM('MONTH END CALC'!G5:G382)</f>
        <v>0</v>
      </c>
      <c r="C9" s="2"/>
      <c r="D9" s="2"/>
      <c r="E9" s="119"/>
      <c r="F9" s="120"/>
      <c r="G9" s="7"/>
      <c r="H9" s="123" t="s">
        <v>82</v>
      </c>
      <c r="I9" s="113"/>
      <c r="J9" s="114"/>
      <c r="K9" s="8"/>
      <c r="L9" s="123" t="s">
        <v>82</v>
      </c>
      <c r="M9" s="113"/>
      <c r="N9" s="114"/>
      <c r="O9" s="8" t="s">
        <v>83</v>
      </c>
      <c r="P9" s="119"/>
      <c r="Q9" s="120"/>
      <c r="R9" s="7"/>
      <c r="S9" s="119"/>
      <c r="T9" s="120"/>
      <c r="U9" s="7"/>
      <c r="V9" s="119"/>
      <c r="W9" s="120"/>
      <c r="X9" s="7"/>
      <c r="Y9" s="28"/>
      <c r="Z9" s="7"/>
      <c r="AA9" s="120"/>
    </row>
    <row r="10" spans="1:27" s="30" customFormat="1" ht="20.25" customHeight="1" x14ac:dyDescent="0.25">
      <c r="A10" s="4" t="s">
        <v>84</v>
      </c>
      <c r="B10" s="39">
        <f>SUM('MONTH END CALC'!H5:H382)</f>
        <v>0</v>
      </c>
      <c r="C10" s="2"/>
      <c r="D10" s="2"/>
      <c r="E10" s="122"/>
      <c r="F10" s="120"/>
      <c r="G10" s="7"/>
      <c r="H10" s="121" t="s">
        <v>85</v>
      </c>
      <c r="I10" s="113"/>
      <c r="J10" s="114"/>
      <c r="K10" s="40">
        <v>1.1486000000000001</v>
      </c>
      <c r="L10" s="121" t="s">
        <v>85</v>
      </c>
      <c r="M10" s="113"/>
      <c r="N10" s="114"/>
      <c r="O10" s="40">
        <v>1.1486000000000001</v>
      </c>
      <c r="P10" s="122"/>
      <c r="Q10" s="120"/>
      <c r="R10" s="7"/>
      <c r="S10" s="124"/>
      <c r="T10" s="120"/>
      <c r="U10" s="7"/>
      <c r="V10" s="122"/>
      <c r="W10" s="120"/>
      <c r="X10" s="7"/>
      <c r="Y10" s="27"/>
      <c r="Z10" s="7"/>
      <c r="AA10" s="120"/>
    </row>
    <row r="11" spans="1:27" s="30" customFormat="1" ht="6.75" customHeight="1" x14ac:dyDescent="0.25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120"/>
    </row>
    <row r="12" spans="1:27" s="30" customFormat="1" ht="15" customHeight="1" x14ac:dyDescent="0.25">
      <c r="A12" s="9"/>
      <c r="B12" s="2"/>
      <c r="C12" s="2"/>
      <c r="D12" s="2"/>
      <c r="E12" s="115" t="s">
        <v>86</v>
      </c>
      <c r="F12" s="113"/>
      <c r="G12" s="116"/>
      <c r="H12" s="115" t="s">
        <v>87</v>
      </c>
      <c r="I12" s="113"/>
      <c r="J12" s="113"/>
      <c r="K12" s="116"/>
      <c r="L12" s="115" t="s">
        <v>87</v>
      </c>
      <c r="M12" s="113"/>
      <c r="N12" s="113"/>
      <c r="O12" s="116"/>
      <c r="P12" s="115" t="s">
        <v>88</v>
      </c>
      <c r="Q12" s="113"/>
      <c r="R12" s="116"/>
      <c r="S12" s="115" t="s">
        <v>89</v>
      </c>
      <c r="T12" s="113"/>
      <c r="U12" s="116"/>
      <c r="V12" s="115" t="s">
        <v>90</v>
      </c>
      <c r="W12" s="113"/>
      <c r="X12" s="116"/>
      <c r="Y12" s="115" t="s">
        <v>91</v>
      </c>
      <c r="Z12" s="116"/>
    </row>
    <row r="13" spans="1:27" s="30" customFormat="1" ht="18" customHeight="1" x14ac:dyDescent="0.25">
      <c r="A13" s="9"/>
      <c r="B13" s="2"/>
      <c r="C13" s="2"/>
      <c r="D13" s="2"/>
      <c r="E13" s="10"/>
      <c r="F13" s="11"/>
      <c r="G13" s="12"/>
      <c r="H13" s="10" t="s">
        <v>92</v>
      </c>
      <c r="I13" s="11"/>
      <c r="J13" s="13"/>
      <c r="K13" s="12"/>
      <c r="L13" s="10"/>
      <c r="M13" s="11"/>
      <c r="N13" s="13"/>
      <c r="O13" s="12"/>
      <c r="P13" s="10"/>
      <c r="Q13" s="11"/>
      <c r="R13" s="12"/>
      <c r="S13" s="10"/>
      <c r="T13" s="11"/>
      <c r="U13" s="12"/>
      <c r="V13" s="10"/>
      <c r="W13" s="11"/>
      <c r="X13" s="12"/>
      <c r="Y13" s="10"/>
      <c r="Z13" s="12"/>
    </row>
    <row r="14" spans="1:27" s="30" customFormat="1" ht="25.5" customHeight="1" x14ac:dyDescent="0.25">
      <c r="A14" s="14" t="s">
        <v>93</v>
      </c>
      <c r="B14" s="15" t="s">
        <v>94</v>
      </c>
      <c r="C14" s="15" t="s">
        <v>95</v>
      </c>
      <c r="D14" s="15" t="s">
        <v>96</v>
      </c>
      <c r="E14" s="16" t="s">
        <v>97</v>
      </c>
      <c r="F14" s="15" t="s">
        <v>98</v>
      </c>
      <c r="G14" s="15" t="s">
        <v>99</v>
      </c>
      <c r="H14" s="16" t="s">
        <v>97</v>
      </c>
      <c r="I14" s="15" t="s">
        <v>98</v>
      </c>
      <c r="J14" s="15" t="s">
        <v>99</v>
      </c>
      <c r="K14" s="15" t="s">
        <v>99</v>
      </c>
      <c r="L14" s="16" t="s">
        <v>97</v>
      </c>
      <c r="M14" s="15" t="s">
        <v>98</v>
      </c>
      <c r="N14" s="15" t="s">
        <v>99</v>
      </c>
      <c r="O14" s="15" t="s">
        <v>99</v>
      </c>
      <c r="P14" s="16" t="s">
        <v>97</v>
      </c>
      <c r="Q14" s="15" t="s">
        <v>98</v>
      </c>
      <c r="R14" s="15" t="s">
        <v>99</v>
      </c>
      <c r="S14" s="16" t="s">
        <v>97</v>
      </c>
      <c r="T14" s="15" t="s">
        <v>98</v>
      </c>
      <c r="U14" s="15" t="s">
        <v>99</v>
      </c>
      <c r="V14" s="16" t="s">
        <v>97</v>
      </c>
      <c r="W14" s="15" t="s">
        <v>98</v>
      </c>
      <c r="X14" s="15" t="s">
        <v>99</v>
      </c>
      <c r="Y14" s="16" t="s">
        <v>97</v>
      </c>
      <c r="Z14" s="15" t="s">
        <v>99</v>
      </c>
    </row>
    <row r="15" spans="1:27" s="30" customFormat="1" ht="12.6" customHeight="1" x14ac:dyDescent="0.25">
      <c r="A15" s="17"/>
      <c r="B15" s="18"/>
      <c r="C15" s="18"/>
      <c r="D15" s="18"/>
      <c r="E15" s="19"/>
      <c r="F15" s="29"/>
      <c r="G15" s="20" t="s">
        <v>18</v>
      </c>
      <c r="H15" s="19"/>
      <c r="I15" s="125" t="s">
        <v>100</v>
      </c>
      <c r="J15" s="114"/>
      <c r="K15" s="20" t="s">
        <v>18</v>
      </c>
      <c r="L15" s="19"/>
      <c r="M15" s="125" t="s">
        <v>100</v>
      </c>
      <c r="N15" s="114"/>
      <c r="O15" s="20" t="s">
        <v>18</v>
      </c>
      <c r="P15" s="19"/>
      <c r="Q15" s="29"/>
      <c r="R15" s="20" t="s">
        <v>18</v>
      </c>
      <c r="S15" s="19"/>
      <c r="T15" s="29"/>
      <c r="U15" s="20" t="s">
        <v>18</v>
      </c>
      <c r="V15" s="19"/>
      <c r="W15" s="29"/>
      <c r="X15" s="20" t="s">
        <v>18</v>
      </c>
      <c r="Y15" s="19"/>
      <c r="Z15" s="20" t="s">
        <v>18</v>
      </c>
    </row>
    <row r="16" spans="1:27" s="30" customFormat="1" ht="18" customHeight="1" x14ac:dyDescent="0.25">
      <c r="A16" s="21" t="s">
        <v>106</v>
      </c>
      <c r="B16" s="22">
        <v>1010010</v>
      </c>
      <c r="C16" s="23" t="s">
        <v>107</v>
      </c>
      <c r="D16" s="22" t="s">
        <v>35</v>
      </c>
      <c r="E16" s="41">
        <v>0</v>
      </c>
      <c r="F16" s="42">
        <v>0</v>
      </c>
      <c r="G16" s="43">
        <v>0</v>
      </c>
      <c r="H16" s="24"/>
      <c r="I16" s="25"/>
      <c r="J16" s="25"/>
      <c r="K16" s="25"/>
      <c r="L16" s="44"/>
      <c r="M16" s="45"/>
      <c r="N16" s="46"/>
      <c r="O16" s="46"/>
      <c r="P16" s="47"/>
      <c r="Q16" s="48"/>
      <c r="R16" s="49"/>
      <c r="S16" s="50">
        <v>0</v>
      </c>
      <c r="T16" s="51">
        <v>0</v>
      </c>
      <c r="U16" s="52">
        <v>0</v>
      </c>
      <c r="V16" s="53">
        <v>0</v>
      </c>
      <c r="W16" s="54">
        <v>0</v>
      </c>
      <c r="X16" s="55">
        <v>0</v>
      </c>
      <c r="Y16" s="56">
        <v>0</v>
      </c>
      <c r="Z16" s="57">
        <v>0</v>
      </c>
    </row>
    <row r="17" spans="1:26" s="30" customFormat="1" ht="18" customHeight="1" x14ac:dyDescent="0.25">
      <c r="A17" s="21" t="s">
        <v>109</v>
      </c>
      <c r="B17" s="22">
        <v>1010015</v>
      </c>
      <c r="C17" s="23" t="s">
        <v>107</v>
      </c>
      <c r="D17" s="22" t="s">
        <v>35</v>
      </c>
      <c r="E17" s="41">
        <v>0</v>
      </c>
      <c r="F17" s="42">
        <v>0</v>
      </c>
      <c r="G17" s="43">
        <v>0</v>
      </c>
      <c r="H17" s="44"/>
      <c r="I17" s="45"/>
      <c r="J17" s="46"/>
      <c r="K17" s="46"/>
      <c r="L17" s="24"/>
      <c r="M17" s="25"/>
      <c r="N17" s="25"/>
      <c r="O17" s="25"/>
      <c r="P17" s="47"/>
      <c r="Q17" s="48"/>
      <c r="R17" s="49"/>
      <c r="S17" s="50">
        <v>0</v>
      </c>
      <c r="T17" s="51">
        <v>0</v>
      </c>
      <c r="U17" s="52">
        <v>0</v>
      </c>
      <c r="V17" s="53">
        <v>0</v>
      </c>
      <c r="W17" s="54">
        <v>0</v>
      </c>
      <c r="X17" s="55">
        <v>0</v>
      </c>
      <c r="Y17" s="56">
        <v>0</v>
      </c>
      <c r="Z17" s="57">
        <v>0</v>
      </c>
    </row>
    <row r="18" spans="1:26" s="30" customFormat="1" ht="18" customHeight="1" x14ac:dyDescent="0.25">
      <c r="A18" s="21" t="s">
        <v>111</v>
      </c>
      <c r="B18" s="22">
        <v>1010030</v>
      </c>
      <c r="C18" s="23" t="s">
        <v>107</v>
      </c>
      <c r="D18" s="22" t="s">
        <v>35</v>
      </c>
      <c r="E18" s="47">
        <v>0</v>
      </c>
      <c r="F18" s="48">
        <v>0</v>
      </c>
      <c r="G18" s="49">
        <v>0</v>
      </c>
      <c r="H18" s="44"/>
      <c r="I18" s="45"/>
      <c r="J18" s="46"/>
      <c r="K18" s="46"/>
      <c r="L18" s="24"/>
      <c r="M18" s="25"/>
      <c r="N18" s="25"/>
      <c r="O18" s="25"/>
      <c r="P18" s="47"/>
      <c r="Q18" s="48"/>
      <c r="R18" s="49"/>
      <c r="S18" s="50">
        <v>0</v>
      </c>
      <c r="T18" s="51">
        <v>0</v>
      </c>
      <c r="U18" s="52">
        <v>0</v>
      </c>
      <c r="V18" s="53">
        <v>0</v>
      </c>
      <c r="W18" s="54">
        <v>0</v>
      </c>
      <c r="X18" s="55">
        <v>0</v>
      </c>
      <c r="Y18" s="47">
        <v>0</v>
      </c>
      <c r="Z18" s="49">
        <v>0</v>
      </c>
    </row>
    <row r="19" spans="1:26" s="30" customFormat="1" ht="18" customHeight="1" x14ac:dyDescent="0.25">
      <c r="A19" s="21" t="s">
        <v>113</v>
      </c>
      <c r="B19" s="22">
        <v>1010070</v>
      </c>
      <c r="C19" s="23" t="s">
        <v>107</v>
      </c>
      <c r="D19" s="22" t="s">
        <v>35</v>
      </c>
      <c r="E19" s="41">
        <v>0</v>
      </c>
      <c r="F19" s="42">
        <v>0</v>
      </c>
      <c r="G19" s="43">
        <v>0</v>
      </c>
      <c r="H19" s="44"/>
      <c r="I19" s="45"/>
      <c r="J19" s="46"/>
      <c r="K19" s="46"/>
      <c r="L19" s="24"/>
      <c r="M19" s="25"/>
      <c r="N19" s="25"/>
      <c r="O19" s="25"/>
      <c r="P19" s="47"/>
      <c r="Q19" s="48"/>
      <c r="R19" s="49"/>
      <c r="S19" s="50">
        <v>0</v>
      </c>
      <c r="T19" s="51">
        <v>0</v>
      </c>
      <c r="U19" s="52">
        <v>0</v>
      </c>
      <c r="V19" s="53">
        <v>0</v>
      </c>
      <c r="W19" s="54">
        <v>0</v>
      </c>
      <c r="X19" s="55">
        <v>0</v>
      </c>
      <c r="Y19" s="56">
        <v>0</v>
      </c>
      <c r="Z19" s="57">
        <v>0</v>
      </c>
    </row>
    <row r="20" spans="1:26" s="30" customFormat="1" ht="18" customHeight="1" x14ac:dyDescent="0.25">
      <c r="A20" s="21" t="s">
        <v>115</v>
      </c>
      <c r="B20" s="22">
        <v>1010105</v>
      </c>
      <c r="C20" s="23" t="s">
        <v>107</v>
      </c>
      <c r="D20" s="22" t="s">
        <v>35</v>
      </c>
      <c r="E20" s="41">
        <v>0</v>
      </c>
      <c r="F20" s="42">
        <v>0</v>
      </c>
      <c r="G20" s="43">
        <v>0</v>
      </c>
      <c r="H20" s="24"/>
      <c r="I20" s="25"/>
      <c r="J20" s="25"/>
      <c r="K20" s="25"/>
      <c r="L20" s="24"/>
      <c r="M20" s="25"/>
      <c r="N20" s="25"/>
      <c r="O20" s="25"/>
      <c r="P20" s="47"/>
      <c r="Q20" s="48"/>
      <c r="R20" s="49"/>
      <c r="S20" s="50">
        <v>0</v>
      </c>
      <c r="T20" s="51">
        <v>0</v>
      </c>
      <c r="U20" s="52">
        <v>0</v>
      </c>
      <c r="V20" s="58">
        <v>0</v>
      </c>
      <c r="W20" s="48">
        <v>0</v>
      </c>
      <c r="X20" s="49">
        <v>0</v>
      </c>
      <c r="Y20" s="56">
        <v>0</v>
      </c>
      <c r="Z20" s="57">
        <v>0</v>
      </c>
    </row>
    <row r="21" spans="1:26" s="30" customFormat="1" ht="18" customHeight="1" x14ac:dyDescent="0.25">
      <c r="A21" s="21" t="s">
        <v>117</v>
      </c>
      <c r="B21" s="22">
        <v>1010120</v>
      </c>
      <c r="C21" s="23" t="s">
        <v>107</v>
      </c>
      <c r="D21" s="22" t="s">
        <v>35</v>
      </c>
      <c r="E21" s="41">
        <v>0</v>
      </c>
      <c r="F21" s="42">
        <v>0</v>
      </c>
      <c r="G21" s="43">
        <v>0</v>
      </c>
      <c r="H21" s="44"/>
      <c r="I21" s="45"/>
      <c r="J21" s="46"/>
      <c r="K21" s="46"/>
      <c r="L21" s="24"/>
      <c r="M21" s="25"/>
      <c r="N21" s="25"/>
      <c r="O21" s="25"/>
      <c r="P21" s="47"/>
      <c r="Q21" s="48"/>
      <c r="R21" s="49"/>
      <c r="S21" s="50">
        <v>0</v>
      </c>
      <c r="T21" s="51">
        <v>0</v>
      </c>
      <c r="U21" s="52">
        <v>0</v>
      </c>
      <c r="V21" s="53">
        <v>0</v>
      </c>
      <c r="W21" s="54">
        <v>0</v>
      </c>
      <c r="X21" s="55">
        <v>0</v>
      </c>
      <c r="Y21" s="56">
        <v>0</v>
      </c>
      <c r="Z21" s="57">
        <v>0</v>
      </c>
    </row>
    <row r="22" spans="1:26" s="30" customFormat="1" ht="18" customHeight="1" x14ac:dyDescent="0.25">
      <c r="A22" s="21" t="s">
        <v>119</v>
      </c>
      <c r="B22" s="22">
        <v>1010130</v>
      </c>
      <c r="C22" s="23" t="s">
        <v>107</v>
      </c>
      <c r="D22" s="22" t="s">
        <v>35</v>
      </c>
      <c r="E22" s="41">
        <v>0</v>
      </c>
      <c r="F22" s="42">
        <v>0</v>
      </c>
      <c r="G22" s="43">
        <v>0</v>
      </c>
      <c r="H22" s="24"/>
      <c r="I22" s="25"/>
      <c r="J22" s="25"/>
      <c r="K22" s="25"/>
      <c r="L22" s="24"/>
      <c r="M22" s="25"/>
      <c r="N22" s="25"/>
      <c r="O22" s="25"/>
      <c r="P22" s="47"/>
      <c r="Q22" s="48"/>
      <c r="R22" s="49"/>
      <c r="S22" s="50">
        <v>0</v>
      </c>
      <c r="T22" s="51">
        <v>0</v>
      </c>
      <c r="U22" s="52">
        <v>0</v>
      </c>
      <c r="V22" s="53">
        <v>0</v>
      </c>
      <c r="W22" s="54">
        <v>0</v>
      </c>
      <c r="X22" s="55">
        <v>0</v>
      </c>
      <c r="Y22" s="47">
        <v>0</v>
      </c>
      <c r="Z22" s="49">
        <v>0</v>
      </c>
    </row>
    <row r="23" spans="1:26" s="30" customFormat="1" ht="18" customHeight="1" x14ac:dyDescent="0.25">
      <c r="A23" s="21" t="s">
        <v>121</v>
      </c>
      <c r="B23" s="22">
        <v>1010140</v>
      </c>
      <c r="C23" s="23" t="s">
        <v>107</v>
      </c>
      <c r="D23" s="22" t="s">
        <v>35</v>
      </c>
      <c r="E23" s="41">
        <v>0</v>
      </c>
      <c r="F23" s="42">
        <v>0</v>
      </c>
      <c r="G23" s="43">
        <v>0</v>
      </c>
      <c r="H23" s="44"/>
      <c r="I23" s="45"/>
      <c r="J23" s="46"/>
      <c r="K23" s="46"/>
      <c r="L23" s="44"/>
      <c r="M23" s="45"/>
      <c r="N23" s="46"/>
      <c r="O23" s="46"/>
      <c r="P23" s="47"/>
      <c r="Q23" s="48"/>
      <c r="R23" s="49"/>
      <c r="S23" s="50">
        <v>0</v>
      </c>
      <c r="T23" s="51">
        <v>0</v>
      </c>
      <c r="U23" s="52">
        <v>0</v>
      </c>
      <c r="V23" s="53">
        <v>0</v>
      </c>
      <c r="W23" s="54">
        <v>0</v>
      </c>
      <c r="X23" s="55">
        <v>0</v>
      </c>
      <c r="Y23" s="56">
        <v>0</v>
      </c>
      <c r="Z23" s="57">
        <v>0</v>
      </c>
    </row>
    <row r="24" spans="1:26" s="30" customFormat="1" ht="18" customHeight="1" x14ac:dyDescent="0.25">
      <c r="A24" s="21" t="s">
        <v>34</v>
      </c>
      <c r="B24" s="22">
        <v>1010170</v>
      </c>
      <c r="C24" s="23" t="s">
        <v>107</v>
      </c>
      <c r="D24" s="22" t="s">
        <v>35</v>
      </c>
      <c r="E24" s="41">
        <v>0</v>
      </c>
      <c r="F24" s="42">
        <v>0</v>
      </c>
      <c r="G24" s="43">
        <v>0</v>
      </c>
      <c r="H24" s="24"/>
      <c r="I24" s="25"/>
      <c r="J24" s="25"/>
      <c r="K24" s="25"/>
      <c r="L24" s="24"/>
      <c r="M24" s="25"/>
      <c r="N24" s="25"/>
      <c r="O24" s="25"/>
      <c r="P24" s="47"/>
      <c r="Q24" s="48"/>
      <c r="R24" s="49"/>
      <c r="S24" s="50">
        <v>0</v>
      </c>
      <c r="T24" s="51">
        <v>0</v>
      </c>
      <c r="U24" s="52">
        <v>0</v>
      </c>
      <c r="V24" s="58">
        <v>0</v>
      </c>
      <c r="W24" s="48">
        <v>0</v>
      </c>
      <c r="X24" s="49">
        <v>0</v>
      </c>
      <c r="Y24" s="56">
        <v>0</v>
      </c>
      <c r="Z24" s="57">
        <v>0</v>
      </c>
    </row>
    <row r="25" spans="1:26" s="30" customFormat="1" ht="18" customHeight="1" x14ac:dyDescent="0.25">
      <c r="A25" s="21" t="s">
        <v>123</v>
      </c>
      <c r="B25" s="22">
        <v>1030010</v>
      </c>
      <c r="C25" s="23" t="s">
        <v>124</v>
      </c>
      <c r="D25" s="22" t="s">
        <v>35</v>
      </c>
      <c r="E25" s="41">
        <v>0</v>
      </c>
      <c r="F25" s="42">
        <v>0</v>
      </c>
      <c r="G25" s="43">
        <v>0</v>
      </c>
      <c r="H25" s="44"/>
      <c r="I25" s="45"/>
      <c r="J25" s="46"/>
      <c r="K25" s="46"/>
      <c r="L25" s="24"/>
      <c r="M25" s="25"/>
      <c r="N25" s="25"/>
      <c r="O25" s="25"/>
      <c r="P25" s="47"/>
      <c r="Q25" s="48"/>
      <c r="R25" s="49"/>
      <c r="S25" s="50">
        <v>0</v>
      </c>
      <c r="T25" s="51">
        <v>0</v>
      </c>
      <c r="U25" s="52">
        <v>0</v>
      </c>
      <c r="V25" s="53">
        <v>0</v>
      </c>
      <c r="W25" s="54">
        <v>0</v>
      </c>
      <c r="X25" s="55">
        <v>0</v>
      </c>
      <c r="Y25" s="56">
        <v>0</v>
      </c>
      <c r="Z25" s="57">
        <v>0</v>
      </c>
    </row>
    <row r="26" spans="1:26" s="30" customFormat="1" ht="18" customHeight="1" x14ac:dyDescent="0.25">
      <c r="A26" s="21" t="s">
        <v>37</v>
      </c>
      <c r="B26" s="22">
        <v>1030040</v>
      </c>
      <c r="C26" s="23" t="s">
        <v>124</v>
      </c>
      <c r="D26" s="22" t="s">
        <v>35</v>
      </c>
      <c r="E26" s="41">
        <v>0</v>
      </c>
      <c r="F26" s="42">
        <v>0</v>
      </c>
      <c r="G26" s="43">
        <v>0</v>
      </c>
      <c r="H26" s="44"/>
      <c r="I26" s="45"/>
      <c r="J26" s="46"/>
      <c r="K26" s="46"/>
      <c r="L26" s="24"/>
      <c r="M26" s="25"/>
      <c r="N26" s="25"/>
      <c r="O26" s="25"/>
      <c r="P26" s="47"/>
      <c r="Q26" s="48"/>
      <c r="R26" s="49"/>
      <c r="S26" s="50">
        <v>0</v>
      </c>
      <c r="T26" s="51">
        <v>0</v>
      </c>
      <c r="U26" s="52">
        <v>0</v>
      </c>
      <c r="V26" s="53">
        <v>0</v>
      </c>
      <c r="W26" s="54">
        <v>0</v>
      </c>
      <c r="X26" s="55">
        <v>0</v>
      </c>
      <c r="Y26" s="56">
        <v>0</v>
      </c>
      <c r="Z26" s="57">
        <v>0</v>
      </c>
    </row>
    <row r="27" spans="1:26" s="30" customFormat="1" ht="18" customHeight="1" x14ac:dyDescent="0.25">
      <c r="A27" s="21" t="s">
        <v>126</v>
      </c>
      <c r="B27" s="22">
        <v>1030050</v>
      </c>
      <c r="C27" s="23" t="s">
        <v>124</v>
      </c>
      <c r="D27" s="22" t="s">
        <v>35</v>
      </c>
      <c r="E27" s="47">
        <v>0</v>
      </c>
      <c r="F27" s="48">
        <v>0</v>
      </c>
      <c r="G27" s="49">
        <v>0</v>
      </c>
      <c r="H27" s="44"/>
      <c r="I27" s="45"/>
      <c r="J27" s="46"/>
      <c r="K27" s="46"/>
      <c r="L27" s="24"/>
      <c r="M27" s="25"/>
      <c r="N27" s="25"/>
      <c r="O27" s="25"/>
      <c r="P27" s="47"/>
      <c r="Q27" s="48"/>
      <c r="R27" s="49"/>
      <c r="S27" s="50">
        <v>0</v>
      </c>
      <c r="T27" s="51">
        <v>0</v>
      </c>
      <c r="U27" s="52">
        <v>0</v>
      </c>
      <c r="V27" s="53">
        <v>0</v>
      </c>
      <c r="W27" s="54">
        <v>0</v>
      </c>
      <c r="X27" s="55">
        <v>0</v>
      </c>
      <c r="Y27" s="47">
        <v>0</v>
      </c>
      <c r="Z27" s="49">
        <v>0</v>
      </c>
    </row>
    <row r="28" spans="1:26" s="30" customFormat="1" ht="18" customHeight="1" x14ac:dyDescent="0.25">
      <c r="A28" s="21" t="s">
        <v>128</v>
      </c>
      <c r="B28" s="22">
        <v>1050020</v>
      </c>
      <c r="C28" s="23" t="s">
        <v>129</v>
      </c>
      <c r="D28" s="22" t="s">
        <v>35</v>
      </c>
      <c r="E28" s="41">
        <v>0</v>
      </c>
      <c r="F28" s="42">
        <v>0</v>
      </c>
      <c r="G28" s="43">
        <v>0</v>
      </c>
      <c r="H28" s="44"/>
      <c r="I28" s="45"/>
      <c r="J28" s="46"/>
      <c r="K28" s="46"/>
      <c r="L28" s="24"/>
      <c r="M28" s="25"/>
      <c r="N28" s="25"/>
      <c r="O28" s="25"/>
      <c r="P28" s="47"/>
      <c r="Q28" s="48"/>
      <c r="R28" s="49"/>
      <c r="S28" s="50">
        <v>0</v>
      </c>
      <c r="T28" s="51">
        <v>0</v>
      </c>
      <c r="U28" s="52">
        <v>0</v>
      </c>
      <c r="V28" s="53">
        <v>0</v>
      </c>
      <c r="W28" s="54">
        <v>0</v>
      </c>
      <c r="X28" s="55">
        <v>0</v>
      </c>
      <c r="Y28" s="56">
        <v>0</v>
      </c>
      <c r="Z28" s="57">
        <v>0</v>
      </c>
    </row>
    <row r="29" spans="1:26" s="30" customFormat="1" ht="18" customHeight="1" x14ac:dyDescent="0.25">
      <c r="A29" s="21" t="s">
        <v>131</v>
      </c>
      <c r="B29" s="22">
        <v>1050030</v>
      </c>
      <c r="C29" s="23" t="s">
        <v>129</v>
      </c>
      <c r="D29" s="22" t="s">
        <v>35</v>
      </c>
      <c r="E29" s="41">
        <v>0</v>
      </c>
      <c r="F29" s="42">
        <v>0</v>
      </c>
      <c r="G29" s="43">
        <v>0</v>
      </c>
      <c r="H29" s="44"/>
      <c r="I29" s="45"/>
      <c r="J29" s="46"/>
      <c r="K29" s="46"/>
      <c r="L29" s="24"/>
      <c r="M29" s="25"/>
      <c r="N29" s="25"/>
      <c r="O29" s="25"/>
      <c r="P29" s="47"/>
      <c r="Q29" s="48"/>
      <c r="R29" s="49"/>
      <c r="S29" s="50">
        <v>0</v>
      </c>
      <c r="T29" s="51">
        <v>0</v>
      </c>
      <c r="U29" s="52">
        <v>0</v>
      </c>
      <c r="V29" s="53">
        <v>0</v>
      </c>
      <c r="W29" s="54">
        <v>0</v>
      </c>
      <c r="X29" s="55">
        <v>0</v>
      </c>
      <c r="Y29" s="56">
        <v>0</v>
      </c>
      <c r="Z29" s="57">
        <v>0</v>
      </c>
    </row>
    <row r="30" spans="1:26" s="30" customFormat="1" ht="18" customHeight="1" x14ac:dyDescent="0.25">
      <c r="A30" s="21" t="s">
        <v>133</v>
      </c>
      <c r="B30" s="22">
        <v>1050050</v>
      </c>
      <c r="C30" s="23" t="s">
        <v>129</v>
      </c>
      <c r="D30" s="22" t="s">
        <v>35</v>
      </c>
      <c r="E30" s="47">
        <v>0</v>
      </c>
      <c r="F30" s="48">
        <v>0</v>
      </c>
      <c r="G30" s="49">
        <v>0</v>
      </c>
      <c r="H30" s="44"/>
      <c r="I30" s="45"/>
      <c r="J30" s="46"/>
      <c r="K30" s="46"/>
      <c r="L30" s="24"/>
      <c r="M30" s="25"/>
      <c r="N30" s="25"/>
      <c r="O30" s="25"/>
      <c r="P30" s="47"/>
      <c r="Q30" s="48"/>
      <c r="R30" s="49"/>
      <c r="S30" s="50">
        <v>0</v>
      </c>
      <c r="T30" s="51">
        <v>0</v>
      </c>
      <c r="U30" s="52">
        <v>0</v>
      </c>
      <c r="V30" s="53">
        <v>0</v>
      </c>
      <c r="W30" s="54">
        <v>0</v>
      </c>
      <c r="X30" s="55">
        <v>0</v>
      </c>
      <c r="Y30" s="47">
        <v>0</v>
      </c>
      <c r="Z30" s="49">
        <v>0</v>
      </c>
    </row>
    <row r="31" spans="1:26" s="30" customFormat="1" ht="18" customHeight="1" x14ac:dyDescent="0.25">
      <c r="A31" s="21" t="s">
        <v>135</v>
      </c>
      <c r="B31" s="22">
        <v>1050100</v>
      </c>
      <c r="C31" s="23" t="s">
        <v>129</v>
      </c>
      <c r="D31" s="22" t="s">
        <v>35</v>
      </c>
      <c r="E31" s="41">
        <v>0</v>
      </c>
      <c r="F31" s="42">
        <v>0</v>
      </c>
      <c r="G31" s="43">
        <v>0</v>
      </c>
      <c r="H31" s="44"/>
      <c r="I31" s="45"/>
      <c r="J31" s="46"/>
      <c r="K31" s="46"/>
      <c r="L31" s="24"/>
      <c r="M31" s="25"/>
      <c r="N31" s="25"/>
      <c r="O31" s="25"/>
      <c r="P31" s="47"/>
      <c r="Q31" s="48"/>
      <c r="R31" s="49"/>
      <c r="S31" s="50">
        <v>0</v>
      </c>
      <c r="T31" s="51">
        <v>0</v>
      </c>
      <c r="U31" s="52">
        <v>0</v>
      </c>
      <c r="V31" s="53">
        <v>0</v>
      </c>
      <c r="W31" s="54">
        <v>0</v>
      </c>
      <c r="X31" s="55">
        <v>0</v>
      </c>
      <c r="Y31" s="56">
        <v>0</v>
      </c>
      <c r="Z31" s="57">
        <v>0</v>
      </c>
    </row>
    <row r="32" spans="1:26" s="30" customFormat="1" ht="18" customHeight="1" x14ac:dyDescent="0.25">
      <c r="A32" s="21" t="s">
        <v>137</v>
      </c>
      <c r="B32" s="22">
        <v>1050120</v>
      </c>
      <c r="C32" s="23" t="s">
        <v>129</v>
      </c>
      <c r="D32" s="22" t="s">
        <v>35</v>
      </c>
      <c r="E32" s="41">
        <v>0</v>
      </c>
      <c r="F32" s="42">
        <v>0</v>
      </c>
      <c r="G32" s="43">
        <v>0</v>
      </c>
      <c r="H32" s="44"/>
      <c r="I32" s="45"/>
      <c r="J32" s="46"/>
      <c r="K32" s="46"/>
      <c r="L32" s="24"/>
      <c r="M32" s="25"/>
      <c r="N32" s="25"/>
      <c r="O32" s="25"/>
      <c r="P32" s="47"/>
      <c r="Q32" s="48"/>
      <c r="R32" s="49"/>
      <c r="S32" s="50">
        <v>0</v>
      </c>
      <c r="T32" s="51">
        <v>0</v>
      </c>
      <c r="U32" s="52">
        <v>0</v>
      </c>
      <c r="V32" s="53">
        <v>0</v>
      </c>
      <c r="W32" s="54">
        <v>0</v>
      </c>
      <c r="X32" s="55">
        <v>0</v>
      </c>
      <c r="Y32" s="56">
        <v>0</v>
      </c>
      <c r="Z32" s="57">
        <v>0</v>
      </c>
    </row>
    <row r="33" spans="1:26" s="30" customFormat="1" ht="18" customHeight="1" x14ac:dyDescent="0.25">
      <c r="A33" s="21" t="s">
        <v>139</v>
      </c>
      <c r="B33" s="22">
        <v>1050140</v>
      </c>
      <c r="C33" s="23" t="s">
        <v>129</v>
      </c>
      <c r="D33" s="22" t="s">
        <v>35</v>
      </c>
      <c r="E33" s="41">
        <v>0</v>
      </c>
      <c r="F33" s="42">
        <v>0</v>
      </c>
      <c r="G33" s="43">
        <v>0</v>
      </c>
      <c r="H33" s="24"/>
      <c r="I33" s="25"/>
      <c r="J33" s="25"/>
      <c r="K33" s="25"/>
      <c r="L33" s="24"/>
      <c r="M33" s="25"/>
      <c r="N33" s="25"/>
      <c r="O33" s="25"/>
      <c r="P33" s="47"/>
      <c r="Q33" s="48"/>
      <c r="R33" s="49"/>
      <c r="S33" s="50">
        <v>0</v>
      </c>
      <c r="T33" s="51">
        <v>0</v>
      </c>
      <c r="U33" s="52">
        <v>0</v>
      </c>
      <c r="V33" s="53">
        <v>0</v>
      </c>
      <c r="W33" s="54">
        <v>0</v>
      </c>
      <c r="X33" s="55">
        <v>0</v>
      </c>
      <c r="Y33" s="56">
        <v>0</v>
      </c>
      <c r="Z33" s="57">
        <v>0</v>
      </c>
    </row>
    <row r="34" spans="1:26" s="30" customFormat="1" ht="18" customHeight="1" x14ac:dyDescent="0.25">
      <c r="A34" s="21" t="s">
        <v>141</v>
      </c>
      <c r="B34" s="22">
        <v>1050170</v>
      </c>
      <c r="C34" s="23" t="s">
        <v>129</v>
      </c>
      <c r="D34" s="22" t="s">
        <v>35</v>
      </c>
      <c r="E34" s="41">
        <v>0</v>
      </c>
      <c r="F34" s="42">
        <v>0</v>
      </c>
      <c r="G34" s="43">
        <v>0</v>
      </c>
      <c r="H34" s="24"/>
      <c r="I34" s="25"/>
      <c r="J34" s="25"/>
      <c r="K34" s="25"/>
      <c r="L34" s="24"/>
      <c r="M34" s="25"/>
      <c r="N34" s="25"/>
      <c r="O34" s="25"/>
      <c r="P34" s="47"/>
      <c r="Q34" s="48"/>
      <c r="R34" s="49"/>
      <c r="S34" s="50">
        <v>0</v>
      </c>
      <c r="T34" s="51">
        <v>0</v>
      </c>
      <c r="U34" s="52">
        <v>0</v>
      </c>
      <c r="V34" s="53">
        <v>0</v>
      </c>
      <c r="W34" s="54">
        <v>0</v>
      </c>
      <c r="X34" s="55">
        <v>0</v>
      </c>
      <c r="Y34" s="47">
        <v>0</v>
      </c>
      <c r="Z34" s="49">
        <v>0</v>
      </c>
    </row>
    <row r="35" spans="1:26" s="30" customFormat="1" ht="18" customHeight="1" x14ac:dyDescent="0.25">
      <c r="A35" s="21" t="s">
        <v>143</v>
      </c>
      <c r="B35" s="22">
        <v>1050190</v>
      </c>
      <c r="C35" s="23" t="s">
        <v>129</v>
      </c>
      <c r="D35" s="22" t="s">
        <v>35</v>
      </c>
      <c r="E35" s="41">
        <v>0</v>
      </c>
      <c r="F35" s="42">
        <v>0</v>
      </c>
      <c r="G35" s="43">
        <v>0</v>
      </c>
      <c r="H35" s="44"/>
      <c r="I35" s="45"/>
      <c r="J35" s="46"/>
      <c r="K35" s="46"/>
      <c r="L35" s="24"/>
      <c r="M35" s="25"/>
      <c r="N35" s="25"/>
      <c r="O35" s="25"/>
      <c r="P35" s="47"/>
      <c r="Q35" s="48"/>
      <c r="R35" s="49"/>
      <c r="S35" s="50">
        <v>0</v>
      </c>
      <c r="T35" s="51">
        <v>0</v>
      </c>
      <c r="U35" s="52">
        <v>0</v>
      </c>
      <c r="V35" s="53">
        <v>0</v>
      </c>
      <c r="W35" s="54">
        <v>0</v>
      </c>
      <c r="X35" s="55">
        <v>0</v>
      </c>
      <c r="Y35" s="56">
        <v>0</v>
      </c>
      <c r="Z35" s="57">
        <v>0</v>
      </c>
    </row>
    <row r="36" spans="1:26" s="30" customFormat="1" ht="18" customHeight="1" x14ac:dyDescent="0.25">
      <c r="A36" s="21" t="s">
        <v>145</v>
      </c>
      <c r="B36" s="22">
        <v>1060010</v>
      </c>
      <c r="C36" s="23" t="s">
        <v>146</v>
      </c>
      <c r="D36" s="22" t="s">
        <v>35</v>
      </c>
      <c r="E36" s="41">
        <v>0</v>
      </c>
      <c r="F36" s="42">
        <v>0</v>
      </c>
      <c r="G36" s="43">
        <v>0</v>
      </c>
      <c r="H36" s="44"/>
      <c r="I36" s="45"/>
      <c r="J36" s="46"/>
      <c r="K36" s="46"/>
      <c r="L36" s="24"/>
      <c r="M36" s="25"/>
      <c r="N36" s="25"/>
      <c r="O36" s="25"/>
      <c r="P36" s="47"/>
      <c r="Q36" s="48"/>
      <c r="R36" s="49"/>
      <c r="S36" s="50">
        <v>0</v>
      </c>
      <c r="T36" s="51">
        <v>0</v>
      </c>
      <c r="U36" s="52">
        <v>0</v>
      </c>
      <c r="V36" s="53">
        <v>0</v>
      </c>
      <c r="W36" s="54">
        <v>0</v>
      </c>
      <c r="X36" s="55">
        <v>0</v>
      </c>
      <c r="Y36" s="56">
        <v>0</v>
      </c>
      <c r="Z36" s="57">
        <v>0</v>
      </c>
    </row>
    <row r="37" spans="1:26" s="30" customFormat="1" ht="18" customHeight="1" x14ac:dyDescent="0.25">
      <c r="A37" s="21" t="s">
        <v>148</v>
      </c>
      <c r="B37" s="22">
        <v>1060020</v>
      </c>
      <c r="C37" s="23" t="s">
        <v>146</v>
      </c>
      <c r="D37" s="22" t="s">
        <v>35</v>
      </c>
      <c r="E37" s="41">
        <v>0</v>
      </c>
      <c r="F37" s="42">
        <v>0</v>
      </c>
      <c r="G37" s="43">
        <v>0</v>
      </c>
      <c r="H37" s="24"/>
      <c r="I37" s="25"/>
      <c r="J37" s="25"/>
      <c r="K37" s="25"/>
      <c r="L37" s="24"/>
      <c r="M37" s="25"/>
      <c r="N37" s="25"/>
      <c r="O37" s="25"/>
      <c r="P37" s="47"/>
      <c r="Q37" s="48"/>
      <c r="R37" s="49"/>
      <c r="S37" s="50">
        <v>0</v>
      </c>
      <c r="T37" s="51">
        <v>0</v>
      </c>
      <c r="U37" s="52">
        <v>0</v>
      </c>
      <c r="V37" s="53">
        <v>0</v>
      </c>
      <c r="W37" s="54">
        <v>0</v>
      </c>
      <c r="X37" s="55">
        <v>0</v>
      </c>
      <c r="Y37" s="56">
        <v>0</v>
      </c>
      <c r="Z37" s="57">
        <v>0</v>
      </c>
    </row>
    <row r="38" spans="1:26" s="30" customFormat="1" ht="18" customHeight="1" x14ac:dyDescent="0.25">
      <c r="A38" s="21" t="s">
        <v>150</v>
      </c>
      <c r="B38" s="22">
        <v>1060030</v>
      </c>
      <c r="C38" s="23" t="s">
        <v>146</v>
      </c>
      <c r="D38" s="22" t="s">
        <v>35</v>
      </c>
      <c r="E38" s="41">
        <v>0</v>
      </c>
      <c r="F38" s="42">
        <v>0</v>
      </c>
      <c r="G38" s="43">
        <v>0</v>
      </c>
      <c r="H38" s="24"/>
      <c r="I38" s="25"/>
      <c r="J38" s="25"/>
      <c r="K38" s="25"/>
      <c r="L38" s="24"/>
      <c r="M38" s="25"/>
      <c r="N38" s="25"/>
      <c r="O38" s="25"/>
      <c r="P38" s="47"/>
      <c r="Q38" s="48"/>
      <c r="R38" s="49"/>
      <c r="S38" s="50">
        <v>0</v>
      </c>
      <c r="T38" s="51">
        <v>0</v>
      </c>
      <c r="U38" s="52">
        <v>0</v>
      </c>
      <c r="V38" s="53">
        <v>0</v>
      </c>
      <c r="W38" s="54">
        <v>0</v>
      </c>
      <c r="X38" s="55">
        <v>0</v>
      </c>
      <c r="Y38" s="56">
        <v>0</v>
      </c>
      <c r="Z38" s="57">
        <v>0</v>
      </c>
    </row>
    <row r="39" spans="1:26" s="30" customFormat="1" ht="18" customHeight="1" x14ac:dyDescent="0.25">
      <c r="A39" s="21" t="s">
        <v>152</v>
      </c>
      <c r="B39" s="22">
        <v>1060041</v>
      </c>
      <c r="C39" s="23" t="s">
        <v>146</v>
      </c>
      <c r="D39" s="22" t="s">
        <v>35</v>
      </c>
      <c r="E39" s="41">
        <v>0</v>
      </c>
      <c r="F39" s="42">
        <v>0</v>
      </c>
      <c r="G39" s="43">
        <v>0</v>
      </c>
      <c r="H39" s="24"/>
      <c r="I39" s="25"/>
      <c r="J39" s="25"/>
      <c r="K39" s="25"/>
      <c r="L39" s="24"/>
      <c r="M39" s="25"/>
      <c r="N39" s="25"/>
      <c r="O39" s="25"/>
      <c r="P39" s="47"/>
      <c r="Q39" s="48"/>
      <c r="R39" s="49"/>
      <c r="S39" s="50">
        <v>0</v>
      </c>
      <c r="T39" s="51">
        <v>0</v>
      </c>
      <c r="U39" s="52">
        <v>0</v>
      </c>
      <c r="V39" s="53">
        <v>0</v>
      </c>
      <c r="W39" s="54">
        <v>0</v>
      </c>
      <c r="X39" s="55">
        <v>0</v>
      </c>
      <c r="Y39" s="56">
        <v>0</v>
      </c>
      <c r="Z39" s="57">
        <v>0</v>
      </c>
    </row>
    <row r="40" spans="1:26" s="30" customFormat="1" ht="18" customHeight="1" x14ac:dyDescent="0.25">
      <c r="A40" s="21" t="s">
        <v>154</v>
      </c>
      <c r="B40" s="22">
        <v>1060050</v>
      </c>
      <c r="C40" s="23" t="s">
        <v>146</v>
      </c>
      <c r="D40" s="22" t="s">
        <v>35</v>
      </c>
      <c r="E40" s="41">
        <v>0</v>
      </c>
      <c r="F40" s="42">
        <v>0</v>
      </c>
      <c r="G40" s="43">
        <v>0</v>
      </c>
      <c r="H40" s="44"/>
      <c r="I40" s="45"/>
      <c r="J40" s="46"/>
      <c r="K40" s="46"/>
      <c r="L40" s="24"/>
      <c r="M40" s="25"/>
      <c r="N40" s="25"/>
      <c r="O40" s="25"/>
      <c r="P40" s="47"/>
      <c r="Q40" s="48"/>
      <c r="R40" s="49"/>
      <c r="S40" s="50">
        <v>0</v>
      </c>
      <c r="T40" s="51">
        <v>0</v>
      </c>
      <c r="U40" s="52">
        <v>0</v>
      </c>
      <c r="V40" s="53">
        <v>0</v>
      </c>
      <c r="W40" s="54">
        <v>0</v>
      </c>
      <c r="X40" s="55">
        <v>0</v>
      </c>
      <c r="Y40" s="56">
        <v>0</v>
      </c>
      <c r="Z40" s="57">
        <v>0</v>
      </c>
    </row>
    <row r="41" spans="1:26" s="30" customFormat="1" ht="18" customHeight="1" x14ac:dyDescent="0.25">
      <c r="A41" s="21" t="s">
        <v>156</v>
      </c>
      <c r="B41" s="22">
        <v>1060070</v>
      </c>
      <c r="C41" s="23" t="s">
        <v>146</v>
      </c>
      <c r="D41" s="22" t="s">
        <v>35</v>
      </c>
      <c r="E41" s="41">
        <v>0</v>
      </c>
      <c r="F41" s="42">
        <v>0</v>
      </c>
      <c r="G41" s="43">
        <v>0</v>
      </c>
      <c r="H41" s="24"/>
      <c r="I41" s="25"/>
      <c r="J41" s="25"/>
      <c r="K41" s="25"/>
      <c r="L41" s="24"/>
      <c r="M41" s="25"/>
      <c r="N41" s="25"/>
      <c r="O41" s="25"/>
      <c r="P41" s="47"/>
      <c r="Q41" s="48"/>
      <c r="R41" s="49"/>
      <c r="S41" s="50">
        <v>0</v>
      </c>
      <c r="T41" s="51">
        <v>0</v>
      </c>
      <c r="U41" s="52">
        <v>0</v>
      </c>
      <c r="V41" s="58">
        <v>0</v>
      </c>
      <c r="W41" s="48">
        <v>0</v>
      </c>
      <c r="X41" s="49">
        <v>0</v>
      </c>
      <c r="Y41" s="56">
        <v>0</v>
      </c>
      <c r="Z41" s="57">
        <v>0</v>
      </c>
    </row>
    <row r="42" spans="1:26" s="30" customFormat="1" ht="18" customHeight="1" x14ac:dyDescent="0.25">
      <c r="A42" s="21" t="s">
        <v>158</v>
      </c>
      <c r="B42" s="22">
        <v>1060080</v>
      </c>
      <c r="C42" s="23" t="s">
        <v>146</v>
      </c>
      <c r="D42" s="22" t="s">
        <v>35</v>
      </c>
      <c r="E42" s="41">
        <v>0</v>
      </c>
      <c r="F42" s="42">
        <v>0</v>
      </c>
      <c r="G42" s="43">
        <v>0</v>
      </c>
      <c r="H42" s="24"/>
      <c r="I42" s="25"/>
      <c r="J42" s="25"/>
      <c r="K42" s="25"/>
      <c r="L42" s="24"/>
      <c r="M42" s="25"/>
      <c r="N42" s="25"/>
      <c r="O42" s="25"/>
      <c r="P42" s="47"/>
      <c r="Q42" s="48"/>
      <c r="R42" s="49"/>
      <c r="S42" s="50">
        <v>0</v>
      </c>
      <c r="T42" s="51">
        <v>0</v>
      </c>
      <c r="U42" s="52">
        <v>0</v>
      </c>
      <c r="V42" s="53">
        <v>0</v>
      </c>
      <c r="W42" s="54">
        <v>0</v>
      </c>
      <c r="X42" s="55">
        <v>0</v>
      </c>
      <c r="Y42" s="56">
        <v>0</v>
      </c>
      <c r="Z42" s="57">
        <v>0</v>
      </c>
    </row>
    <row r="43" spans="1:26" s="30" customFormat="1" ht="18" customHeight="1" x14ac:dyDescent="0.25">
      <c r="A43" s="21" t="s">
        <v>160</v>
      </c>
      <c r="B43" s="22">
        <v>1060090</v>
      </c>
      <c r="C43" s="23" t="s">
        <v>146</v>
      </c>
      <c r="D43" s="22" t="s">
        <v>35</v>
      </c>
      <c r="E43" s="41">
        <v>0</v>
      </c>
      <c r="F43" s="42">
        <v>0</v>
      </c>
      <c r="G43" s="43">
        <v>0</v>
      </c>
      <c r="H43" s="24"/>
      <c r="I43" s="25"/>
      <c r="J43" s="25"/>
      <c r="K43" s="25"/>
      <c r="L43" s="24"/>
      <c r="M43" s="25"/>
      <c r="N43" s="25"/>
      <c r="O43" s="25"/>
      <c r="P43" s="47"/>
      <c r="Q43" s="48"/>
      <c r="R43" s="49"/>
      <c r="S43" s="50">
        <v>0</v>
      </c>
      <c r="T43" s="51">
        <v>0</v>
      </c>
      <c r="U43" s="52">
        <v>0</v>
      </c>
      <c r="V43" s="53">
        <v>0</v>
      </c>
      <c r="W43" s="54">
        <v>0</v>
      </c>
      <c r="X43" s="55">
        <v>0</v>
      </c>
      <c r="Y43" s="47">
        <v>0</v>
      </c>
      <c r="Z43" s="49">
        <v>0</v>
      </c>
    </row>
    <row r="44" spans="1:26" s="30" customFormat="1" ht="18" customHeight="1" x14ac:dyDescent="0.25">
      <c r="A44" s="21" t="s">
        <v>162</v>
      </c>
      <c r="B44" s="22">
        <v>1080010</v>
      </c>
      <c r="C44" s="23" t="s">
        <v>163</v>
      </c>
      <c r="D44" s="22" t="s">
        <v>35</v>
      </c>
      <c r="E44" s="41">
        <v>0</v>
      </c>
      <c r="F44" s="42">
        <v>0</v>
      </c>
      <c r="G44" s="43">
        <v>0</v>
      </c>
      <c r="H44" s="44"/>
      <c r="I44" s="45"/>
      <c r="J44" s="46"/>
      <c r="K44" s="46"/>
      <c r="L44" s="24"/>
      <c r="M44" s="25"/>
      <c r="N44" s="25"/>
      <c r="O44" s="25"/>
      <c r="P44" s="47"/>
      <c r="Q44" s="48"/>
      <c r="R44" s="49"/>
      <c r="S44" s="50">
        <v>0</v>
      </c>
      <c r="T44" s="51">
        <v>0</v>
      </c>
      <c r="U44" s="52">
        <v>0</v>
      </c>
      <c r="V44" s="53">
        <v>0</v>
      </c>
      <c r="W44" s="54">
        <v>0</v>
      </c>
      <c r="X44" s="55">
        <v>0</v>
      </c>
      <c r="Y44" s="56">
        <v>0</v>
      </c>
      <c r="Z44" s="57">
        <v>0</v>
      </c>
    </row>
    <row r="45" spans="1:26" s="30" customFormat="1" ht="18" customHeight="1" x14ac:dyDescent="0.25">
      <c r="A45" s="21" t="s">
        <v>165</v>
      </c>
      <c r="B45" s="22">
        <v>1510020</v>
      </c>
      <c r="C45" s="23" t="s">
        <v>166</v>
      </c>
      <c r="D45" s="22" t="s">
        <v>35</v>
      </c>
      <c r="E45" s="41">
        <v>0</v>
      </c>
      <c r="F45" s="42">
        <v>0</v>
      </c>
      <c r="G45" s="43">
        <v>0</v>
      </c>
      <c r="H45" s="44"/>
      <c r="I45" s="45"/>
      <c r="J45" s="46"/>
      <c r="K45" s="46"/>
      <c r="L45" s="24"/>
      <c r="M45" s="25"/>
      <c r="N45" s="25"/>
      <c r="O45" s="25"/>
      <c r="P45" s="47"/>
      <c r="Q45" s="48"/>
      <c r="R45" s="49"/>
      <c r="S45" s="50">
        <v>0</v>
      </c>
      <c r="T45" s="51">
        <v>0</v>
      </c>
      <c r="U45" s="52">
        <v>0</v>
      </c>
      <c r="V45" s="53">
        <v>0</v>
      </c>
      <c r="W45" s="54">
        <v>0</v>
      </c>
      <c r="X45" s="55">
        <v>0</v>
      </c>
      <c r="Y45" s="56">
        <v>0</v>
      </c>
      <c r="Z45" s="57">
        <v>0</v>
      </c>
    </row>
    <row r="46" spans="1:26" s="30" customFormat="1" ht="18" customHeight="1" x14ac:dyDescent="0.25">
      <c r="A46" s="21" t="s">
        <v>168</v>
      </c>
      <c r="B46" s="22">
        <v>1520040</v>
      </c>
      <c r="C46" s="23" t="s">
        <v>169</v>
      </c>
      <c r="D46" s="22" t="s">
        <v>35</v>
      </c>
      <c r="E46" s="41">
        <v>0</v>
      </c>
      <c r="F46" s="42">
        <v>0</v>
      </c>
      <c r="G46" s="43">
        <v>0</v>
      </c>
      <c r="H46" s="24"/>
      <c r="I46" s="25"/>
      <c r="J46" s="25"/>
      <c r="K46" s="25"/>
      <c r="L46" s="24"/>
      <c r="M46" s="25"/>
      <c r="N46" s="25"/>
      <c r="O46" s="25"/>
      <c r="P46" s="47"/>
      <c r="Q46" s="48"/>
      <c r="R46" s="49"/>
      <c r="S46" s="50">
        <v>0</v>
      </c>
      <c r="T46" s="51">
        <v>0</v>
      </c>
      <c r="U46" s="52">
        <v>0</v>
      </c>
      <c r="V46" s="58">
        <v>0</v>
      </c>
      <c r="W46" s="48">
        <v>0</v>
      </c>
      <c r="X46" s="49">
        <v>0</v>
      </c>
      <c r="Y46" s="56">
        <v>0</v>
      </c>
      <c r="Z46" s="57">
        <v>0</v>
      </c>
    </row>
    <row r="47" spans="1:26" s="30" customFormat="1" ht="18" customHeight="1" x14ac:dyDescent="0.25">
      <c r="A47" s="21" t="s">
        <v>171</v>
      </c>
      <c r="B47" s="22">
        <v>1520050</v>
      </c>
      <c r="C47" s="23" t="s">
        <v>169</v>
      </c>
      <c r="D47" s="22" t="s">
        <v>35</v>
      </c>
      <c r="E47" s="41">
        <v>0</v>
      </c>
      <c r="F47" s="42">
        <v>0</v>
      </c>
      <c r="G47" s="43">
        <v>0</v>
      </c>
      <c r="H47" s="44"/>
      <c r="I47" s="45"/>
      <c r="J47" s="46"/>
      <c r="K47" s="46"/>
      <c r="L47" s="44"/>
      <c r="M47" s="45"/>
      <c r="N47" s="46"/>
      <c r="O47" s="46"/>
      <c r="P47" s="47"/>
      <c r="Q47" s="48"/>
      <c r="R47" s="49"/>
      <c r="S47" s="50">
        <v>0</v>
      </c>
      <c r="T47" s="51">
        <v>0</v>
      </c>
      <c r="U47" s="52">
        <v>0</v>
      </c>
      <c r="V47" s="53">
        <v>0</v>
      </c>
      <c r="W47" s="54">
        <v>0</v>
      </c>
      <c r="X47" s="55">
        <v>0</v>
      </c>
      <c r="Y47" s="56">
        <v>0</v>
      </c>
      <c r="Z47" s="57">
        <v>0</v>
      </c>
    </row>
    <row r="48" spans="1:26" s="30" customFormat="1" ht="18" customHeight="1" x14ac:dyDescent="0.25">
      <c r="A48" s="21" t="s">
        <v>173</v>
      </c>
      <c r="B48" s="22">
        <v>1530020</v>
      </c>
      <c r="C48" s="23" t="s">
        <v>174</v>
      </c>
      <c r="D48" s="22" t="s">
        <v>35</v>
      </c>
      <c r="E48" s="47">
        <v>0</v>
      </c>
      <c r="F48" s="48">
        <v>0</v>
      </c>
      <c r="G48" s="49">
        <v>0</v>
      </c>
      <c r="H48" s="44"/>
      <c r="I48" s="45"/>
      <c r="J48" s="46"/>
      <c r="K48" s="46"/>
      <c r="L48" s="24"/>
      <c r="M48" s="25"/>
      <c r="N48" s="25"/>
      <c r="O48" s="25"/>
      <c r="P48" s="47"/>
      <c r="Q48" s="48"/>
      <c r="R48" s="49"/>
      <c r="S48" s="50">
        <v>0</v>
      </c>
      <c r="T48" s="51">
        <v>0</v>
      </c>
      <c r="U48" s="52">
        <v>0</v>
      </c>
      <c r="V48" s="53">
        <v>0</v>
      </c>
      <c r="W48" s="54">
        <v>0</v>
      </c>
      <c r="X48" s="55">
        <v>0</v>
      </c>
      <c r="Y48" s="56">
        <v>0</v>
      </c>
      <c r="Z48" s="57">
        <v>0</v>
      </c>
    </row>
    <row r="49" spans="1:26" s="30" customFormat="1" ht="18" customHeight="1" x14ac:dyDescent="0.25">
      <c r="A49" s="21" t="s">
        <v>176</v>
      </c>
      <c r="B49" s="22">
        <v>1530030</v>
      </c>
      <c r="C49" s="23" t="s">
        <v>174</v>
      </c>
      <c r="D49" s="22" t="s">
        <v>35</v>
      </c>
      <c r="E49" s="41">
        <v>0</v>
      </c>
      <c r="F49" s="42">
        <v>0</v>
      </c>
      <c r="G49" s="43">
        <v>0</v>
      </c>
      <c r="H49" s="24"/>
      <c r="I49" s="25"/>
      <c r="J49" s="25"/>
      <c r="K49" s="25"/>
      <c r="L49" s="24"/>
      <c r="M49" s="25"/>
      <c r="N49" s="25"/>
      <c r="O49" s="25"/>
      <c r="P49" s="47"/>
      <c r="Q49" s="48"/>
      <c r="R49" s="49"/>
      <c r="S49" s="50">
        <v>0</v>
      </c>
      <c r="T49" s="51">
        <v>0</v>
      </c>
      <c r="U49" s="52">
        <v>0</v>
      </c>
      <c r="V49" s="53">
        <v>0</v>
      </c>
      <c r="W49" s="54">
        <v>0</v>
      </c>
      <c r="X49" s="55">
        <v>0</v>
      </c>
      <c r="Y49" s="47">
        <v>0</v>
      </c>
      <c r="Z49" s="49">
        <v>0</v>
      </c>
    </row>
    <row r="50" spans="1:26" s="30" customFormat="1" ht="18" customHeight="1" x14ac:dyDescent="0.25">
      <c r="A50" s="21" t="s">
        <v>178</v>
      </c>
      <c r="B50" s="22">
        <v>1530040</v>
      </c>
      <c r="C50" s="23" t="s">
        <v>174</v>
      </c>
      <c r="D50" s="22" t="s">
        <v>35</v>
      </c>
      <c r="E50" s="47">
        <v>0</v>
      </c>
      <c r="F50" s="48">
        <v>0</v>
      </c>
      <c r="G50" s="49">
        <v>0</v>
      </c>
      <c r="H50" s="44"/>
      <c r="I50" s="45"/>
      <c r="J50" s="46"/>
      <c r="K50" s="46"/>
      <c r="L50" s="24"/>
      <c r="M50" s="25"/>
      <c r="N50" s="25"/>
      <c r="O50" s="25"/>
      <c r="P50" s="47"/>
      <c r="Q50" s="48"/>
      <c r="R50" s="49"/>
      <c r="S50" s="50">
        <v>0</v>
      </c>
      <c r="T50" s="51">
        <v>0</v>
      </c>
      <c r="U50" s="52">
        <v>0</v>
      </c>
      <c r="V50" s="53">
        <v>0</v>
      </c>
      <c r="W50" s="54">
        <v>0</v>
      </c>
      <c r="X50" s="55">
        <v>0</v>
      </c>
      <c r="Y50" s="56">
        <v>0</v>
      </c>
      <c r="Z50" s="57">
        <v>0</v>
      </c>
    </row>
    <row r="51" spans="1:26" s="30" customFormat="1" ht="18" customHeight="1" x14ac:dyDescent="0.25">
      <c r="A51" s="21" t="s">
        <v>180</v>
      </c>
      <c r="B51" s="22">
        <v>1540010</v>
      </c>
      <c r="C51" s="23" t="s">
        <v>181</v>
      </c>
      <c r="D51" s="22" t="s">
        <v>35</v>
      </c>
      <c r="E51" s="41">
        <v>0</v>
      </c>
      <c r="F51" s="42">
        <v>0</v>
      </c>
      <c r="G51" s="43">
        <v>0</v>
      </c>
      <c r="H51" s="24"/>
      <c r="I51" s="25"/>
      <c r="J51" s="25"/>
      <c r="K51" s="25"/>
      <c r="L51" s="24"/>
      <c r="M51" s="25"/>
      <c r="N51" s="25"/>
      <c r="O51" s="25"/>
      <c r="P51" s="47"/>
      <c r="Q51" s="48"/>
      <c r="R51" s="49"/>
      <c r="S51" s="50">
        <v>0</v>
      </c>
      <c r="T51" s="51">
        <v>0</v>
      </c>
      <c r="U51" s="52">
        <v>0</v>
      </c>
      <c r="V51" s="53">
        <v>0</v>
      </c>
      <c r="W51" s="54">
        <v>0</v>
      </c>
      <c r="X51" s="55">
        <v>0</v>
      </c>
      <c r="Y51" s="56">
        <v>0</v>
      </c>
      <c r="Z51" s="57">
        <v>0</v>
      </c>
    </row>
    <row r="52" spans="1:26" s="30" customFormat="1" ht="18" customHeight="1" x14ac:dyDescent="0.25">
      <c r="A52" s="21" t="s">
        <v>49</v>
      </c>
      <c r="B52" s="22">
        <v>15601043</v>
      </c>
      <c r="C52" s="23" t="s">
        <v>183</v>
      </c>
      <c r="D52" s="22" t="s">
        <v>184</v>
      </c>
      <c r="E52" s="41">
        <v>0</v>
      </c>
      <c r="F52" s="42">
        <v>0</v>
      </c>
      <c r="G52" s="43">
        <v>0</v>
      </c>
      <c r="H52" s="24"/>
      <c r="I52" s="25"/>
      <c r="J52" s="25"/>
      <c r="K52" s="25"/>
      <c r="L52" s="24"/>
      <c r="M52" s="25"/>
      <c r="N52" s="25"/>
      <c r="O52" s="25"/>
      <c r="P52" s="47"/>
      <c r="Q52" s="48"/>
      <c r="R52" s="49"/>
      <c r="S52" s="50">
        <v>0</v>
      </c>
      <c r="T52" s="51">
        <v>0</v>
      </c>
      <c r="U52" s="52">
        <v>0</v>
      </c>
      <c r="V52" s="53">
        <v>0</v>
      </c>
      <c r="W52" s="54">
        <v>0</v>
      </c>
      <c r="X52" s="55">
        <v>0</v>
      </c>
      <c r="Y52" s="47">
        <v>0</v>
      </c>
      <c r="Z52" s="49">
        <v>0</v>
      </c>
    </row>
    <row r="53" spans="1:26" s="30" customFormat="1" ht="18" customHeight="1" x14ac:dyDescent="0.25">
      <c r="A53" s="21" t="s">
        <v>186</v>
      </c>
      <c r="B53" s="22">
        <v>1560113</v>
      </c>
      <c r="C53" s="23" t="s">
        <v>183</v>
      </c>
      <c r="D53" s="22" t="s">
        <v>184</v>
      </c>
      <c r="E53" s="41">
        <v>0</v>
      </c>
      <c r="F53" s="42">
        <v>0</v>
      </c>
      <c r="G53" s="43">
        <v>0</v>
      </c>
      <c r="H53" s="24"/>
      <c r="I53" s="25"/>
      <c r="J53" s="25"/>
      <c r="K53" s="25"/>
      <c r="L53" s="24"/>
      <c r="M53" s="25"/>
      <c r="N53" s="25"/>
      <c r="O53" s="25"/>
      <c r="P53" s="47"/>
      <c r="Q53" s="48"/>
      <c r="R53" s="49"/>
      <c r="S53" s="50">
        <v>0</v>
      </c>
      <c r="T53" s="51">
        <v>0</v>
      </c>
      <c r="U53" s="52">
        <v>0</v>
      </c>
      <c r="V53" s="53">
        <v>0</v>
      </c>
      <c r="W53" s="54">
        <v>0</v>
      </c>
      <c r="X53" s="55">
        <v>0</v>
      </c>
      <c r="Y53" s="47">
        <v>0</v>
      </c>
      <c r="Z53" s="49">
        <v>0</v>
      </c>
    </row>
    <row r="54" spans="1:26" s="30" customFormat="1" ht="18" customHeight="1" x14ac:dyDescent="0.25">
      <c r="A54" s="21" t="s">
        <v>49</v>
      </c>
      <c r="B54" s="22">
        <v>1560146</v>
      </c>
      <c r="C54" s="23" t="s">
        <v>183</v>
      </c>
      <c r="D54" s="22" t="s">
        <v>50</v>
      </c>
      <c r="E54" s="41">
        <v>0</v>
      </c>
      <c r="F54" s="42">
        <v>0</v>
      </c>
      <c r="G54" s="43">
        <v>0</v>
      </c>
      <c r="H54" s="24"/>
      <c r="I54" s="25"/>
      <c r="J54" s="25"/>
      <c r="K54" s="25"/>
      <c r="L54" s="24"/>
      <c r="M54" s="25"/>
      <c r="N54" s="25"/>
      <c r="O54" s="25"/>
      <c r="P54" s="47"/>
      <c r="Q54" s="48"/>
      <c r="R54" s="49"/>
      <c r="S54" s="50">
        <v>0</v>
      </c>
      <c r="T54" s="51">
        <v>0</v>
      </c>
      <c r="U54" s="52">
        <v>0</v>
      </c>
      <c r="V54" s="58">
        <v>0</v>
      </c>
      <c r="W54" s="48">
        <v>0</v>
      </c>
      <c r="X54" s="49">
        <v>0</v>
      </c>
      <c r="Y54" s="56">
        <v>0</v>
      </c>
      <c r="Z54" s="57">
        <v>0</v>
      </c>
    </row>
    <row r="55" spans="1:26" s="30" customFormat="1" ht="18" customHeight="1" x14ac:dyDescent="0.25">
      <c r="A55" s="21" t="s">
        <v>188</v>
      </c>
      <c r="B55" s="22">
        <v>1605050</v>
      </c>
      <c r="C55" s="23" t="s">
        <v>189</v>
      </c>
      <c r="D55" s="22" t="s">
        <v>190</v>
      </c>
      <c r="E55" s="41">
        <v>0</v>
      </c>
      <c r="F55" s="42">
        <v>0</v>
      </c>
      <c r="G55" s="43">
        <v>0</v>
      </c>
      <c r="H55" s="44"/>
      <c r="I55" s="45"/>
      <c r="J55" s="46"/>
      <c r="K55" s="46"/>
      <c r="L55" s="24"/>
      <c r="M55" s="25"/>
      <c r="N55" s="25"/>
      <c r="O55" s="25"/>
      <c r="P55" s="47"/>
      <c r="Q55" s="48"/>
      <c r="R55" s="49"/>
      <c r="S55" s="50">
        <v>0</v>
      </c>
      <c r="T55" s="51">
        <v>0</v>
      </c>
      <c r="U55" s="52">
        <v>0</v>
      </c>
      <c r="V55" s="53">
        <v>0</v>
      </c>
      <c r="W55" s="54">
        <v>0</v>
      </c>
      <c r="X55" s="55">
        <v>0</v>
      </c>
      <c r="Y55" s="56">
        <v>0</v>
      </c>
      <c r="Z55" s="57">
        <v>0</v>
      </c>
    </row>
    <row r="56" spans="1:26" s="30" customFormat="1" ht="18" customHeight="1" x14ac:dyDescent="0.25">
      <c r="A56" s="21" t="s">
        <v>192</v>
      </c>
      <c r="B56" s="22">
        <v>1605088</v>
      </c>
      <c r="C56" s="23" t="s">
        <v>193</v>
      </c>
      <c r="D56" s="22" t="s">
        <v>194</v>
      </c>
      <c r="E56" s="47">
        <v>0</v>
      </c>
      <c r="F56" s="48">
        <v>0</v>
      </c>
      <c r="G56" s="49">
        <v>0</v>
      </c>
      <c r="H56" s="44"/>
      <c r="I56" s="45"/>
      <c r="J56" s="46"/>
      <c r="K56" s="46"/>
      <c r="L56" s="24"/>
      <c r="M56" s="25"/>
      <c r="N56" s="25"/>
      <c r="O56" s="25"/>
      <c r="P56" s="47"/>
      <c r="Q56" s="48"/>
      <c r="R56" s="49"/>
      <c r="S56" s="50">
        <v>0</v>
      </c>
      <c r="T56" s="51">
        <v>0</v>
      </c>
      <c r="U56" s="52">
        <v>0</v>
      </c>
      <c r="V56" s="53">
        <v>0</v>
      </c>
      <c r="W56" s="54">
        <v>0</v>
      </c>
      <c r="X56" s="55">
        <v>0</v>
      </c>
      <c r="Y56" s="47">
        <v>0</v>
      </c>
      <c r="Z56" s="49">
        <v>0</v>
      </c>
    </row>
    <row r="57" spans="1:26" s="30" customFormat="1" ht="18" customHeight="1" x14ac:dyDescent="0.25">
      <c r="A57" s="21" t="s">
        <v>52</v>
      </c>
      <c r="B57" s="22">
        <v>1615607</v>
      </c>
      <c r="C57" s="23" t="s">
        <v>129</v>
      </c>
      <c r="D57" s="22" t="s">
        <v>53</v>
      </c>
      <c r="E57" s="41">
        <v>0</v>
      </c>
      <c r="F57" s="42">
        <v>0</v>
      </c>
      <c r="G57" s="43">
        <v>0</v>
      </c>
      <c r="H57" s="24"/>
      <c r="I57" s="25"/>
      <c r="J57" s="25"/>
      <c r="K57" s="25"/>
      <c r="L57" s="24"/>
      <c r="M57" s="25"/>
      <c r="N57" s="25"/>
      <c r="O57" s="25"/>
      <c r="P57" s="47"/>
      <c r="Q57" s="48"/>
      <c r="R57" s="49"/>
      <c r="S57" s="50">
        <v>0</v>
      </c>
      <c r="T57" s="51">
        <v>0</v>
      </c>
      <c r="U57" s="52">
        <v>0</v>
      </c>
      <c r="V57" s="53">
        <v>0</v>
      </c>
      <c r="W57" s="54">
        <v>0</v>
      </c>
      <c r="X57" s="55">
        <v>0</v>
      </c>
      <c r="Y57" s="56">
        <v>0</v>
      </c>
      <c r="Z57" s="57">
        <v>0</v>
      </c>
    </row>
    <row r="58" spans="1:26" s="30" customFormat="1" ht="18" customHeight="1" x14ac:dyDescent="0.25">
      <c r="A58" s="21" t="s">
        <v>196</v>
      </c>
      <c r="B58" s="22">
        <v>2010010</v>
      </c>
      <c r="C58" s="23" t="s">
        <v>197</v>
      </c>
      <c r="D58" s="22" t="s">
        <v>35</v>
      </c>
      <c r="E58" s="41">
        <v>0</v>
      </c>
      <c r="F58" s="42">
        <v>0</v>
      </c>
      <c r="G58" s="43">
        <v>0</v>
      </c>
      <c r="H58" s="24"/>
      <c r="I58" s="25"/>
      <c r="J58" s="25"/>
      <c r="K58" s="25"/>
      <c r="L58" s="24"/>
      <c r="M58" s="25"/>
      <c r="N58" s="25"/>
      <c r="O58" s="25"/>
      <c r="P58" s="47"/>
      <c r="Q58" s="48"/>
      <c r="R58" s="49"/>
      <c r="S58" s="50">
        <v>0</v>
      </c>
      <c r="T58" s="51">
        <v>0</v>
      </c>
      <c r="U58" s="52">
        <v>0</v>
      </c>
      <c r="V58" s="58">
        <v>0</v>
      </c>
      <c r="W58" s="48">
        <v>0</v>
      </c>
      <c r="X58" s="49">
        <v>0</v>
      </c>
      <c r="Y58" s="56">
        <v>0</v>
      </c>
      <c r="Z58" s="57">
        <v>0</v>
      </c>
    </row>
    <row r="59" spans="1:26" s="30" customFormat="1" ht="18" customHeight="1" x14ac:dyDescent="0.25">
      <c r="A59" s="21" t="s">
        <v>199</v>
      </c>
      <c r="B59" s="22">
        <v>2010040</v>
      </c>
      <c r="C59" s="23" t="s">
        <v>197</v>
      </c>
      <c r="D59" s="22" t="s">
        <v>35</v>
      </c>
      <c r="E59" s="41">
        <v>0</v>
      </c>
      <c r="F59" s="42">
        <v>0</v>
      </c>
      <c r="G59" s="43">
        <v>0</v>
      </c>
      <c r="H59" s="44"/>
      <c r="I59" s="45"/>
      <c r="J59" s="46"/>
      <c r="K59" s="46"/>
      <c r="L59" s="24"/>
      <c r="M59" s="25"/>
      <c r="N59" s="25"/>
      <c r="O59" s="25"/>
      <c r="P59" s="47"/>
      <c r="Q59" s="48"/>
      <c r="R59" s="49"/>
      <c r="S59" s="50">
        <v>0</v>
      </c>
      <c r="T59" s="51">
        <v>0</v>
      </c>
      <c r="U59" s="52">
        <v>0</v>
      </c>
      <c r="V59" s="53">
        <v>0</v>
      </c>
      <c r="W59" s="54">
        <v>0</v>
      </c>
      <c r="X59" s="55">
        <v>0</v>
      </c>
      <c r="Y59" s="56">
        <v>0</v>
      </c>
      <c r="Z59" s="57">
        <v>0</v>
      </c>
    </row>
    <row r="60" spans="1:26" s="30" customFormat="1" ht="18" customHeight="1" x14ac:dyDescent="0.25">
      <c r="A60" s="21" t="s">
        <v>201</v>
      </c>
      <c r="B60" s="22">
        <v>2010060</v>
      </c>
      <c r="C60" s="23" t="s">
        <v>197</v>
      </c>
      <c r="D60" s="22" t="s">
        <v>35</v>
      </c>
      <c r="E60" s="41">
        <v>0</v>
      </c>
      <c r="F60" s="42">
        <v>0</v>
      </c>
      <c r="G60" s="43">
        <v>0</v>
      </c>
      <c r="H60" s="44"/>
      <c r="I60" s="45"/>
      <c r="J60" s="46"/>
      <c r="K60" s="46"/>
      <c r="L60" s="24"/>
      <c r="M60" s="25"/>
      <c r="N60" s="25"/>
      <c r="O60" s="25"/>
      <c r="P60" s="47"/>
      <c r="Q60" s="48"/>
      <c r="R60" s="49"/>
      <c r="S60" s="50">
        <v>0</v>
      </c>
      <c r="T60" s="51">
        <v>0</v>
      </c>
      <c r="U60" s="52">
        <v>0</v>
      </c>
      <c r="V60" s="53">
        <v>0</v>
      </c>
      <c r="W60" s="54">
        <v>0</v>
      </c>
      <c r="X60" s="55">
        <v>0</v>
      </c>
      <c r="Y60" s="56">
        <v>0</v>
      </c>
      <c r="Z60" s="57">
        <v>0</v>
      </c>
    </row>
    <row r="61" spans="1:26" s="30" customFormat="1" ht="18" customHeight="1" x14ac:dyDescent="0.25">
      <c r="A61" s="21" t="s">
        <v>203</v>
      </c>
      <c r="B61" s="22">
        <v>2030060</v>
      </c>
      <c r="C61" s="23" t="s">
        <v>204</v>
      </c>
      <c r="D61" s="22" t="s">
        <v>35</v>
      </c>
      <c r="E61" s="41">
        <v>0</v>
      </c>
      <c r="F61" s="42">
        <v>0</v>
      </c>
      <c r="G61" s="43">
        <v>0</v>
      </c>
      <c r="H61" s="44"/>
      <c r="I61" s="45"/>
      <c r="J61" s="46"/>
      <c r="K61" s="46"/>
      <c r="L61" s="24"/>
      <c r="M61" s="25"/>
      <c r="N61" s="25"/>
      <c r="O61" s="25"/>
      <c r="P61" s="47"/>
      <c r="Q61" s="48"/>
      <c r="R61" s="49"/>
      <c r="S61" s="50">
        <v>0</v>
      </c>
      <c r="T61" s="51">
        <v>0</v>
      </c>
      <c r="U61" s="52">
        <v>0</v>
      </c>
      <c r="V61" s="53">
        <v>0</v>
      </c>
      <c r="W61" s="54">
        <v>0</v>
      </c>
      <c r="X61" s="55">
        <v>0</v>
      </c>
      <c r="Y61" s="47">
        <v>0</v>
      </c>
      <c r="Z61" s="49">
        <v>0</v>
      </c>
    </row>
    <row r="62" spans="1:26" s="30" customFormat="1" ht="18" customHeight="1" x14ac:dyDescent="0.25">
      <c r="A62" s="21" t="s">
        <v>206</v>
      </c>
      <c r="B62" s="22">
        <v>2030090</v>
      </c>
      <c r="C62" s="23" t="s">
        <v>204</v>
      </c>
      <c r="D62" s="22" t="s">
        <v>35</v>
      </c>
      <c r="E62" s="41">
        <v>0</v>
      </c>
      <c r="F62" s="42">
        <v>0</v>
      </c>
      <c r="G62" s="43">
        <v>0</v>
      </c>
      <c r="H62" s="24"/>
      <c r="I62" s="25"/>
      <c r="J62" s="25"/>
      <c r="K62" s="25"/>
      <c r="L62" s="24"/>
      <c r="M62" s="25"/>
      <c r="N62" s="25"/>
      <c r="O62" s="25"/>
      <c r="P62" s="47"/>
      <c r="Q62" s="48"/>
      <c r="R62" s="49"/>
      <c r="S62" s="50">
        <v>0</v>
      </c>
      <c r="T62" s="51">
        <v>0</v>
      </c>
      <c r="U62" s="52">
        <v>0</v>
      </c>
      <c r="V62" s="58">
        <v>0</v>
      </c>
      <c r="W62" s="48">
        <v>0</v>
      </c>
      <c r="X62" s="49">
        <v>0</v>
      </c>
      <c r="Y62" s="56">
        <v>0</v>
      </c>
      <c r="Z62" s="57">
        <v>0</v>
      </c>
    </row>
    <row r="63" spans="1:26" s="30" customFormat="1" ht="18" customHeight="1" x14ac:dyDescent="0.25">
      <c r="A63" s="21" t="s">
        <v>208</v>
      </c>
      <c r="B63" s="22">
        <v>2030120</v>
      </c>
      <c r="C63" s="23" t="s">
        <v>204</v>
      </c>
      <c r="D63" s="22" t="s">
        <v>35</v>
      </c>
      <c r="E63" s="47">
        <v>0</v>
      </c>
      <c r="F63" s="48">
        <v>0</v>
      </c>
      <c r="G63" s="49">
        <v>0</v>
      </c>
      <c r="H63" s="44"/>
      <c r="I63" s="45"/>
      <c r="J63" s="46"/>
      <c r="K63" s="46"/>
      <c r="L63" s="24"/>
      <c r="M63" s="25"/>
      <c r="N63" s="25"/>
      <c r="O63" s="25"/>
      <c r="P63" s="47"/>
      <c r="Q63" s="48"/>
      <c r="R63" s="49"/>
      <c r="S63" s="50">
        <v>0</v>
      </c>
      <c r="T63" s="51">
        <v>0</v>
      </c>
      <c r="U63" s="52">
        <v>0</v>
      </c>
      <c r="V63" s="53">
        <v>0</v>
      </c>
      <c r="W63" s="54">
        <v>0</v>
      </c>
      <c r="X63" s="55">
        <v>0</v>
      </c>
      <c r="Y63" s="47">
        <v>0</v>
      </c>
      <c r="Z63" s="49">
        <v>0</v>
      </c>
    </row>
    <row r="64" spans="1:26" s="30" customFormat="1" ht="18" customHeight="1" x14ac:dyDescent="0.25">
      <c r="A64" s="21" t="s">
        <v>39</v>
      </c>
      <c r="B64" s="22">
        <v>2030130</v>
      </c>
      <c r="C64" s="23" t="s">
        <v>204</v>
      </c>
      <c r="D64" s="22" t="s">
        <v>35</v>
      </c>
      <c r="E64" s="41">
        <v>0</v>
      </c>
      <c r="F64" s="42">
        <v>0</v>
      </c>
      <c r="G64" s="43">
        <v>0</v>
      </c>
      <c r="H64" s="44"/>
      <c r="I64" s="45"/>
      <c r="J64" s="46"/>
      <c r="K64" s="46"/>
      <c r="L64" s="24"/>
      <c r="M64" s="25"/>
      <c r="N64" s="25"/>
      <c r="O64" s="25"/>
      <c r="P64" s="47"/>
      <c r="Q64" s="48"/>
      <c r="R64" s="49"/>
      <c r="S64" s="50">
        <v>0</v>
      </c>
      <c r="T64" s="51">
        <v>0</v>
      </c>
      <c r="U64" s="52">
        <v>0</v>
      </c>
      <c r="V64" s="53">
        <v>0</v>
      </c>
      <c r="W64" s="54">
        <v>0</v>
      </c>
      <c r="X64" s="55">
        <v>0</v>
      </c>
      <c r="Y64" s="56">
        <v>0</v>
      </c>
      <c r="Z64" s="57">
        <v>0</v>
      </c>
    </row>
    <row r="65" spans="1:26" s="30" customFormat="1" ht="18" customHeight="1" x14ac:dyDescent="0.25">
      <c r="A65" s="21" t="s">
        <v>211</v>
      </c>
      <c r="B65" s="22">
        <v>2030140</v>
      </c>
      <c r="C65" s="23" t="s">
        <v>204</v>
      </c>
      <c r="D65" s="22" t="s">
        <v>35</v>
      </c>
      <c r="E65" s="41">
        <v>0</v>
      </c>
      <c r="F65" s="42">
        <v>0</v>
      </c>
      <c r="G65" s="43">
        <v>0</v>
      </c>
      <c r="H65" s="24"/>
      <c r="I65" s="25"/>
      <c r="J65" s="25"/>
      <c r="K65" s="25"/>
      <c r="L65" s="24"/>
      <c r="M65" s="25"/>
      <c r="N65" s="25"/>
      <c r="O65" s="25"/>
      <c r="P65" s="47"/>
      <c r="Q65" s="48"/>
      <c r="R65" s="49"/>
      <c r="S65" s="50">
        <v>0</v>
      </c>
      <c r="T65" s="51">
        <v>0</v>
      </c>
      <c r="U65" s="52">
        <v>0</v>
      </c>
      <c r="V65" s="53">
        <v>0</v>
      </c>
      <c r="W65" s="54">
        <v>0</v>
      </c>
      <c r="X65" s="55">
        <v>0</v>
      </c>
      <c r="Y65" s="47">
        <v>0</v>
      </c>
      <c r="Z65" s="49">
        <v>0</v>
      </c>
    </row>
    <row r="66" spans="1:26" s="30" customFormat="1" ht="18" customHeight="1" x14ac:dyDescent="0.25">
      <c r="A66" s="21" t="s">
        <v>213</v>
      </c>
      <c r="B66" s="22">
        <v>2030170</v>
      </c>
      <c r="C66" s="23" t="s">
        <v>204</v>
      </c>
      <c r="D66" s="22" t="s">
        <v>35</v>
      </c>
      <c r="E66" s="41">
        <v>0</v>
      </c>
      <c r="F66" s="42">
        <v>0</v>
      </c>
      <c r="G66" s="43">
        <v>0</v>
      </c>
      <c r="H66" s="24"/>
      <c r="I66" s="25"/>
      <c r="J66" s="25"/>
      <c r="K66" s="25"/>
      <c r="L66" s="24"/>
      <c r="M66" s="25"/>
      <c r="N66" s="25"/>
      <c r="O66" s="25"/>
      <c r="P66" s="47"/>
      <c r="Q66" s="48"/>
      <c r="R66" s="49"/>
      <c r="S66" s="50">
        <v>0</v>
      </c>
      <c r="T66" s="51">
        <v>0</v>
      </c>
      <c r="U66" s="52">
        <v>0</v>
      </c>
      <c r="V66" s="58">
        <v>0</v>
      </c>
      <c r="W66" s="48">
        <v>0</v>
      </c>
      <c r="X66" s="49">
        <v>0</v>
      </c>
      <c r="Y66" s="56">
        <v>0</v>
      </c>
      <c r="Z66" s="57">
        <v>0</v>
      </c>
    </row>
    <row r="67" spans="1:26" s="30" customFormat="1" ht="18" customHeight="1" x14ac:dyDescent="0.25">
      <c r="A67" s="21" t="s">
        <v>39</v>
      </c>
      <c r="B67" s="22">
        <v>2030387</v>
      </c>
      <c r="C67" s="23" t="s">
        <v>204</v>
      </c>
      <c r="D67" s="22" t="s">
        <v>40</v>
      </c>
      <c r="E67" s="41">
        <v>0</v>
      </c>
      <c r="F67" s="42">
        <v>0</v>
      </c>
      <c r="G67" s="43">
        <v>0</v>
      </c>
      <c r="H67" s="24"/>
      <c r="I67" s="25"/>
      <c r="J67" s="25"/>
      <c r="K67" s="25"/>
      <c r="L67" s="24"/>
      <c r="M67" s="25"/>
      <c r="N67" s="25"/>
      <c r="O67" s="25"/>
      <c r="P67" s="47"/>
      <c r="Q67" s="48"/>
      <c r="R67" s="49"/>
      <c r="S67" s="50">
        <v>0</v>
      </c>
      <c r="T67" s="51">
        <v>0</v>
      </c>
      <c r="U67" s="52">
        <v>0</v>
      </c>
      <c r="V67" s="58">
        <v>0</v>
      </c>
      <c r="W67" s="48">
        <v>0</v>
      </c>
      <c r="X67" s="49">
        <v>0</v>
      </c>
      <c r="Y67" s="56">
        <v>0</v>
      </c>
      <c r="Z67" s="57">
        <v>0</v>
      </c>
    </row>
    <row r="68" spans="1:26" s="30" customFormat="1" ht="18" customHeight="1" x14ac:dyDescent="0.25">
      <c r="A68" s="21" t="s">
        <v>215</v>
      </c>
      <c r="B68" s="22">
        <v>2050010</v>
      </c>
      <c r="C68" s="23" t="s">
        <v>216</v>
      </c>
      <c r="D68" s="22" t="s">
        <v>35</v>
      </c>
      <c r="E68" s="41">
        <v>0</v>
      </c>
      <c r="F68" s="42">
        <v>0</v>
      </c>
      <c r="G68" s="43">
        <v>0</v>
      </c>
      <c r="H68" s="24"/>
      <c r="I68" s="25"/>
      <c r="J68" s="25"/>
      <c r="K68" s="25"/>
      <c r="L68" s="24"/>
      <c r="M68" s="25"/>
      <c r="N68" s="25"/>
      <c r="O68" s="25"/>
      <c r="P68" s="47"/>
      <c r="Q68" s="48"/>
      <c r="R68" s="49"/>
      <c r="S68" s="50">
        <v>0</v>
      </c>
      <c r="T68" s="51">
        <v>0</v>
      </c>
      <c r="U68" s="52">
        <v>0</v>
      </c>
      <c r="V68" s="53">
        <v>0</v>
      </c>
      <c r="W68" s="54">
        <v>0</v>
      </c>
      <c r="X68" s="55">
        <v>0</v>
      </c>
      <c r="Y68" s="47">
        <v>0</v>
      </c>
      <c r="Z68" s="49">
        <v>0</v>
      </c>
    </row>
    <row r="69" spans="1:26" s="30" customFormat="1" ht="18" customHeight="1" x14ac:dyDescent="0.25">
      <c r="A69" s="21" t="s">
        <v>218</v>
      </c>
      <c r="B69" s="22">
        <v>2050030</v>
      </c>
      <c r="C69" s="23" t="s">
        <v>216</v>
      </c>
      <c r="D69" s="22" t="s">
        <v>35</v>
      </c>
      <c r="E69" s="41">
        <v>0</v>
      </c>
      <c r="F69" s="42">
        <v>0</v>
      </c>
      <c r="G69" s="43">
        <v>0</v>
      </c>
      <c r="H69" s="24"/>
      <c r="I69" s="25"/>
      <c r="J69" s="25"/>
      <c r="K69" s="25"/>
      <c r="L69" s="24"/>
      <c r="M69" s="25"/>
      <c r="N69" s="25"/>
      <c r="O69" s="25"/>
      <c r="P69" s="47"/>
      <c r="Q69" s="48"/>
      <c r="R69" s="49"/>
      <c r="S69" s="50">
        <v>0</v>
      </c>
      <c r="T69" s="51">
        <v>0</v>
      </c>
      <c r="U69" s="52">
        <v>0</v>
      </c>
      <c r="V69" s="53">
        <v>0</v>
      </c>
      <c r="W69" s="54">
        <v>0</v>
      </c>
      <c r="X69" s="55">
        <v>0</v>
      </c>
      <c r="Y69" s="56">
        <v>0</v>
      </c>
      <c r="Z69" s="57">
        <v>0</v>
      </c>
    </row>
    <row r="70" spans="1:26" s="30" customFormat="1" ht="18" customHeight="1" x14ac:dyDescent="0.25">
      <c r="A70" s="21" t="s">
        <v>220</v>
      </c>
      <c r="B70" s="22">
        <v>2050080</v>
      </c>
      <c r="C70" s="23" t="s">
        <v>216</v>
      </c>
      <c r="D70" s="22" t="s">
        <v>35</v>
      </c>
      <c r="E70" s="47">
        <v>0</v>
      </c>
      <c r="F70" s="48">
        <v>0</v>
      </c>
      <c r="G70" s="49">
        <v>0</v>
      </c>
      <c r="H70" s="44"/>
      <c r="I70" s="45"/>
      <c r="J70" s="46"/>
      <c r="K70" s="46"/>
      <c r="L70" s="24"/>
      <c r="M70" s="25"/>
      <c r="N70" s="25"/>
      <c r="O70" s="25"/>
      <c r="P70" s="47"/>
      <c r="Q70" s="48"/>
      <c r="R70" s="49"/>
      <c r="S70" s="50">
        <v>0</v>
      </c>
      <c r="T70" s="51">
        <v>0</v>
      </c>
      <c r="U70" s="52">
        <v>0</v>
      </c>
      <c r="V70" s="53">
        <v>0</v>
      </c>
      <c r="W70" s="54">
        <v>0</v>
      </c>
      <c r="X70" s="55">
        <v>0</v>
      </c>
      <c r="Y70" s="47">
        <v>0</v>
      </c>
      <c r="Z70" s="49">
        <v>0</v>
      </c>
    </row>
    <row r="71" spans="1:26" s="30" customFormat="1" ht="18" customHeight="1" x14ac:dyDescent="0.25">
      <c r="A71" s="21" t="s">
        <v>222</v>
      </c>
      <c r="B71" s="22">
        <v>2050120</v>
      </c>
      <c r="C71" s="23" t="s">
        <v>216</v>
      </c>
      <c r="D71" s="22" t="s">
        <v>35</v>
      </c>
      <c r="E71" s="41">
        <v>0</v>
      </c>
      <c r="F71" s="42">
        <v>0</v>
      </c>
      <c r="G71" s="43">
        <v>0</v>
      </c>
      <c r="H71" s="44"/>
      <c r="I71" s="45"/>
      <c r="J71" s="46"/>
      <c r="K71" s="46"/>
      <c r="L71" s="24"/>
      <c r="M71" s="25"/>
      <c r="N71" s="25"/>
      <c r="O71" s="25"/>
      <c r="P71" s="47"/>
      <c r="Q71" s="48"/>
      <c r="R71" s="49"/>
      <c r="S71" s="50">
        <v>0</v>
      </c>
      <c r="T71" s="51">
        <v>0</v>
      </c>
      <c r="U71" s="52">
        <v>0</v>
      </c>
      <c r="V71" s="53">
        <v>0</v>
      </c>
      <c r="W71" s="54">
        <v>0</v>
      </c>
      <c r="X71" s="55">
        <v>0</v>
      </c>
      <c r="Y71" s="56">
        <v>0</v>
      </c>
      <c r="Z71" s="57">
        <v>0</v>
      </c>
    </row>
    <row r="72" spans="1:26" s="30" customFormat="1" ht="18" customHeight="1" x14ac:dyDescent="0.25">
      <c r="A72" s="21" t="s">
        <v>224</v>
      </c>
      <c r="B72" s="22">
        <v>2050140</v>
      </c>
      <c r="C72" s="23" t="s">
        <v>216</v>
      </c>
      <c r="D72" s="22" t="s">
        <v>35</v>
      </c>
      <c r="E72" s="41">
        <v>0</v>
      </c>
      <c r="F72" s="42">
        <v>0</v>
      </c>
      <c r="G72" s="43">
        <v>0</v>
      </c>
      <c r="H72" s="24"/>
      <c r="I72" s="25"/>
      <c r="J72" s="25"/>
      <c r="K72" s="25"/>
      <c r="L72" s="24"/>
      <c r="M72" s="25"/>
      <c r="N72" s="25"/>
      <c r="O72" s="25"/>
      <c r="P72" s="47"/>
      <c r="Q72" s="48"/>
      <c r="R72" s="49"/>
      <c r="S72" s="50">
        <v>0</v>
      </c>
      <c r="T72" s="51">
        <v>0</v>
      </c>
      <c r="U72" s="52">
        <v>0</v>
      </c>
      <c r="V72" s="53">
        <v>0</v>
      </c>
      <c r="W72" s="54">
        <v>0</v>
      </c>
      <c r="X72" s="55">
        <v>0</v>
      </c>
      <c r="Y72" s="47">
        <v>0</v>
      </c>
      <c r="Z72" s="49">
        <v>0</v>
      </c>
    </row>
    <row r="73" spans="1:26" s="30" customFormat="1" ht="18" customHeight="1" x14ac:dyDescent="0.25">
      <c r="A73" s="21" t="s">
        <v>226</v>
      </c>
      <c r="B73" s="22">
        <v>2050166</v>
      </c>
      <c r="C73" s="23" t="s">
        <v>216</v>
      </c>
      <c r="D73" s="22" t="s">
        <v>35</v>
      </c>
      <c r="E73" s="47">
        <v>0</v>
      </c>
      <c r="F73" s="48">
        <v>0</v>
      </c>
      <c r="G73" s="49">
        <v>0</v>
      </c>
      <c r="H73" s="44"/>
      <c r="I73" s="45"/>
      <c r="J73" s="46"/>
      <c r="K73" s="46"/>
      <c r="L73" s="24"/>
      <c r="M73" s="25"/>
      <c r="N73" s="25"/>
      <c r="O73" s="25"/>
      <c r="P73" s="47"/>
      <c r="Q73" s="48"/>
      <c r="R73" s="49"/>
      <c r="S73" s="50">
        <v>0</v>
      </c>
      <c r="T73" s="51">
        <v>0</v>
      </c>
      <c r="U73" s="52">
        <v>0</v>
      </c>
      <c r="V73" s="53">
        <v>0</v>
      </c>
      <c r="W73" s="54">
        <v>0</v>
      </c>
      <c r="X73" s="55">
        <v>0</v>
      </c>
      <c r="Y73" s="47">
        <v>0</v>
      </c>
      <c r="Z73" s="49">
        <v>0</v>
      </c>
    </row>
    <row r="74" spans="1:26" s="30" customFormat="1" ht="18" customHeight="1" x14ac:dyDescent="0.25">
      <c r="A74" s="21" t="s">
        <v>228</v>
      </c>
      <c r="B74" s="22">
        <v>2050220</v>
      </c>
      <c r="C74" s="23" t="s">
        <v>216</v>
      </c>
      <c r="D74" s="22" t="s">
        <v>35</v>
      </c>
      <c r="E74" s="41">
        <v>0</v>
      </c>
      <c r="F74" s="42">
        <v>0</v>
      </c>
      <c r="G74" s="43">
        <v>0</v>
      </c>
      <c r="H74" s="24"/>
      <c r="I74" s="25"/>
      <c r="J74" s="25"/>
      <c r="K74" s="25"/>
      <c r="L74" s="24"/>
      <c r="M74" s="25"/>
      <c r="N74" s="25"/>
      <c r="O74" s="25"/>
      <c r="P74" s="47"/>
      <c r="Q74" s="48"/>
      <c r="R74" s="49"/>
      <c r="S74" s="50">
        <v>0</v>
      </c>
      <c r="T74" s="51">
        <v>0</v>
      </c>
      <c r="U74" s="52">
        <v>0</v>
      </c>
      <c r="V74" s="58">
        <v>0</v>
      </c>
      <c r="W74" s="48">
        <v>0</v>
      </c>
      <c r="X74" s="49">
        <v>0</v>
      </c>
      <c r="Y74" s="56">
        <v>0</v>
      </c>
      <c r="Z74" s="57">
        <v>0</v>
      </c>
    </row>
    <row r="75" spans="1:26" s="30" customFormat="1" ht="18" customHeight="1" x14ac:dyDescent="0.25">
      <c r="A75" s="21" t="s">
        <v>230</v>
      </c>
      <c r="B75" s="22">
        <v>2060239</v>
      </c>
      <c r="C75" s="23" t="s">
        <v>231</v>
      </c>
      <c r="D75" s="22" t="s">
        <v>232</v>
      </c>
      <c r="E75" s="41">
        <v>0</v>
      </c>
      <c r="F75" s="42">
        <v>0</v>
      </c>
      <c r="G75" s="43">
        <v>0</v>
      </c>
      <c r="H75" s="44"/>
      <c r="I75" s="45"/>
      <c r="J75" s="46"/>
      <c r="K75" s="46"/>
      <c r="L75" s="24"/>
      <c r="M75" s="25"/>
      <c r="N75" s="25"/>
      <c r="O75" s="25"/>
      <c r="P75" s="47"/>
      <c r="Q75" s="48"/>
      <c r="R75" s="49"/>
      <c r="S75" s="50">
        <v>0</v>
      </c>
      <c r="T75" s="51">
        <v>0</v>
      </c>
      <c r="U75" s="52">
        <v>0</v>
      </c>
      <c r="V75" s="53">
        <v>0</v>
      </c>
      <c r="W75" s="54">
        <v>0</v>
      </c>
      <c r="X75" s="55">
        <v>0</v>
      </c>
      <c r="Y75" s="56">
        <v>0</v>
      </c>
      <c r="Z75" s="57">
        <v>0</v>
      </c>
    </row>
    <row r="76" spans="1:26" s="30" customFormat="1" ht="18" customHeight="1" x14ac:dyDescent="0.25">
      <c r="A76" s="21" t="s">
        <v>42</v>
      </c>
      <c r="B76" s="22">
        <v>2060243</v>
      </c>
      <c r="C76" s="23" t="s">
        <v>231</v>
      </c>
      <c r="D76" s="22" t="s">
        <v>43</v>
      </c>
      <c r="E76" s="41">
        <v>0</v>
      </c>
      <c r="F76" s="42">
        <v>0</v>
      </c>
      <c r="G76" s="43">
        <v>0</v>
      </c>
      <c r="H76" s="44"/>
      <c r="I76" s="45"/>
      <c r="J76" s="46"/>
      <c r="K76" s="46"/>
      <c r="L76" s="24"/>
      <c r="M76" s="25"/>
      <c r="N76" s="25"/>
      <c r="O76" s="25"/>
      <c r="P76" s="47"/>
      <c r="Q76" s="48"/>
      <c r="R76" s="49"/>
      <c r="S76" s="50">
        <v>0</v>
      </c>
      <c r="T76" s="51">
        <v>0</v>
      </c>
      <c r="U76" s="52">
        <v>0</v>
      </c>
      <c r="V76" s="53">
        <v>0</v>
      </c>
      <c r="W76" s="54">
        <v>0</v>
      </c>
      <c r="X76" s="55">
        <v>0</v>
      </c>
      <c r="Y76" s="56">
        <v>0</v>
      </c>
      <c r="Z76" s="57">
        <v>0</v>
      </c>
    </row>
    <row r="77" spans="1:26" s="30" customFormat="1" ht="18" customHeight="1" x14ac:dyDescent="0.25">
      <c r="A77" s="21" t="s">
        <v>42</v>
      </c>
      <c r="B77" s="22">
        <v>2060315</v>
      </c>
      <c r="C77" s="23" t="s">
        <v>231</v>
      </c>
      <c r="D77" s="22" t="s">
        <v>234</v>
      </c>
      <c r="E77" s="41">
        <v>0</v>
      </c>
      <c r="F77" s="42">
        <v>0</v>
      </c>
      <c r="G77" s="43">
        <v>0</v>
      </c>
      <c r="H77" s="24"/>
      <c r="I77" s="25"/>
      <c r="J77" s="25"/>
      <c r="K77" s="25"/>
      <c r="L77" s="24"/>
      <c r="M77" s="25"/>
      <c r="N77" s="25"/>
      <c r="O77" s="25"/>
      <c r="P77" s="47"/>
      <c r="Q77" s="48"/>
      <c r="R77" s="49"/>
      <c r="S77" s="50">
        <v>0</v>
      </c>
      <c r="T77" s="51">
        <v>0</v>
      </c>
      <c r="U77" s="52">
        <v>0</v>
      </c>
      <c r="V77" s="53">
        <v>0</v>
      </c>
      <c r="W77" s="54">
        <v>0</v>
      </c>
      <c r="X77" s="55">
        <v>0</v>
      </c>
      <c r="Y77" s="56">
        <v>0</v>
      </c>
      <c r="Z77" s="57">
        <v>0</v>
      </c>
    </row>
    <row r="78" spans="1:26" s="30" customFormat="1" ht="18" customHeight="1" x14ac:dyDescent="0.25">
      <c r="A78" s="21" t="s">
        <v>236</v>
      </c>
      <c r="B78" s="22">
        <v>2510030</v>
      </c>
      <c r="C78" s="23" t="s">
        <v>237</v>
      </c>
      <c r="D78" s="22" t="s">
        <v>35</v>
      </c>
      <c r="E78" s="41">
        <v>0</v>
      </c>
      <c r="F78" s="42">
        <v>0</v>
      </c>
      <c r="G78" s="43">
        <v>0</v>
      </c>
      <c r="H78" s="44"/>
      <c r="I78" s="45"/>
      <c r="J78" s="46"/>
      <c r="K78" s="46"/>
      <c r="L78" s="44"/>
      <c r="M78" s="45"/>
      <c r="N78" s="46"/>
      <c r="O78" s="46"/>
      <c r="P78" s="47"/>
      <c r="Q78" s="48"/>
      <c r="R78" s="49"/>
      <c r="S78" s="50">
        <v>0</v>
      </c>
      <c r="T78" s="51">
        <v>0</v>
      </c>
      <c r="U78" s="52">
        <v>0</v>
      </c>
      <c r="V78" s="53">
        <v>0</v>
      </c>
      <c r="W78" s="54">
        <v>0</v>
      </c>
      <c r="X78" s="55">
        <v>0</v>
      </c>
      <c r="Y78" s="56">
        <v>0</v>
      </c>
      <c r="Z78" s="57">
        <v>0</v>
      </c>
    </row>
    <row r="79" spans="1:26" s="30" customFormat="1" ht="18" customHeight="1" x14ac:dyDescent="0.25">
      <c r="A79" s="21" t="s">
        <v>239</v>
      </c>
      <c r="B79" s="22">
        <v>2510045</v>
      </c>
      <c r="C79" s="23" t="s">
        <v>237</v>
      </c>
      <c r="D79" s="22" t="s">
        <v>35</v>
      </c>
      <c r="E79" s="47">
        <v>0</v>
      </c>
      <c r="F79" s="48">
        <v>0</v>
      </c>
      <c r="G79" s="49">
        <v>0</v>
      </c>
      <c r="H79" s="44"/>
      <c r="I79" s="45"/>
      <c r="J79" s="46"/>
      <c r="K79" s="46"/>
      <c r="L79" s="24"/>
      <c r="M79" s="25"/>
      <c r="N79" s="25"/>
      <c r="O79" s="25"/>
      <c r="P79" s="47"/>
      <c r="Q79" s="48"/>
      <c r="R79" s="49"/>
      <c r="S79" s="50">
        <v>0</v>
      </c>
      <c r="T79" s="51">
        <v>0</v>
      </c>
      <c r="U79" s="52">
        <v>0</v>
      </c>
      <c r="V79" s="53">
        <v>0</v>
      </c>
      <c r="W79" s="54">
        <v>0</v>
      </c>
      <c r="X79" s="55">
        <v>0</v>
      </c>
      <c r="Y79" s="47">
        <v>0</v>
      </c>
      <c r="Z79" s="49">
        <v>0</v>
      </c>
    </row>
    <row r="80" spans="1:26" s="30" customFormat="1" ht="18" customHeight="1" x14ac:dyDescent="0.25">
      <c r="A80" s="21" t="s">
        <v>241</v>
      </c>
      <c r="B80" s="22">
        <v>2510050</v>
      </c>
      <c r="C80" s="23" t="s">
        <v>237</v>
      </c>
      <c r="D80" s="22" t="s">
        <v>35</v>
      </c>
      <c r="E80" s="47">
        <v>0</v>
      </c>
      <c r="F80" s="48">
        <v>0</v>
      </c>
      <c r="G80" s="49">
        <v>0</v>
      </c>
      <c r="H80" s="44"/>
      <c r="I80" s="45"/>
      <c r="J80" s="46"/>
      <c r="K80" s="46"/>
      <c r="L80" s="44"/>
      <c r="M80" s="45"/>
      <c r="N80" s="46"/>
      <c r="O80" s="46"/>
      <c r="P80" s="47"/>
      <c r="Q80" s="48"/>
      <c r="R80" s="49"/>
      <c r="S80" s="50">
        <v>0</v>
      </c>
      <c r="T80" s="51">
        <v>0</v>
      </c>
      <c r="U80" s="52">
        <v>0</v>
      </c>
      <c r="V80" s="53">
        <v>0</v>
      </c>
      <c r="W80" s="54">
        <v>0</v>
      </c>
      <c r="X80" s="55">
        <v>0</v>
      </c>
      <c r="Y80" s="56">
        <v>0</v>
      </c>
      <c r="Z80" s="57">
        <v>0</v>
      </c>
    </row>
    <row r="81" spans="1:26" s="30" customFormat="1" ht="18" customHeight="1" x14ac:dyDescent="0.25">
      <c r="A81" s="21" t="s">
        <v>243</v>
      </c>
      <c r="B81" s="22">
        <v>2510055</v>
      </c>
      <c r="C81" s="23" t="s">
        <v>237</v>
      </c>
      <c r="D81" s="22" t="s">
        <v>35</v>
      </c>
      <c r="E81" s="41">
        <v>0</v>
      </c>
      <c r="F81" s="42">
        <v>0</v>
      </c>
      <c r="G81" s="43">
        <v>0</v>
      </c>
      <c r="H81" s="44"/>
      <c r="I81" s="45"/>
      <c r="J81" s="46"/>
      <c r="K81" s="46"/>
      <c r="L81" s="24"/>
      <c r="M81" s="25"/>
      <c r="N81" s="25"/>
      <c r="O81" s="25"/>
      <c r="P81" s="47"/>
      <c r="Q81" s="48"/>
      <c r="R81" s="49"/>
      <c r="S81" s="50">
        <v>0</v>
      </c>
      <c r="T81" s="51">
        <v>0</v>
      </c>
      <c r="U81" s="52">
        <v>0</v>
      </c>
      <c r="V81" s="53">
        <v>0</v>
      </c>
      <c r="W81" s="54">
        <v>0</v>
      </c>
      <c r="X81" s="55">
        <v>0</v>
      </c>
      <c r="Y81" s="56">
        <v>0</v>
      </c>
      <c r="Z81" s="57">
        <v>0</v>
      </c>
    </row>
    <row r="82" spans="1:26" s="30" customFormat="1" ht="18" customHeight="1" x14ac:dyDescent="0.25">
      <c r="A82" s="21" t="s">
        <v>245</v>
      </c>
      <c r="B82" s="22">
        <v>2510060</v>
      </c>
      <c r="C82" s="23" t="s">
        <v>237</v>
      </c>
      <c r="D82" s="22" t="s">
        <v>35</v>
      </c>
      <c r="E82" s="41">
        <v>0</v>
      </c>
      <c r="F82" s="42">
        <v>0</v>
      </c>
      <c r="G82" s="43">
        <v>0</v>
      </c>
      <c r="H82" s="44"/>
      <c r="I82" s="45"/>
      <c r="J82" s="46"/>
      <c r="K82" s="46"/>
      <c r="L82" s="44"/>
      <c r="M82" s="45"/>
      <c r="N82" s="46"/>
      <c r="O82" s="46"/>
      <c r="P82" s="47"/>
      <c r="Q82" s="48"/>
      <c r="R82" s="49"/>
      <c r="S82" s="50">
        <v>0</v>
      </c>
      <c r="T82" s="51">
        <v>0</v>
      </c>
      <c r="U82" s="52">
        <v>0</v>
      </c>
      <c r="V82" s="53">
        <v>0</v>
      </c>
      <c r="W82" s="54">
        <v>0</v>
      </c>
      <c r="X82" s="55">
        <v>0</v>
      </c>
      <c r="Y82" s="56">
        <v>0</v>
      </c>
      <c r="Z82" s="57">
        <v>0</v>
      </c>
    </row>
    <row r="83" spans="1:26" s="30" customFormat="1" ht="18" customHeight="1" x14ac:dyDescent="0.25">
      <c r="A83" s="21" t="s">
        <v>247</v>
      </c>
      <c r="B83" s="22">
        <v>2510080</v>
      </c>
      <c r="C83" s="23" t="s">
        <v>237</v>
      </c>
      <c r="D83" s="22" t="s">
        <v>35</v>
      </c>
      <c r="E83" s="41">
        <v>0</v>
      </c>
      <c r="F83" s="42">
        <v>0</v>
      </c>
      <c r="G83" s="43">
        <v>0</v>
      </c>
      <c r="H83" s="24"/>
      <c r="I83" s="25"/>
      <c r="J83" s="25"/>
      <c r="K83" s="25"/>
      <c r="L83" s="44"/>
      <c r="M83" s="45"/>
      <c r="N83" s="46"/>
      <c r="O83" s="46"/>
      <c r="P83" s="47"/>
      <c r="Q83" s="48"/>
      <c r="R83" s="49"/>
      <c r="S83" s="50">
        <v>0</v>
      </c>
      <c r="T83" s="51">
        <v>0</v>
      </c>
      <c r="U83" s="52">
        <v>0</v>
      </c>
      <c r="V83" s="58">
        <v>0</v>
      </c>
      <c r="W83" s="48">
        <v>0</v>
      </c>
      <c r="X83" s="49">
        <v>0</v>
      </c>
      <c r="Y83" s="56">
        <v>0</v>
      </c>
      <c r="Z83" s="57">
        <v>0</v>
      </c>
    </row>
    <row r="84" spans="1:26" s="30" customFormat="1" ht="18" customHeight="1" x14ac:dyDescent="0.25">
      <c r="A84" s="21" t="s">
        <v>249</v>
      </c>
      <c r="B84" s="22">
        <v>2510090</v>
      </c>
      <c r="C84" s="23" t="s">
        <v>237</v>
      </c>
      <c r="D84" s="22" t="s">
        <v>35</v>
      </c>
      <c r="E84" s="41">
        <v>0</v>
      </c>
      <c r="F84" s="42">
        <v>0</v>
      </c>
      <c r="G84" s="43">
        <v>0</v>
      </c>
      <c r="H84" s="44"/>
      <c r="I84" s="45"/>
      <c r="J84" s="46"/>
      <c r="K84" s="46"/>
      <c r="L84" s="44"/>
      <c r="M84" s="45"/>
      <c r="N84" s="46"/>
      <c r="O84" s="46"/>
      <c r="P84" s="47"/>
      <c r="Q84" s="48"/>
      <c r="R84" s="49"/>
      <c r="S84" s="50">
        <v>0</v>
      </c>
      <c r="T84" s="51">
        <v>0</v>
      </c>
      <c r="U84" s="52">
        <v>0</v>
      </c>
      <c r="V84" s="53">
        <v>0</v>
      </c>
      <c r="W84" s="54">
        <v>0</v>
      </c>
      <c r="X84" s="55">
        <v>0</v>
      </c>
      <c r="Y84" s="56">
        <v>0</v>
      </c>
      <c r="Z84" s="57">
        <v>0</v>
      </c>
    </row>
    <row r="85" spans="1:26" s="30" customFormat="1" ht="18" customHeight="1" x14ac:dyDescent="0.25">
      <c r="A85" s="21" t="s">
        <v>251</v>
      </c>
      <c r="B85" s="22">
        <v>2510100</v>
      </c>
      <c r="C85" s="23" t="s">
        <v>237</v>
      </c>
      <c r="D85" s="22" t="s">
        <v>35</v>
      </c>
      <c r="E85" s="41">
        <v>0</v>
      </c>
      <c r="F85" s="42">
        <v>0</v>
      </c>
      <c r="G85" s="43">
        <v>0</v>
      </c>
      <c r="H85" s="44"/>
      <c r="I85" s="45"/>
      <c r="J85" s="46"/>
      <c r="K85" s="46"/>
      <c r="L85" s="24"/>
      <c r="M85" s="25"/>
      <c r="N85" s="25"/>
      <c r="O85" s="25"/>
      <c r="P85" s="47"/>
      <c r="Q85" s="48"/>
      <c r="R85" s="49"/>
      <c r="S85" s="50">
        <v>0</v>
      </c>
      <c r="T85" s="51">
        <v>0</v>
      </c>
      <c r="U85" s="52">
        <v>0</v>
      </c>
      <c r="V85" s="53">
        <v>0</v>
      </c>
      <c r="W85" s="54">
        <v>0</v>
      </c>
      <c r="X85" s="55">
        <v>0</v>
      </c>
      <c r="Y85" s="56">
        <v>0</v>
      </c>
      <c r="Z85" s="57">
        <v>0</v>
      </c>
    </row>
    <row r="86" spans="1:26" s="30" customFormat="1" ht="18" customHeight="1" x14ac:dyDescent="0.25">
      <c r="A86" s="21" t="s">
        <v>253</v>
      </c>
      <c r="B86" s="22">
        <v>2510110</v>
      </c>
      <c r="C86" s="23" t="s">
        <v>237</v>
      </c>
      <c r="D86" s="22" t="s">
        <v>35</v>
      </c>
      <c r="E86" s="41">
        <v>0</v>
      </c>
      <c r="F86" s="42">
        <v>0</v>
      </c>
      <c r="G86" s="43">
        <v>0</v>
      </c>
      <c r="H86" s="44"/>
      <c r="I86" s="45"/>
      <c r="J86" s="46"/>
      <c r="K86" s="46"/>
      <c r="L86" s="44"/>
      <c r="M86" s="45"/>
      <c r="N86" s="46"/>
      <c r="O86" s="46"/>
      <c r="P86" s="47"/>
      <c r="Q86" s="48"/>
      <c r="R86" s="49"/>
      <c r="S86" s="50">
        <v>0</v>
      </c>
      <c r="T86" s="51">
        <v>0</v>
      </c>
      <c r="U86" s="52">
        <v>0</v>
      </c>
      <c r="V86" s="53">
        <v>0</v>
      </c>
      <c r="W86" s="54">
        <v>0</v>
      </c>
      <c r="X86" s="55">
        <v>0</v>
      </c>
      <c r="Y86" s="56">
        <v>0</v>
      </c>
      <c r="Z86" s="57">
        <v>0</v>
      </c>
    </row>
    <row r="87" spans="1:26" s="30" customFormat="1" ht="18" customHeight="1" x14ac:dyDescent="0.25">
      <c r="A87" s="21" t="s">
        <v>255</v>
      </c>
      <c r="B87" s="22">
        <v>2510120</v>
      </c>
      <c r="C87" s="23" t="s">
        <v>237</v>
      </c>
      <c r="D87" s="22" t="s">
        <v>35</v>
      </c>
      <c r="E87" s="41">
        <v>0</v>
      </c>
      <c r="F87" s="42">
        <v>0</v>
      </c>
      <c r="G87" s="43">
        <v>0</v>
      </c>
      <c r="H87" s="24"/>
      <c r="I87" s="25"/>
      <c r="J87" s="25"/>
      <c r="K87" s="25"/>
      <c r="L87" s="24"/>
      <c r="M87" s="25"/>
      <c r="N87" s="25"/>
      <c r="O87" s="25"/>
      <c r="P87" s="47"/>
      <c r="Q87" s="48"/>
      <c r="R87" s="49"/>
      <c r="S87" s="50">
        <v>0</v>
      </c>
      <c r="T87" s="51">
        <v>0</v>
      </c>
      <c r="U87" s="52">
        <v>0</v>
      </c>
      <c r="V87" s="58">
        <v>0</v>
      </c>
      <c r="W87" s="48">
        <v>0</v>
      </c>
      <c r="X87" s="49">
        <v>0</v>
      </c>
      <c r="Y87" s="56">
        <v>0</v>
      </c>
      <c r="Z87" s="57">
        <v>0</v>
      </c>
    </row>
    <row r="88" spans="1:26" s="30" customFormat="1" ht="18" customHeight="1" x14ac:dyDescent="0.25">
      <c r="A88" s="21" t="s">
        <v>257</v>
      </c>
      <c r="B88" s="22">
        <v>2510130</v>
      </c>
      <c r="C88" s="23" t="s">
        <v>237</v>
      </c>
      <c r="D88" s="22" t="s">
        <v>35</v>
      </c>
      <c r="E88" s="41">
        <v>0</v>
      </c>
      <c r="F88" s="42">
        <v>0</v>
      </c>
      <c r="G88" s="43">
        <v>0</v>
      </c>
      <c r="H88" s="44"/>
      <c r="I88" s="45"/>
      <c r="J88" s="46"/>
      <c r="K88" s="46"/>
      <c r="L88" s="44"/>
      <c r="M88" s="45"/>
      <c r="N88" s="46"/>
      <c r="O88" s="46"/>
      <c r="P88" s="47"/>
      <c r="Q88" s="48"/>
      <c r="R88" s="49"/>
      <c r="S88" s="50">
        <v>0</v>
      </c>
      <c r="T88" s="51">
        <v>0</v>
      </c>
      <c r="U88" s="52">
        <v>0</v>
      </c>
      <c r="V88" s="53">
        <v>0</v>
      </c>
      <c r="W88" s="54">
        <v>0</v>
      </c>
      <c r="X88" s="55">
        <v>0</v>
      </c>
      <c r="Y88" s="56">
        <v>0</v>
      </c>
      <c r="Z88" s="57">
        <v>0</v>
      </c>
    </row>
    <row r="89" spans="1:26" s="30" customFormat="1" ht="18" customHeight="1" x14ac:dyDescent="0.25">
      <c r="A89" s="21" t="s">
        <v>259</v>
      </c>
      <c r="B89" s="22">
        <v>2510140</v>
      </c>
      <c r="C89" s="23" t="s">
        <v>237</v>
      </c>
      <c r="D89" s="22" t="s">
        <v>35</v>
      </c>
      <c r="E89" s="41">
        <v>0</v>
      </c>
      <c r="F89" s="42">
        <v>0</v>
      </c>
      <c r="G89" s="43">
        <v>0</v>
      </c>
      <c r="H89" s="44"/>
      <c r="I89" s="45"/>
      <c r="J89" s="46"/>
      <c r="K89" s="46"/>
      <c r="L89" s="44"/>
      <c r="M89" s="45"/>
      <c r="N89" s="46"/>
      <c r="O89" s="46"/>
      <c r="P89" s="47"/>
      <c r="Q89" s="48"/>
      <c r="R89" s="49"/>
      <c r="S89" s="50">
        <v>0</v>
      </c>
      <c r="T89" s="51">
        <v>0</v>
      </c>
      <c r="U89" s="52">
        <v>0</v>
      </c>
      <c r="V89" s="53">
        <v>0</v>
      </c>
      <c r="W89" s="54">
        <v>0</v>
      </c>
      <c r="X89" s="55">
        <v>0</v>
      </c>
      <c r="Y89" s="56">
        <v>0</v>
      </c>
      <c r="Z89" s="57">
        <v>0</v>
      </c>
    </row>
    <row r="90" spans="1:26" s="30" customFormat="1" ht="18" customHeight="1" x14ac:dyDescent="0.25">
      <c r="A90" s="21" t="s">
        <v>261</v>
      </c>
      <c r="B90" s="22">
        <v>2510150</v>
      </c>
      <c r="C90" s="23" t="s">
        <v>237</v>
      </c>
      <c r="D90" s="22" t="s">
        <v>35</v>
      </c>
      <c r="E90" s="41">
        <v>0</v>
      </c>
      <c r="F90" s="42">
        <v>0</v>
      </c>
      <c r="G90" s="43">
        <v>0</v>
      </c>
      <c r="H90" s="44"/>
      <c r="I90" s="45"/>
      <c r="J90" s="46"/>
      <c r="K90" s="46"/>
      <c r="L90" s="44"/>
      <c r="M90" s="45"/>
      <c r="N90" s="46"/>
      <c r="O90" s="46"/>
      <c r="P90" s="47"/>
      <c r="Q90" s="48"/>
      <c r="R90" s="49"/>
      <c r="S90" s="50">
        <v>0</v>
      </c>
      <c r="T90" s="51">
        <v>0</v>
      </c>
      <c r="U90" s="52">
        <v>0</v>
      </c>
      <c r="V90" s="53">
        <v>0</v>
      </c>
      <c r="W90" s="54">
        <v>0</v>
      </c>
      <c r="X90" s="55">
        <v>0</v>
      </c>
      <c r="Y90" s="56">
        <v>0</v>
      </c>
      <c r="Z90" s="57">
        <v>0</v>
      </c>
    </row>
    <row r="91" spans="1:26" s="30" customFormat="1" ht="18" customHeight="1" x14ac:dyDescent="0.25">
      <c r="A91" s="21" t="s">
        <v>263</v>
      </c>
      <c r="B91" s="22">
        <v>2510160</v>
      </c>
      <c r="C91" s="23" t="s">
        <v>237</v>
      </c>
      <c r="D91" s="22" t="s">
        <v>35</v>
      </c>
      <c r="E91" s="41">
        <v>0</v>
      </c>
      <c r="F91" s="42">
        <v>0</v>
      </c>
      <c r="G91" s="43">
        <v>0</v>
      </c>
      <c r="H91" s="44"/>
      <c r="I91" s="45"/>
      <c r="J91" s="46"/>
      <c r="K91" s="46"/>
      <c r="L91" s="44"/>
      <c r="M91" s="45"/>
      <c r="N91" s="46"/>
      <c r="O91" s="46"/>
      <c r="P91" s="47"/>
      <c r="Q91" s="48"/>
      <c r="R91" s="49"/>
      <c r="S91" s="50">
        <v>0</v>
      </c>
      <c r="T91" s="51">
        <v>0</v>
      </c>
      <c r="U91" s="52">
        <v>0</v>
      </c>
      <c r="V91" s="53">
        <v>0</v>
      </c>
      <c r="W91" s="54">
        <v>0</v>
      </c>
      <c r="X91" s="55">
        <v>0</v>
      </c>
      <c r="Y91" s="56">
        <v>0</v>
      </c>
      <c r="Z91" s="57">
        <v>0</v>
      </c>
    </row>
    <row r="92" spans="1:26" s="30" customFormat="1" ht="18" customHeight="1" x14ac:dyDescent="0.25">
      <c r="A92" s="21" t="s">
        <v>265</v>
      </c>
      <c r="B92" s="22">
        <v>2510170</v>
      </c>
      <c r="C92" s="23" t="s">
        <v>237</v>
      </c>
      <c r="D92" s="22" t="s">
        <v>35</v>
      </c>
      <c r="E92" s="41">
        <v>0</v>
      </c>
      <c r="F92" s="42">
        <v>0</v>
      </c>
      <c r="G92" s="43">
        <v>0</v>
      </c>
      <c r="H92" s="44"/>
      <c r="I92" s="45"/>
      <c r="J92" s="46"/>
      <c r="K92" s="46"/>
      <c r="L92" s="44"/>
      <c r="M92" s="45"/>
      <c r="N92" s="46"/>
      <c r="O92" s="46"/>
      <c r="P92" s="47"/>
      <c r="Q92" s="48"/>
      <c r="R92" s="49"/>
      <c r="S92" s="50">
        <v>0</v>
      </c>
      <c r="T92" s="51">
        <v>0</v>
      </c>
      <c r="U92" s="52">
        <v>0</v>
      </c>
      <c r="V92" s="53">
        <v>0</v>
      </c>
      <c r="W92" s="54">
        <v>0</v>
      </c>
      <c r="X92" s="55">
        <v>0</v>
      </c>
      <c r="Y92" s="56">
        <v>0</v>
      </c>
      <c r="Z92" s="57">
        <v>0</v>
      </c>
    </row>
    <row r="93" spans="1:26" s="30" customFormat="1" ht="18" customHeight="1" x14ac:dyDescent="0.25">
      <c r="A93" s="21" t="s">
        <v>267</v>
      </c>
      <c r="B93" s="22">
        <v>2510180</v>
      </c>
      <c r="C93" s="23" t="s">
        <v>237</v>
      </c>
      <c r="D93" s="22" t="s">
        <v>35</v>
      </c>
      <c r="E93" s="41">
        <v>0</v>
      </c>
      <c r="F93" s="42">
        <v>0</v>
      </c>
      <c r="G93" s="43">
        <v>0</v>
      </c>
      <c r="H93" s="44"/>
      <c r="I93" s="45"/>
      <c r="J93" s="46"/>
      <c r="K93" s="46"/>
      <c r="L93" s="24"/>
      <c r="M93" s="25"/>
      <c r="N93" s="25"/>
      <c r="O93" s="25"/>
      <c r="P93" s="47"/>
      <c r="Q93" s="48"/>
      <c r="R93" s="49"/>
      <c r="S93" s="50">
        <v>0</v>
      </c>
      <c r="T93" s="51">
        <v>0</v>
      </c>
      <c r="U93" s="52">
        <v>0</v>
      </c>
      <c r="V93" s="53">
        <v>0</v>
      </c>
      <c r="W93" s="54">
        <v>0</v>
      </c>
      <c r="X93" s="55">
        <v>0</v>
      </c>
      <c r="Y93" s="56">
        <v>0</v>
      </c>
      <c r="Z93" s="57">
        <v>0</v>
      </c>
    </row>
    <row r="94" spans="1:26" s="30" customFormat="1" ht="18" customHeight="1" x14ac:dyDescent="0.25">
      <c r="A94" s="21" t="s">
        <v>269</v>
      </c>
      <c r="B94" s="22">
        <v>2510230</v>
      </c>
      <c r="C94" s="23" t="s">
        <v>237</v>
      </c>
      <c r="D94" s="22" t="s">
        <v>35</v>
      </c>
      <c r="E94" s="41">
        <v>0</v>
      </c>
      <c r="F94" s="42">
        <v>0</v>
      </c>
      <c r="G94" s="43">
        <v>0</v>
      </c>
      <c r="H94" s="44"/>
      <c r="I94" s="45"/>
      <c r="J94" s="46"/>
      <c r="K94" s="46"/>
      <c r="L94" s="44"/>
      <c r="M94" s="45"/>
      <c r="N94" s="46"/>
      <c r="O94" s="46"/>
      <c r="P94" s="47"/>
      <c r="Q94" s="48"/>
      <c r="R94" s="49"/>
      <c r="S94" s="50">
        <v>0</v>
      </c>
      <c r="T94" s="51">
        <v>0</v>
      </c>
      <c r="U94" s="52">
        <v>0</v>
      </c>
      <c r="V94" s="53">
        <v>0</v>
      </c>
      <c r="W94" s="54">
        <v>0</v>
      </c>
      <c r="X94" s="55">
        <v>0</v>
      </c>
      <c r="Y94" s="56">
        <v>0</v>
      </c>
      <c r="Z94" s="57">
        <v>0</v>
      </c>
    </row>
    <row r="95" spans="1:26" s="30" customFormat="1" ht="18" customHeight="1" x14ac:dyDescent="0.25">
      <c r="A95" s="21" t="s">
        <v>271</v>
      </c>
      <c r="B95" s="22">
        <v>2510240</v>
      </c>
      <c r="C95" s="23" t="s">
        <v>237</v>
      </c>
      <c r="D95" s="22" t="s">
        <v>35</v>
      </c>
      <c r="E95" s="41">
        <v>0</v>
      </c>
      <c r="F95" s="42">
        <v>0</v>
      </c>
      <c r="G95" s="43">
        <v>0</v>
      </c>
      <c r="H95" s="44"/>
      <c r="I95" s="45"/>
      <c r="J95" s="46"/>
      <c r="K95" s="46"/>
      <c r="L95" s="24"/>
      <c r="M95" s="25"/>
      <c r="N95" s="25"/>
      <c r="O95" s="25"/>
      <c r="P95" s="47"/>
      <c r="Q95" s="48"/>
      <c r="R95" s="49"/>
      <c r="S95" s="50">
        <v>0</v>
      </c>
      <c r="T95" s="51">
        <v>0</v>
      </c>
      <c r="U95" s="52">
        <v>0</v>
      </c>
      <c r="V95" s="53">
        <v>0</v>
      </c>
      <c r="W95" s="54">
        <v>0</v>
      </c>
      <c r="X95" s="55">
        <v>0</v>
      </c>
      <c r="Y95" s="56">
        <v>0</v>
      </c>
      <c r="Z95" s="57">
        <v>0</v>
      </c>
    </row>
    <row r="96" spans="1:26" s="30" customFormat="1" ht="18" customHeight="1" x14ac:dyDescent="0.25">
      <c r="A96" s="21" t="s">
        <v>273</v>
      </c>
      <c r="B96" s="22">
        <v>2510250</v>
      </c>
      <c r="C96" s="23" t="s">
        <v>237</v>
      </c>
      <c r="D96" s="22" t="s">
        <v>35</v>
      </c>
      <c r="E96" s="41">
        <v>0</v>
      </c>
      <c r="F96" s="42">
        <v>0</v>
      </c>
      <c r="G96" s="43">
        <v>0</v>
      </c>
      <c r="H96" s="44"/>
      <c r="I96" s="45"/>
      <c r="J96" s="46"/>
      <c r="K96" s="46"/>
      <c r="L96" s="44"/>
      <c r="M96" s="45"/>
      <c r="N96" s="46"/>
      <c r="O96" s="46"/>
      <c r="P96" s="47"/>
      <c r="Q96" s="48"/>
      <c r="R96" s="49"/>
      <c r="S96" s="50">
        <v>0</v>
      </c>
      <c r="T96" s="51">
        <v>0</v>
      </c>
      <c r="U96" s="52">
        <v>0</v>
      </c>
      <c r="V96" s="53">
        <v>0</v>
      </c>
      <c r="W96" s="54">
        <v>0</v>
      </c>
      <c r="X96" s="55">
        <v>0</v>
      </c>
      <c r="Y96" s="56">
        <v>0</v>
      </c>
      <c r="Z96" s="57">
        <v>0</v>
      </c>
    </row>
    <row r="97" spans="1:26" s="30" customFormat="1" ht="18" customHeight="1" x14ac:dyDescent="0.25">
      <c r="A97" s="21" t="s">
        <v>275</v>
      </c>
      <c r="B97" s="22">
        <v>2510260</v>
      </c>
      <c r="C97" s="23" t="s">
        <v>237</v>
      </c>
      <c r="D97" s="22" t="s">
        <v>35</v>
      </c>
      <c r="E97" s="41">
        <v>0</v>
      </c>
      <c r="F97" s="42">
        <v>0</v>
      </c>
      <c r="G97" s="43">
        <v>0</v>
      </c>
      <c r="H97" s="44"/>
      <c r="I97" s="45"/>
      <c r="J97" s="46"/>
      <c r="K97" s="46"/>
      <c r="L97" s="44"/>
      <c r="M97" s="45"/>
      <c r="N97" s="46"/>
      <c r="O97" s="46"/>
      <c r="P97" s="47"/>
      <c r="Q97" s="48"/>
      <c r="R97" s="49"/>
      <c r="S97" s="50">
        <v>0</v>
      </c>
      <c r="T97" s="51">
        <v>0</v>
      </c>
      <c r="U97" s="52">
        <v>0</v>
      </c>
      <c r="V97" s="53">
        <v>0</v>
      </c>
      <c r="W97" s="54">
        <v>0</v>
      </c>
      <c r="X97" s="55">
        <v>0</v>
      </c>
      <c r="Y97" s="56">
        <v>0</v>
      </c>
      <c r="Z97" s="57">
        <v>0</v>
      </c>
    </row>
    <row r="98" spans="1:26" s="30" customFormat="1" ht="18" customHeight="1" x14ac:dyDescent="0.25">
      <c r="A98" s="21" t="s">
        <v>277</v>
      </c>
      <c r="B98" s="22">
        <v>2510271</v>
      </c>
      <c r="C98" s="23" t="s">
        <v>237</v>
      </c>
      <c r="D98" s="22" t="s">
        <v>35</v>
      </c>
      <c r="E98" s="41">
        <v>0</v>
      </c>
      <c r="F98" s="42">
        <v>0</v>
      </c>
      <c r="G98" s="43">
        <v>0</v>
      </c>
      <c r="H98" s="44"/>
      <c r="I98" s="45"/>
      <c r="J98" s="46"/>
      <c r="K98" s="46"/>
      <c r="L98" s="44"/>
      <c r="M98" s="45"/>
      <c r="N98" s="46"/>
      <c r="O98" s="46"/>
      <c r="P98" s="47"/>
      <c r="Q98" s="48"/>
      <c r="R98" s="49"/>
      <c r="S98" s="50">
        <v>0</v>
      </c>
      <c r="T98" s="51">
        <v>0</v>
      </c>
      <c r="U98" s="52">
        <v>0</v>
      </c>
      <c r="V98" s="53">
        <v>0</v>
      </c>
      <c r="W98" s="54">
        <v>0</v>
      </c>
      <c r="X98" s="55">
        <v>0</v>
      </c>
      <c r="Y98" s="56">
        <v>0</v>
      </c>
      <c r="Z98" s="57">
        <v>0</v>
      </c>
    </row>
    <row r="99" spans="1:26" s="30" customFormat="1" ht="18" customHeight="1" x14ac:dyDescent="0.25">
      <c r="A99" s="21" t="s">
        <v>279</v>
      </c>
      <c r="B99" s="22">
        <v>2510272</v>
      </c>
      <c r="C99" s="23" t="s">
        <v>237</v>
      </c>
      <c r="D99" s="22" t="s">
        <v>35</v>
      </c>
      <c r="E99" s="47">
        <v>0</v>
      </c>
      <c r="F99" s="48">
        <v>0</v>
      </c>
      <c r="G99" s="49">
        <v>0</v>
      </c>
      <c r="H99" s="44"/>
      <c r="I99" s="45"/>
      <c r="J99" s="46"/>
      <c r="K99" s="46"/>
      <c r="L99" s="44"/>
      <c r="M99" s="45"/>
      <c r="N99" s="46"/>
      <c r="O99" s="46"/>
      <c r="P99" s="47"/>
      <c r="Q99" s="48"/>
      <c r="R99" s="49"/>
      <c r="S99" s="50">
        <v>0</v>
      </c>
      <c r="T99" s="51">
        <v>0</v>
      </c>
      <c r="U99" s="52">
        <v>0</v>
      </c>
      <c r="V99" s="53">
        <v>0</v>
      </c>
      <c r="W99" s="54">
        <v>0</v>
      </c>
      <c r="X99" s="55">
        <v>0</v>
      </c>
      <c r="Y99" s="56">
        <v>0</v>
      </c>
      <c r="Z99" s="57">
        <v>0</v>
      </c>
    </row>
    <row r="100" spans="1:26" s="30" customFormat="1" ht="18" customHeight="1" x14ac:dyDescent="0.25">
      <c r="A100" s="21" t="s">
        <v>281</v>
      </c>
      <c r="B100" s="22">
        <v>2510280</v>
      </c>
      <c r="C100" s="23" t="s">
        <v>237</v>
      </c>
      <c r="D100" s="22" t="s">
        <v>35</v>
      </c>
      <c r="E100" s="41">
        <v>0</v>
      </c>
      <c r="F100" s="42">
        <v>0</v>
      </c>
      <c r="G100" s="43">
        <v>0</v>
      </c>
      <c r="H100" s="44"/>
      <c r="I100" s="45"/>
      <c r="J100" s="46"/>
      <c r="K100" s="46"/>
      <c r="L100" s="44"/>
      <c r="M100" s="45"/>
      <c r="N100" s="46"/>
      <c r="O100" s="46"/>
      <c r="P100" s="47"/>
      <c r="Q100" s="48"/>
      <c r="R100" s="49"/>
      <c r="S100" s="50">
        <v>0</v>
      </c>
      <c r="T100" s="51">
        <v>0</v>
      </c>
      <c r="U100" s="52">
        <v>0</v>
      </c>
      <c r="V100" s="53">
        <v>0</v>
      </c>
      <c r="W100" s="54">
        <v>0</v>
      </c>
      <c r="X100" s="55">
        <v>0</v>
      </c>
      <c r="Y100" s="56">
        <v>0</v>
      </c>
      <c r="Z100" s="57">
        <v>0</v>
      </c>
    </row>
    <row r="101" spans="1:26" s="30" customFormat="1" ht="18" customHeight="1" x14ac:dyDescent="0.25">
      <c r="A101" s="21" t="s">
        <v>283</v>
      </c>
      <c r="B101" s="22">
        <v>2510290</v>
      </c>
      <c r="C101" s="23" t="s">
        <v>237</v>
      </c>
      <c r="D101" s="22" t="s">
        <v>35</v>
      </c>
      <c r="E101" s="47">
        <v>0</v>
      </c>
      <c r="F101" s="48">
        <v>0</v>
      </c>
      <c r="G101" s="49">
        <v>0</v>
      </c>
      <c r="H101" s="44"/>
      <c r="I101" s="45"/>
      <c r="J101" s="46"/>
      <c r="K101" s="46"/>
      <c r="L101" s="44"/>
      <c r="M101" s="45"/>
      <c r="N101" s="46"/>
      <c r="O101" s="46"/>
      <c r="P101" s="47"/>
      <c r="Q101" s="48"/>
      <c r="R101" s="49"/>
      <c r="S101" s="50">
        <v>0</v>
      </c>
      <c r="T101" s="51">
        <v>0</v>
      </c>
      <c r="U101" s="52">
        <v>0</v>
      </c>
      <c r="V101" s="53">
        <v>0</v>
      </c>
      <c r="W101" s="54">
        <v>0</v>
      </c>
      <c r="X101" s="55">
        <v>0</v>
      </c>
      <c r="Y101" s="56">
        <v>0</v>
      </c>
      <c r="Z101" s="57">
        <v>0</v>
      </c>
    </row>
    <row r="102" spans="1:26" s="30" customFormat="1" ht="18" customHeight="1" x14ac:dyDescent="0.25">
      <c r="A102" s="21" t="s">
        <v>285</v>
      </c>
      <c r="B102" s="22">
        <v>2510300</v>
      </c>
      <c r="C102" s="23" t="s">
        <v>237</v>
      </c>
      <c r="D102" s="22" t="s">
        <v>35</v>
      </c>
      <c r="E102" s="41">
        <v>0</v>
      </c>
      <c r="F102" s="42">
        <v>0</v>
      </c>
      <c r="G102" s="43">
        <v>0</v>
      </c>
      <c r="H102" s="24"/>
      <c r="I102" s="25"/>
      <c r="J102" s="25"/>
      <c r="K102" s="25"/>
      <c r="L102" s="24"/>
      <c r="M102" s="25"/>
      <c r="N102" s="25"/>
      <c r="O102" s="25"/>
      <c r="P102" s="47"/>
      <c r="Q102" s="48"/>
      <c r="R102" s="49"/>
      <c r="S102" s="50">
        <v>0</v>
      </c>
      <c r="T102" s="51">
        <v>0</v>
      </c>
      <c r="U102" s="52">
        <v>0</v>
      </c>
      <c r="V102" s="58">
        <v>0</v>
      </c>
      <c r="W102" s="48">
        <v>0</v>
      </c>
      <c r="X102" s="49">
        <v>0</v>
      </c>
      <c r="Y102" s="56">
        <v>0</v>
      </c>
      <c r="Z102" s="57">
        <v>0</v>
      </c>
    </row>
    <row r="103" spans="1:26" s="30" customFormat="1" ht="18" customHeight="1" x14ac:dyDescent="0.25">
      <c r="A103" s="21" t="s">
        <v>287</v>
      </c>
      <c r="B103" s="22">
        <v>2510310</v>
      </c>
      <c r="C103" s="23" t="s">
        <v>237</v>
      </c>
      <c r="D103" s="22" t="s">
        <v>35</v>
      </c>
      <c r="E103" s="47">
        <v>0</v>
      </c>
      <c r="F103" s="48">
        <v>0</v>
      </c>
      <c r="G103" s="49">
        <v>0</v>
      </c>
      <c r="H103" s="44"/>
      <c r="I103" s="45"/>
      <c r="J103" s="46"/>
      <c r="K103" s="46"/>
      <c r="L103" s="24"/>
      <c r="M103" s="25"/>
      <c r="N103" s="25"/>
      <c r="O103" s="25"/>
      <c r="P103" s="47"/>
      <c r="Q103" s="48"/>
      <c r="R103" s="49"/>
      <c r="S103" s="50">
        <v>0</v>
      </c>
      <c r="T103" s="51">
        <v>0</v>
      </c>
      <c r="U103" s="52">
        <v>0</v>
      </c>
      <c r="V103" s="58">
        <v>0</v>
      </c>
      <c r="W103" s="48">
        <v>0</v>
      </c>
      <c r="X103" s="49">
        <v>0</v>
      </c>
      <c r="Y103" s="56">
        <v>0</v>
      </c>
      <c r="Z103" s="57">
        <v>0</v>
      </c>
    </row>
    <row r="104" spans="1:26" s="30" customFormat="1" ht="18" customHeight="1" x14ac:dyDescent="0.25">
      <c r="A104" s="21" t="s">
        <v>289</v>
      </c>
      <c r="B104" s="22">
        <v>2510320</v>
      </c>
      <c r="C104" s="23" t="s">
        <v>237</v>
      </c>
      <c r="D104" s="22" t="s">
        <v>35</v>
      </c>
      <c r="E104" s="41">
        <v>0</v>
      </c>
      <c r="F104" s="42">
        <v>0</v>
      </c>
      <c r="G104" s="43">
        <v>0</v>
      </c>
      <c r="H104" s="44"/>
      <c r="I104" s="45"/>
      <c r="J104" s="46"/>
      <c r="K104" s="46"/>
      <c r="L104" s="44"/>
      <c r="M104" s="45"/>
      <c r="N104" s="46"/>
      <c r="O104" s="46"/>
      <c r="P104" s="47"/>
      <c r="Q104" s="48"/>
      <c r="R104" s="49"/>
      <c r="S104" s="50">
        <v>0</v>
      </c>
      <c r="T104" s="51">
        <v>0</v>
      </c>
      <c r="U104" s="52">
        <v>0</v>
      </c>
      <c r="V104" s="53">
        <v>0</v>
      </c>
      <c r="W104" s="54">
        <v>0</v>
      </c>
      <c r="X104" s="55">
        <v>0</v>
      </c>
      <c r="Y104" s="56">
        <v>0</v>
      </c>
      <c r="Z104" s="57">
        <v>0</v>
      </c>
    </row>
    <row r="105" spans="1:26" s="30" customFormat="1" ht="18" customHeight="1" x14ac:dyDescent="0.25">
      <c r="A105" s="21" t="s">
        <v>291</v>
      </c>
      <c r="B105" s="22">
        <v>2510330</v>
      </c>
      <c r="C105" s="23" t="s">
        <v>237</v>
      </c>
      <c r="D105" s="22" t="s">
        <v>35</v>
      </c>
      <c r="E105" s="47">
        <v>0</v>
      </c>
      <c r="F105" s="48">
        <v>0</v>
      </c>
      <c r="G105" s="49">
        <v>0</v>
      </c>
      <c r="H105" s="44"/>
      <c r="I105" s="45"/>
      <c r="J105" s="46"/>
      <c r="K105" s="46"/>
      <c r="L105" s="24"/>
      <c r="M105" s="25"/>
      <c r="N105" s="25"/>
      <c r="O105" s="25"/>
      <c r="P105" s="47"/>
      <c r="Q105" s="48"/>
      <c r="R105" s="49"/>
      <c r="S105" s="50">
        <v>0</v>
      </c>
      <c r="T105" s="51">
        <v>0</v>
      </c>
      <c r="U105" s="52">
        <v>0</v>
      </c>
      <c r="V105" s="53">
        <v>0</v>
      </c>
      <c r="W105" s="54">
        <v>0</v>
      </c>
      <c r="X105" s="55">
        <v>0</v>
      </c>
      <c r="Y105" s="47">
        <v>0</v>
      </c>
      <c r="Z105" s="49">
        <v>0</v>
      </c>
    </row>
    <row r="106" spans="1:26" s="30" customFormat="1" ht="18" customHeight="1" x14ac:dyDescent="0.25">
      <c r="A106" s="21" t="s">
        <v>293</v>
      </c>
      <c r="B106" s="22">
        <v>2510340</v>
      </c>
      <c r="C106" s="23" t="s">
        <v>237</v>
      </c>
      <c r="D106" s="22" t="s">
        <v>35</v>
      </c>
      <c r="E106" s="41">
        <v>0</v>
      </c>
      <c r="F106" s="42">
        <v>0</v>
      </c>
      <c r="G106" s="43">
        <v>0</v>
      </c>
      <c r="H106" s="44"/>
      <c r="I106" s="45"/>
      <c r="J106" s="46"/>
      <c r="K106" s="46"/>
      <c r="L106" s="44"/>
      <c r="M106" s="45"/>
      <c r="N106" s="46"/>
      <c r="O106" s="46"/>
      <c r="P106" s="47"/>
      <c r="Q106" s="48"/>
      <c r="R106" s="49"/>
      <c r="S106" s="50">
        <v>0</v>
      </c>
      <c r="T106" s="51">
        <v>0</v>
      </c>
      <c r="U106" s="52">
        <v>0</v>
      </c>
      <c r="V106" s="53">
        <v>0</v>
      </c>
      <c r="W106" s="54">
        <v>0</v>
      </c>
      <c r="X106" s="55">
        <v>0</v>
      </c>
      <c r="Y106" s="56">
        <v>0</v>
      </c>
      <c r="Z106" s="57">
        <v>0</v>
      </c>
    </row>
    <row r="107" spans="1:26" s="30" customFormat="1" ht="18" customHeight="1" x14ac:dyDescent="0.25">
      <c r="A107" s="21" t="s">
        <v>295</v>
      </c>
      <c r="B107" s="22">
        <v>2510350</v>
      </c>
      <c r="C107" s="23" t="s">
        <v>237</v>
      </c>
      <c r="D107" s="22" t="s">
        <v>35</v>
      </c>
      <c r="E107" s="41">
        <v>0</v>
      </c>
      <c r="F107" s="42">
        <v>0</v>
      </c>
      <c r="G107" s="43">
        <v>0</v>
      </c>
      <c r="H107" s="44"/>
      <c r="I107" s="45"/>
      <c r="J107" s="46"/>
      <c r="K107" s="46"/>
      <c r="L107" s="44"/>
      <c r="M107" s="45"/>
      <c r="N107" s="46"/>
      <c r="O107" s="46"/>
      <c r="P107" s="47"/>
      <c r="Q107" s="48"/>
      <c r="R107" s="49"/>
      <c r="S107" s="50">
        <v>0</v>
      </c>
      <c r="T107" s="51">
        <v>0</v>
      </c>
      <c r="U107" s="52">
        <v>0</v>
      </c>
      <c r="V107" s="53">
        <v>0</v>
      </c>
      <c r="W107" s="54">
        <v>0</v>
      </c>
      <c r="X107" s="55">
        <v>0</v>
      </c>
      <c r="Y107" s="56">
        <v>0</v>
      </c>
      <c r="Z107" s="57">
        <v>0</v>
      </c>
    </row>
    <row r="108" spans="1:26" s="30" customFormat="1" ht="18" customHeight="1" x14ac:dyDescent="0.25">
      <c r="A108" s="21" t="s">
        <v>297</v>
      </c>
      <c r="B108" s="22">
        <v>2510370</v>
      </c>
      <c r="C108" s="23" t="s">
        <v>237</v>
      </c>
      <c r="D108" s="22" t="s">
        <v>35</v>
      </c>
      <c r="E108" s="41">
        <v>0</v>
      </c>
      <c r="F108" s="42">
        <v>0</v>
      </c>
      <c r="G108" s="43">
        <v>0</v>
      </c>
      <c r="H108" s="44"/>
      <c r="I108" s="45"/>
      <c r="J108" s="46"/>
      <c r="K108" s="46"/>
      <c r="L108" s="44"/>
      <c r="M108" s="45"/>
      <c r="N108" s="46"/>
      <c r="O108" s="46"/>
      <c r="P108" s="47"/>
      <c r="Q108" s="48"/>
      <c r="R108" s="49"/>
      <c r="S108" s="50">
        <v>0</v>
      </c>
      <c r="T108" s="51">
        <v>0</v>
      </c>
      <c r="U108" s="52">
        <v>0</v>
      </c>
      <c r="V108" s="53">
        <v>0</v>
      </c>
      <c r="W108" s="54">
        <v>0</v>
      </c>
      <c r="X108" s="55">
        <v>0</v>
      </c>
      <c r="Y108" s="56">
        <v>0</v>
      </c>
      <c r="Z108" s="57">
        <v>0</v>
      </c>
    </row>
    <row r="109" spans="1:26" s="30" customFormat="1" ht="18" customHeight="1" x14ac:dyDescent="0.25">
      <c r="A109" s="21" t="s">
        <v>299</v>
      </c>
      <c r="B109" s="22">
        <v>2510440</v>
      </c>
      <c r="C109" s="23" t="s">
        <v>237</v>
      </c>
      <c r="D109" s="22" t="s">
        <v>35</v>
      </c>
      <c r="E109" s="47">
        <v>0</v>
      </c>
      <c r="F109" s="48">
        <v>0</v>
      </c>
      <c r="G109" s="49">
        <v>0</v>
      </c>
      <c r="H109" s="44"/>
      <c r="I109" s="45"/>
      <c r="J109" s="46"/>
      <c r="K109" s="46"/>
      <c r="L109" s="24"/>
      <c r="M109" s="25"/>
      <c r="N109" s="25"/>
      <c r="O109" s="25"/>
      <c r="P109" s="47"/>
      <c r="Q109" s="48"/>
      <c r="R109" s="49"/>
      <c r="S109" s="50">
        <v>0</v>
      </c>
      <c r="T109" s="51">
        <v>0</v>
      </c>
      <c r="U109" s="52">
        <v>0</v>
      </c>
      <c r="V109" s="53">
        <v>0</v>
      </c>
      <c r="W109" s="54">
        <v>0</v>
      </c>
      <c r="X109" s="55">
        <v>0</v>
      </c>
      <c r="Y109" s="47">
        <v>0</v>
      </c>
      <c r="Z109" s="49">
        <v>0</v>
      </c>
    </row>
    <row r="110" spans="1:26" s="30" customFormat="1" ht="18" customHeight="1" x14ac:dyDescent="0.25">
      <c r="A110" s="21" t="s">
        <v>301</v>
      </c>
      <c r="B110" s="22">
        <v>2520040</v>
      </c>
      <c r="C110" s="23" t="s">
        <v>302</v>
      </c>
      <c r="D110" s="22" t="s">
        <v>35</v>
      </c>
      <c r="E110" s="41">
        <v>0</v>
      </c>
      <c r="F110" s="42">
        <v>0</v>
      </c>
      <c r="G110" s="43">
        <v>0</v>
      </c>
      <c r="H110" s="44"/>
      <c r="I110" s="45"/>
      <c r="J110" s="46"/>
      <c r="K110" s="46"/>
      <c r="L110" s="44"/>
      <c r="M110" s="45"/>
      <c r="N110" s="46"/>
      <c r="O110" s="46"/>
      <c r="P110" s="47"/>
      <c r="Q110" s="48"/>
      <c r="R110" s="49"/>
      <c r="S110" s="50">
        <v>0</v>
      </c>
      <c r="T110" s="51">
        <v>0</v>
      </c>
      <c r="U110" s="52">
        <v>0</v>
      </c>
      <c r="V110" s="53">
        <v>0</v>
      </c>
      <c r="W110" s="54">
        <v>0</v>
      </c>
      <c r="X110" s="55">
        <v>0</v>
      </c>
      <c r="Y110" s="56">
        <v>0</v>
      </c>
      <c r="Z110" s="57">
        <v>0</v>
      </c>
    </row>
    <row r="111" spans="1:26" s="30" customFormat="1" ht="18" customHeight="1" x14ac:dyDescent="0.25">
      <c r="A111" s="21" t="s">
        <v>304</v>
      </c>
      <c r="B111" s="22">
        <v>2520096</v>
      </c>
      <c r="C111" s="23" t="s">
        <v>302</v>
      </c>
      <c r="D111" s="22" t="s">
        <v>35</v>
      </c>
      <c r="E111" s="41">
        <v>0</v>
      </c>
      <c r="F111" s="42">
        <v>0</v>
      </c>
      <c r="G111" s="43">
        <v>0</v>
      </c>
      <c r="H111" s="24"/>
      <c r="I111" s="25"/>
      <c r="J111" s="25"/>
      <c r="K111" s="25"/>
      <c r="L111" s="24"/>
      <c r="M111" s="25"/>
      <c r="N111" s="25"/>
      <c r="O111" s="25"/>
      <c r="P111" s="47"/>
      <c r="Q111" s="48"/>
      <c r="R111" s="49"/>
      <c r="S111" s="50">
        <v>0</v>
      </c>
      <c r="T111" s="51">
        <v>0</v>
      </c>
      <c r="U111" s="52">
        <v>0</v>
      </c>
      <c r="V111" s="58">
        <v>0</v>
      </c>
      <c r="W111" s="48">
        <v>0</v>
      </c>
      <c r="X111" s="49">
        <v>0</v>
      </c>
      <c r="Y111" s="56">
        <v>0</v>
      </c>
      <c r="Z111" s="57">
        <v>0</v>
      </c>
    </row>
    <row r="112" spans="1:26" s="30" customFormat="1" ht="18" customHeight="1" x14ac:dyDescent="0.25">
      <c r="A112" s="21" t="s">
        <v>306</v>
      </c>
      <c r="B112" s="22">
        <v>2530010</v>
      </c>
      <c r="C112" s="23" t="s">
        <v>307</v>
      </c>
      <c r="D112" s="22" t="s">
        <v>35</v>
      </c>
      <c r="E112" s="41">
        <v>0</v>
      </c>
      <c r="F112" s="42">
        <v>0</v>
      </c>
      <c r="G112" s="43">
        <v>0</v>
      </c>
      <c r="H112" s="44"/>
      <c r="I112" s="45"/>
      <c r="J112" s="46"/>
      <c r="K112" s="46"/>
      <c r="L112" s="24"/>
      <c r="M112" s="25"/>
      <c r="N112" s="25"/>
      <c r="O112" s="25"/>
      <c r="P112" s="47"/>
      <c r="Q112" s="48"/>
      <c r="R112" s="49"/>
      <c r="S112" s="50">
        <v>0</v>
      </c>
      <c r="T112" s="51">
        <v>0</v>
      </c>
      <c r="U112" s="52">
        <v>0</v>
      </c>
      <c r="V112" s="53">
        <v>0</v>
      </c>
      <c r="W112" s="54">
        <v>0</v>
      </c>
      <c r="X112" s="55">
        <v>0</v>
      </c>
      <c r="Y112" s="56">
        <v>0</v>
      </c>
      <c r="Z112" s="57">
        <v>0</v>
      </c>
    </row>
    <row r="113" spans="1:26" s="30" customFormat="1" ht="18" customHeight="1" x14ac:dyDescent="0.25">
      <c r="A113" s="21" t="s">
        <v>241</v>
      </c>
      <c r="B113" s="22">
        <v>2530020</v>
      </c>
      <c r="C113" s="23" t="s">
        <v>307</v>
      </c>
      <c r="D113" s="22" t="s">
        <v>35</v>
      </c>
      <c r="E113" s="41">
        <v>0</v>
      </c>
      <c r="F113" s="42">
        <v>0</v>
      </c>
      <c r="G113" s="43">
        <v>0</v>
      </c>
      <c r="H113" s="44"/>
      <c r="I113" s="45"/>
      <c r="J113" s="46"/>
      <c r="K113" s="46"/>
      <c r="L113" s="24"/>
      <c r="M113" s="25"/>
      <c r="N113" s="25"/>
      <c r="O113" s="25"/>
      <c r="P113" s="47"/>
      <c r="Q113" s="48"/>
      <c r="R113" s="49"/>
      <c r="S113" s="50">
        <v>0</v>
      </c>
      <c r="T113" s="51">
        <v>0</v>
      </c>
      <c r="U113" s="52">
        <v>0</v>
      </c>
      <c r="V113" s="53">
        <v>0</v>
      </c>
      <c r="W113" s="54">
        <v>0</v>
      </c>
      <c r="X113" s="55">
        <v>0</v>
      </c>
      <c r="Y113" s="56">
        <v>0</v>
      </c>
      <c r="Z113" s="57">
        <v>0</v>
      </c>
    </row>
    <row r="114" spans="1:26" s="30" customFormat="1" ht="18" customHeight="1" x14ac:dyDescent="0.25">
      <c r="A114" s="21" t="s">
        <v>310</v>
      </c>
      <c r="B114" s="22">
        <v>2530040</v>
      </c>
      <c r="C114" s="23" t="s">
        <v>307</v>
      </c>
      <c r="D114" s="22" t="s">
        <v>35</v>
      </c>
      <c r="E114" s="41">
        <v>0</v>
      </c>
      <c r="F114" s="42">
        <v>0</v>
      </c>
      <c r="G114" s="43">
        <v>0</v>
      </c>
      <c r="H114" s="24"/>
      <c r="I114" s="25"/>
      <c r="J114" s="25"/>
      <c r="K114" s="25"/>
      <c r="L114" s="24"/>
      <c r="M114" s="25"/>
      <c r="N114" s="25"/>
      <c r="O114" s="25"/>
      <c r="P114" s="47"/>
      <c r="Q114" s="48"/>
      <c r="R114" s="49"/>
      <c r="S114" s="50">
        <v>0</v>
      </c>
      <c r="T114" s="51">
        <v>0</v>
      </c>
      <c r="U114" s="52">
        <v>0</v>
      </c>
      <c r="V114" s="53">
        <v>0</v>
      </c>
      <c r="W114" s="54">
        <v>0</v>
      </c>
      <c r="X114" s="55">
        <v>0</v>
      </c>
      <c r="Y114" s="47">
        <v>0</v>
      </c>
      <c r="Z114" s="49">
        <v>0</v>
      </c>
    </row>
    <row r="115" spans="1:26" s="30" customFormat="1" ht="18" customHeight="1" x14ac:dyDescent="0.25">
      <c r="A115" s="21" t="s">
        <v>251</v>
      </c>
      <c r="B115" s="22">
        <v>2530050</v>
      </c>
      <c r="C115" s="23" t="s">
        <v>307</v>
      </c>
      <c r="D115" s="22" t="s">
        <v>35</v>
      </c>
      <c r="E115" s="41">
        <v>0</v>
      </c>
      <c r="F115" s="42">
        <v>0</v>
      </c>
      <c r="G115" s="43">
        <v>0</v>
      </c>
      <c r="H115" s="24"/>
      <c r="I115" s="25"/>
      <c r="J115" s="25"/>
      <c r="K115" s="25"/>
      <c r="L115" s="24"/>
      <c r="M115" s="25"/>
      <c r="N115" s="25"/>
      <c r="O115" s="25"/>
      <c r="P115" s="47"/>
      <c r="Q115" s="48"/>
      <c r="R115" s="49"/>
      <c r="S115" s="50">
        <v>0</v>
      </c>
      <c r="T115" s="51">
        <v>0</v>
      </c>
      <c r="U115" s="52">
        <v>0</v>
      </c>
      <c r="V115" s="53">
        <v>0</v>
      </c>
      <c r="W115" s="54">
        <v>0</v>
      </c>
      <c r="X115" s="55">
        <v>0</v>
      </c>
      <c r="Y115" s="56">
        <v>0</v>
      </c>
      <c r="Z115" s="57">
        <v>0</v>
      </c>
    </row>
    <row r="116" spans="1:26" s="30" customFormat="1" ht="18" customHeight="1" x14ac:dyDescent="0.25">
      <c r="A116" s="21" t="s">
        <v>313</v>
      </c>
      <c r="B116" s="22">
        <v>25300513</v>
      </c>
      <c r="C116" s="23" t="s">
        <v>307</v>
      </c>
      <c r="D116" s="22" t="s">
        <v>314</v>
      </c>
      <c r="E116" s="41">
        <v>0</v>
      </c>
      <c r="F116" s="42">
        <v>0</v>
      </c>
      <c r="G116" s="43">
        <v>0</v>
      </c>
      <c r="H116" s="24"/>
      <c r="I116" s="25"/>
      <c r="J116" s="25"/>
      <c r="K116" s="25"/>
      <c r="L116" s="24"/>
      <c r="M116" s="25"/>
      <c r="N116" s="25"/>
      <c r="O116" s="25"/>
      <c r="P116" s="47"/>
      <c r="Q116" s="48"/>
      <c r="R116" s="49"/>
      <c r="S116" s="50">
        <v>0</v>
      </c>
      <c r="T116" s="51">
        <v>0</v>
      </c>
      <c r="U116" s="52">
        <v>0</v>
      </c>
      <c r="V116" s="53">
        <v>0</v>
      </c>
      <c r="W116" s="54">
        <v>0</v>
      </c>
      <c r="X116" s="55">
        <v>0</v>
      </c>
      <c r="Y116" s="47">
        <v>0</v>
      </c>
      <c r="Z116" s="49">
        <v>0</v>
      </c>
    </row>
    <row r="117" spans="1:26" s="30" customFormat="1" ht="18" customHeight="1" x14ac:dyDescent="0.25">
      <c r="A117" s="21" t="s">
        <v>316</v>
      </c>
      <c r="B117" s="22">
        <v>2530060</v>
      </c>
      <c r="C117" s="23" t="s">
        <v>307</v>
      </c>
      <c r="D117" s="22" t="s">
        <v>35</v>
      </c>
      <c r="E117" s="41">
        <v>0</v>
      </c>
      <c r="F117" s="42">
        <v>0</v>
      </c>
      <c r="G117" s="43">
        <v>0</v>
      </c>
      <c r="H117" s="24"/>
      <c r="I117" s="25"/>
      <c r="J117" s="25"/>
      <c r="K117" s="25"/>
      <c r="L117" s="24"/>
      <c r="M117" s="25"/>
      <c r="N117" s="25"/>
      <c r="O117" s="25"/>
      <c r="P117" s="47"/>
      <c r="Q117" s="48"/>
      <c r="R117" s="49"/>
      <c r="S117" s="50">
        <v>0</v>
      </c>
      <c r="T117" s="51">
        <v>0</v>
      </c>
      <c r="U117" s="52">
        <v>0</v>
      </c>
      <c r="V117" s="58">
        <v>0</v>
      </c>
      <c r="W117" s="48">
        <v>0</v>
      </c>
      <c r="X117" s="49">
        <v>0</v>
      </c>
      <c r="Y117" s="56">
        <v>0</v>
      </c>
      <c r="Z117" s="57">
        <v>0</v>
      </c>
    </row>
    <row r="118" spans="1:26" s="30" customFormat="1" ht="18" customHeight="1" x14ac:dyDescent="0.25">
      <c r="A118" s="21" t="s">
        <v>318</v>
      </c>
      <c r="B118" s="22">
        <v>2530070</v>
      </c>
      <c r="C118" s="23" t="s">
        <v>307</v>
      </c>
      <c r="D118" s="22" t="s">
        <v>35</v>
      </c>
      <c r="E118" s="41">
        <v>0</v>
      </c>
      <c r="F118" s="42">
        <v>0</v>
      </c>
      <c r="G118" s="43">
        <v>0</v>
      </c>
      <c r="H118" s="44"/>
      <c r="I118" s="45"/>
      <c r="J118" s="46"/>
      <c r="K118" s="46"/>
      <c r="L118" s="44"/>
      <c r="M118" s="45"/>
      <c r="N118" s="46"/>
      <c r="O118" s="46"/>
      <c r="P118" s="47"/>
      <c r="Q118" s="48"/>
      <c r="R118" s="49"/>
      <c r="S118" s="50">
        <v>0</v>
      </c>
      <c r="T118" s="51">
        <v>0</v>
      </c>
      <c r="U118" s="52">
        <v>0</v>
      </c>
      <c r="V118" s="53">
        <v>0</v>
      </c>
      <c r="W118" s="54">
        <v>0</v>
      </c>
      <c r="X118" s="55">
        <v>0</v>
      </c>
      <c r="Y118" s="56">
        <v>0</v>
      </c>
      <c r="Z118" s="57">
        <v>0</v>
      </c>
    </row>
    <row r="119" spans="1:26" s="30" customFormat="1" ht="18" customHeight="1" x14ac:dyDescent="0.25">
      <c r="A119" s="21" t="s">
        <v>320</v>
      </c>
      <c r="B119" s="22">
        <v>2530080</v>
      </c>
      <c r="C119" s="23" t="s">
        <v>307</v>
      </c>
      <c r="D119" s="22" t="s">
        <v>35</v>
      </c>
      <c r="E119" s="41">
        <v>0</v>
      </c>
      <c r="F119" s="42">
        <v>0</v>
      </c>
      <c r="G119" s="43">
        <v>0</v>
      </c>
      <c r="H119" s="44"/>
      <c r="I119" s="45"/>
      <c r="J119" s="46"/>
      <c r="K119" s="46"/>
      <c r="L119" s="24"/>
      <c r="M119" s="25"/>
      <c r="N119" s="25"/>
      <c r="O119" s="25"/>
      <c r="P119" s="47"/>
      <c r="Q119" s="48"/>
      <c r="R119" s="49"/>
      <c r="S119" s="50">
        <v>0</v>
      </c>
      <c r="T119" s="51">
        <v>0</v>
      </c>
      <c r="U119" s="52">
        <v>0</v>
      </c>
      <c r="V119" s="53">
        <v>0</v>
      </c>
      <c r="W119" s="54">
        <v>0</v>
      </c>
      <c r="X119" s="55">
        <v>0</v>
      </c>
      <c r="Y119" s="56">
        <v>0</v>
      </c>
      <c r="Z119" s="57">
        <v>0</v>
      </c>
    </row>
    <row r="120" spans="1:26" s="30" customFormat="1" ht="18" customHeight="1" x14ac:dyDescent="0.25">
      <c r="A120" s="21" t="s">
        <v>322</v>
      </c>
      <c r="B120" s="22">
        <v>2530100</v>
      </c>
      <c r="C120" s="23" t="s">
        <v>307</v>
      </c>
      <c r="D120" s="22" t="s">
        <v>35</v>
      </c>
      <c r="E120" s="41">
        <v>0</v>
      </c>
      <c r="F120" s="42">
        <v>0</v>
      </c>
      <c r="G120" s="43">
        <v>0</v>
      </c>
      <c r="H120" s="44"/>
      <c r="I120" s="45"/>
      <c r="J120" s="46"/>
      <c r="K120" s="46"/>
      <c r="L120" s="24"/>
      <c r="M120" s="25"/>
      <c r="N120" s="25"/>
      <c r="O120" s="25"/>
      <c r="P120" s="47"/>
      <c r="Q120" s="48"/>
      <c r="R120" s="49"/>
      <c r="S120" s="50">
        <v>0</v>
      </c>
      <c r="T120" s="51">
        <v>0</v>
      </c>
      <c r="U120" s="52">
        <v>0</v>
      </c>
      <c r="V120" s="53">
        <v>0</v>
      </c>
      <c r="W120" s="54">
        <v>0</v>
      </c>
      <c r="X120" s="55">
        <v>0</v>
      </c>
      <c r="Y120" s="56">
        <v>0</v>
      </c>
      <c r="Z120" s="57">
        <v>0</v>
      </c>
    </row>
    <row r="121" spans="1:26" s="30" customFormat="1" ht="18" customHeight="1" x14ac:dyDescent="0.25">
      <c r="A121" s="21" t="s">
        <v>313</v>
      </c>
      <c r="B121" s="22">
        <v>2530110</v>
      </c>
      <c r="C121" s="23" t="s">
        <v>307</v>
      </c>
      <c r="D121" s="22" t="s">
        <v>35</v>
      </c>
      <c r="E121" s="41">
        <v>0</v>
      </c>
      <c r="F121" s="42">
        <v>0</v>
      </c>
      <c r="G121" s="43">
        <v>0</v>
      </c>
      <c r="H121" s="24"/>
      <c r="I121" s="25"/>
      <c r="J121" s="25"/>
      <c r="K121" s="25"/>
      <c r="L121" s="24"/>
      <c r="M121" s="25"/>
      <c r="N121" s="25"/>
      <c r="O121" s="25"/>
      <c r="P121" s="47"/>
      <c r="Q121" s="48"/>
      <c r="R121" s="49"/>
      <c r="S121" s="50">
        <v>0</v>
      </c>
      <c r="T121" s="51">
        <v>0</v>
      </c>
      <c r="U121" s="52">
        <v>0</v>
      </c>
      <c r="V121" s="53">
        <v>0</v>
      </c>
      <c r="W121" s="54">
        <v>0</v>
      </c>
      <c r="X121" s="55">
        <v>0</v>
      </c>
      <c r="Y121" s="47">
        <v>0</v>
      </c>
      <c r="Z121" s="49">
        <v>0</v>
      </c>
    </row>
    <row r="122" spans="1:26" s="30" customFormat="1" ht="18" customHeight="1" x14ac:dyDescent="0.25">
      <c r="A122" s="21" t="s">
        <v>325</v>
      </c>
      <c r="B122" s="22">
        <v>2530120</v>
      </c>
      <c r="C122" s="23" t="s">
        <v>307</v>
      </c>
      <c r="D122" s="22" t="s">
        <v>35</v>
      </c>
      <c r="E122" s="41">
        <v>0</v>
      </c>
      <c r="F122" s="42">
        <v>0</v>
      </c>
      <c r="G122" s="43">
        <v>0</v>
      </c>
      <c r="H122" s="24"/>
      <c r="I122" s="25"/>
      <c r="J122" s="25"/>
      <c r="K122" s="25"/>
      <c r="L122" s="24"/>
      <c r="M122" s="25"/>
      <c r="N122" s="25"/>
      <c r="O122" s="25"/>
      <c r="P122" s="47"/>
      <c r="Q122" s="48"/>
      <c r="R122" s="49"/>
      <c r="S122" s="50">
        <v>0</v>
      </c>
      <c r="T122" s="51">
        <v>0</v>
      </c>
      <c r="U122" s="52">
        <v>0</v>
      </c>
      <c r="V122" s="53">
        <v>0</v>
      </c>
      <c r="W122" s="54">
        <v>0</v>
      </c>
      <c r="X122" s="55">
        <v>0</v>
      </c>
      <c r="Y122" s="47">
        <v>0</v>
      </c>
      <c r="Z122" s="49">
        <v>0</v>
      </c>
    </row>
    <row r="123" spans="1:26" s="30" customFormat="1" ht="18" customHeight="1" x14ac:dyDescent="0.25">
      <c r="A123" s="21" t="s">
        <v>291</v>
      </c>
      <c r="B123" s="22">
        <v>2530130</v>
      </c>
      <c r="C123" s="23" t="s">
        <v>307</v>
      </c>
      <c r="D123" s="22" t="s">
        <v>35</v>
      </c>
      <c r="E123" s="41">
        <v>0</v>
      </c>
      <c r="F123" s="42">
        <v>0</v>
      </c>
      <c r="G123" s="43">
        <v>0</v>
      </c>
      <c r="H123" s="24"/>
      <c r="I123" s="25"/>
      <c r="J123" s="25"/>
      <c r="K123" s="25"/>
      <c r="L123" s="24"/>
      <c r="M123" s="25"/>
      <c r="N123" s="25"/>
      <c r="O123" s="25"/>
      <c r="P123" s="47"/>
      <c r="Q123" s="48"/>
      <c r="R123" s="49"/>
      <c r="S123" s="50">
        <v>0</v>
      </c>
      <c r="T123" s="51">
        <v>0</v>
      </c>
      <c r="U123" s="52">
        <v>0</v>
      </c>
      <c r="V123" s="53">
        <v>0</v>
      </c>
      <c r="W123" s="54">
        <v>0</v>
      </c>
      <c r="X123" s="55">
        <v>0</v>
      </c>
      <c r="Y123" s="47">
        <v>0</v>
      </c>
      <c r="Z123" s="49">
        <v>0</v>
      </c>
    </row>
    <row r="124" spans="1:26" s="30" customFormat="1" ht="18" customHeight="1" x14ac:dyDescent="0.25">
      <c r="A124" s="21" t="s">
        <v>328</v>
      </c>
      <c r="B124" s="22">
        <v>2530312</v>
      </c>
      <c r="C124" s="23" t="s">
        <v>307</v>
      </c>
      <c r="D124" s="22" t="s">
        <v>35</v>
      </c>
      <c r="E124" s="41">
        <v>0</v>
      </c>
      <c r="F124" s="42">
        <v>0</v>
      </c>
      <c r="G124" s="43">
        <v>0</v>
      </c>
      <c r="H124" s="44"/>
      <c r="I124" s="45"/>
      <c r="J124" s="46"/>
      <c r="K124" s="46"/>
      <c r="L124" s="24"/>
      <c r="M124" s="25"/>
      <c r="N124" s="25"/>
      <c r="O124" s="25"/>
      <c r="P124" s="47"/>
      <c r="Q124" s="48"/>
      <c r="R124" s="49"/>
      <c r="S124" s="50">
        <v>0</v>
      </c>
      <c r="T124" s="51">
        <v>0</v>
      </c>
      <c r="U124" s="52">
        <v>0</v>
      </c>
      <c r="V124" s="53">
        <v>0</v>
      </c>
      <c r="W124" s="54">
        <v>0</v>
      </c>
      <c r="X124" s="55">
        <v>0</v>
      </c>
      <c r="Y124" s="56">
        <v>0</v>
      </c>
      <c r="Z124" s="57">
        <v>0</v>
      </c>
    </row>
    <row r="125" spans="1:26" s="30" customFormat="1" ht="18" customHeight="1" x14ac:dyDescent="0.25">
      <c r="A125" s="21" t="s">
        <v>55</v>
      </c>
      <c r="B125" s="22">
        <v>2530313</v>
      </c>
      <c r="C125" s="23" t="s">
        <v>307</v>
      </c>
      <c r="D125" s="22" t="s">
        <v>35</v>
      </c>
      <c r="E125" s="41">
        <v>0</v>
      </c>
      <c r="F125" s="42">
        <v>0</v>
      </c>
      <c r="G125" s="43">
        <v>0</v>
      </c>
      <c r="H125" s="44"/>
      <c r="I125" s="45"/>
      <c r="J125" s="46"/>
      <c r="K125" s="46"/>
      <c r="L125" s="24"/>
      <c r="M125" s="25"/>
      <c r="N125" s="25"/>
      <c r="O125" s="25"/>
      <c r="P125" s="47"/>
      <c r="Q125" s="48"/>
      <c r="R125" s="49"/>
      <c r="S125" s="50">
        <v>0</v>
      </c>
      <c r="T125" s="51">
        <v>0</v>
      </c>
      <c r="U125" s="52">
        <v>0</v>
      </c>
      <c r="V125" s="53">
        <v>0</v>
      </c>
      <c r="W125" s="54">
        <v>0</v>
      </c>
      <c r="X125" s="55">
        <v>0</v>
      </c>
      <c r="Y125" s="56">
        <v>0</v>
      </c>
      <c r="Z125" s="57">
        <v>0</v>
      </c>
    </row>
    <row r="126" spans="1:26" s="30" customFormat="1" ht="18" customHeight="1" x14ac:dyDescent="0.25">
      <c r="A126" s="21" t="s">
        <v>330</v>
      </c>
      <c r="B126" s="22">
        <v>2530432</v>
      </c>
      <c r="C126" s="23" t="s">
        <v>307</v>
      </c>
      <c r="D126" s="22" t="s">
        <v>35</v>
      </c>
      <c r="E126" s="41">
        <v>0</v>
      </c>
      <c r="F126" s="42">
        <v>0</v>
      </c>
      <c r="G126" s="43">
        <v>0</v>
      </c>
      <c r="H126" s="24"/>
      <c r="I126" s="25"/>
      <c r="J126" s="25"/>
      <c r="K126" s="25"/>
      <c r="L126" s="24"/>
      <c r="M126" s="25"/>
      <c r="N126" s="25"/>
      <c r="O126" s="25"/>
      <c r="P126" s="47"/>
      <c r="Q126" s="48"/>
      <c r="R126" s="49"/>
      <c r="S126" s="50">
        <v>0</v>
      </c>
      <c r="T126" s="51">
        <v>0</v>
      </c>
      <c r="U126" s="52">
        <v>0</v>
      </c>
      <c r="V126" s="53">
        <v>0</v>
      </c>
      <c r="W126" s="54">
        <v>0</v>
      </c>
      <c r="X126" s="55">
        <v>0</v>
      </c>
      <c r="Y126" s="56">
        <v>0</v>
      </c>
      <c r="Z126" s="57">
        <v>0</v>
      </c>
    </row>
    <row r="127" spans="1:26" s="30" customFormat="1" ht="18" customHeight="1" x14ac:dyDescent="0.25">
      <c r="A127" s="21" t="s">
        <v>332</v>
      </c>
      <c r="B127" s="22">
        <v>2530981</v>
      </c>
      <c r="C127" s="23" t="s">
        <v>237</v>
      </c>
      <c r="D127" s="22" t="s">
        <v>333</v>
      </c>
      <c r="E127" s="41">
        <v>0</v>
      </c>
      <c r="F127" s="42">
        <v>0</v>
      </c>
      <c r="G127" s="43">
        <v>0</v>
      </c>
      <c r="H127" s="44"/>
      <c r="I127" s="45"/>
      <c r="J127" s="46"/>
      <c r="K127" s="46"/>
      <c r="L127" s="24"/>
      <c r="M127" s="25"/>
      <c r="N127" s="25"/>
      <c r="O127" s="25"/>
      <c r="P127" s="47"/>
      <c r="Q127" s="48"/>
      <c r="R127" s="49"/>
      <c r="S127" s="50">
        <v>0</v>
      </c>
      <c r="T127" s="51">
        <v>0</v>
      </c>
      <c r="U127" s="52">
        <v>0</v>
      </c>
      <c r="V127" s="58">
        <v>0</v>
      </c>
      <c r="W127" s="48">
        <v>0</v>
      </c>
      <c r="X127" s="49">
        <v>0</v>
      </c>
      <c r="Y127" s="56">
        <v>0</v>
      </c>
      <c r="Z127" s="57">
        <v>0</v>
      </c>
    </row>
    <row r="128" spans="1:26" s="30" customFormat="1" ht="18" customHeight="1" x14ac:dyDescent="0.25">
      <c r="A128" s="21" t="s">
        <v>335</v>
      </c>
      <c r="B128" s="22">
        <v>2540020</v>
      </c>
      <c r="C128" s="23" t="s">
        <v>336</v>
      </c>
      <c r="D128" s="22" t="s">
        <v>35</v>
      </c>
      <c r="E128" s="41">
        <v>0</v>
      </c>
      <c r="F128" s="42">
        <v>0</v>
      </c>
      <c r="G128" s="43">
        <v>0</v>
      </c>
      <c r="H128" s="24"/>
      <c r="I128" s="25"/>
      <c r="J128" s="25"/>
      <c r="K128" s="25"/>
      <c r="L128" s="24"/>
      <c r="M128" s="25"/>
      <c r="N128" s="25"/>
      <c r="O128" s="25"/>
      <c r="P128" s="47"/>
      <c r="Q128" s="48"/>
      <c r="R128" s="49"/>
      <c r="S128" s="50">
        <v>0</v>
      </c>
      <c r="T128" s="51">
        <v>0</v>
      </c>
      <c r="U128" s="52">
        <v>0</v>
      </c>
      <c r="V128" s="53">
        <v>0</v>
      </c>
      <c r="W128" s="54">
        <v>0</v>
      </c>
      <c r="X128" s="55">
        <v>0</v>
      </c>
      <c r="Y128" s="47">
        <v>0</v>
      </c>
      <c r="Z128" s="49">
        <v>0</v>
      </c>
    </row>
    <row r="129" spans="1:26" s="30" customFormat="1" ht="18" customHeight="1" x14ac:dyDescent="0.25">
      <c r="A129" s="21" t="s">
        <v>338</v>
      </c>
      <c r="B129" s="22">
        <v>2540030</v>
      </c>
      <c r="C129" s="23" t="s">
        <v>336</v>
      </c>
      <c r="D129" s="22" t="s">
        <v>35</v>
      </c>
      <c r="E129" s="41">
        <v>0</v>
      </c>
      <c r="F129" s="42">
        <v>0</v>
      </c>
      <c r="G129" s="43">
        <v>0</v>
      </c>
      <c r="H129" s="24"/>
      <c r="I129" s="25"/>
      <c r="J129" s="25"/>
      <c r="K129" s="25"/>
      <c r="L129" s="24"/>
      <c r="M129" s="25"/>
      <c r="N129" s="25"/>
      <c r="O129" s="25"/>
      <c r="P129" s="47"/>
      <c r="Q129" s="48"/>
      <c r="R129" s="49"/>
      <c r="S129" s="50">
        <v>0</v>
      </c>
      <c r="T129" s="51">
        <v>0</v>
      </c>
      <c r="U129" s="52">
        <v>0</v>
      </c>
      <c r="V129" s="53">
        <v>0</v>
      </c>
      <c r="W129" s="54">
        <v>0</v>
      </c>
      <c r="X129" s="55">
        <v>0</v>
      </c>
      <c r="Y129" s="47">
        <v>0</v>
      </c>
      <c r="Z129" s="49">
        <v>0</v>
      </c>
    </row>
    <row r="130" spans="1:26" s="30" customFormat="1" ht="18" customHeight="1" x14ac:dyDescent="0.25">
      <c r="A130" s="21" t="s">
        <v>340</v>
      </c>
      <c r="B130" s="22">
        <v>25400385</v>
      </c>
      <c r="C130" s="23" t="s">
        <v>336</v>
      </c>
      <c r="D130" s="22" t="s">
        <v>314</v>
      </c>
      <c r="E130" s="41">
        <v>0</v>
      </c>
      <c r="F130" s="42">
        <v>0</v>
      </c>
      <c r="G130" s="43">
        <v>0</v>
      </c>
      <c r="H130" s="24"/>
      <c r="I130" s="25"/>
      <c r="J130" s="25"/>
      <c r="K130" s="25"/>
      <c r="L130" s="24"/>
      <c r="M130" s="25"/>
      <c r="N130" s="25"/>
      <c r="O130" s="25"/>
      <c r="P130" s="47"/>
      <c r="Q130" s="48"/>
      <c r="R130" s="49"/>
      <c r="S130" s="50">
        <v>0</v>
      </c>
      <c r="T130" s="51">
        <v>0</v>
      </c>
      <c r="U130" s="52">
        <v>0</v>
      </c>
      <c r="V130" s="53">
        <v>0</v>
      </c>
      <c r="W130" s="54">
        <v>0</v>
      </c>
      <c r="X130" s="55">
        <v>0</v>
      </c>
      <c r="Y130" s="47">
        <v>0</v>
      </c>
      <c r="Z130" s="49">
        <v>0</v>
      </c>
    </row>
    <row r="131" spans="1:26" s="30" customFormat="1" ht="18" customHeight="1" x14ac:dyDescent="0.25">
      <c r="A131" s="21" t="s">
        <v>342</v>
      </c>
      <c r="B131" s="22">
        <v>2540050</v>
      </c>
      <c r="C131" s="23" t="s">
        <v>336</v>
      </c>
      <c r="D131" s="22" t="s">
        <v>35</v>
      </c>
      <c r="E131" s="41">
        <v>0</v>
      </c>
      <c r="F131" s="42">
        <v>0</v>
      </c>
      <c r="G131" s="43">
        <v>0</v>
      </c>
      <c r="H131" s="24"/>
      <c r="I131" s="25"/>
      <c r="J131" s="25"/>
      <c r="K131" s="25"/>
      <c r="L131" s="24"/>
      <c r="M131" s="25"/>
      <c r="N131" s="25"/>
      <c r="O131" s="25"/>
      <c r="P131" s="47"/>
      <c r="Q131" s="48"/>
      <c r="R131" s="49"/>
      <c r="S131" s="50">
        <v>0</v>
      </c>
      <c r="T131" s="51">
        <v>0</v>
      </c>
      <c r="U131" s="52">
        <v>0</v>
      </c>
      <c r="V131" s="53">
        <v>0</v>
      </c>
      <c r="W131" s="54">
        <v>0</v>
      </c>
      <c r="X131" s="55">
        <v>0</v>
      </c>
      <c r="Y131" s="47">
        <v>0</v>
      </c>
      <c r="Z131" s="49">
        <v>0</v>
      </c>
    </row>
    <row r="132" spans="1:26" s="30" customFormat="1" ht="18" customHeight="1" x14ac:dyDescent="0.25">
      <c r="A132" s="21" t="s">
        <v>344</v>
      </c>
      <c r="B132" s="22">
        <v>2540055</v>
      </c>
      <c r="C132" s="23" t="s">
        <v>336</v>
      </c>
      <c r="D132" s="22" t="s">
        <v>35</v>
      </c>
      <c r="E132" s="41">
        <v>0</v>
      </c>
      <c r="F132" s="42">
        <v>0</v>
      </c>
      <c r="G132" s="43">
        <v>0</v>
      </c>
      <c r="H132" s="24"/>
      <c r="I132" s="25"/>
      <c r="J132" s="25"/>
      <c r="K132" s="25"/>
      <c r="L132" s="24"/>
      <c r="M132" s="25"/>
      <c r="N132" s="25"/>
      <c r="O132" s="25"/>
      <c r="P132" s="47"/>
      <c r="Q132" s="48"/>
      <c r="R132" s="49"/>
      <c r="S132" s="50">
        <v>0</v>
      </c>
      <c r="T132" s="51">
        <v>0</v>
      </c>
      <c r="U132" s="52">
        <v>0</v>
      </c>
      <c r="V132" s="53">
        <v>0</v>
      </c>
      <c r="W132" s="54">
        <v>0</v>
      </c>
      <c r="X132" s="55">
        <v>0</v>
      </c>
      <c r="Y132" s="47">
        <v>0</v>
      </c>
      <c r="Z132" s="49">
        <v>0</v>
      </c>
    </row>
    <row r="133" spans="1:26" s="30" customFormat="1" ht="18" customHeight="1" x14ac:dyDescent="0.25">
      <c r="A133" s="21" t="s">
        <v>346</v>
      </c>
      <c r="B133" s="22">
        <v>2540090</v>
      </c>
      <c r="C133" s="23" t="s">
        <v>336</v>
      </c>
      <c r="D133" s="22" t="s">
        <v>35</v>
      </c>
      <c r="E133" s="41">
        <v>0</v>
      </c>
      <c r="F133" s="42">
        <v>0</v>
      </c>
      <c r="G133" s="43">
        <v>0</v>
      </c>
      <c r="H133" s="24"/>
      <c r="I133" s="25"/>
      <c r="J133" s="25"/>
      <c r="K133" s="25"/>
      <c r="L133" s="24"/>
      <c r="M133" s="25"/>
      <c r="N133" s="25"/>
      <c r="O133" s="25"/>
      <c r="P133" s="47"/>
      <c r="Q133" s="48"/>
      <c r="R133" s="49"/>
      <c r="S133" s="50">
        <v>0</v>
      </c>
      <c r="T133" s="51">
        <v>0</v>
      </c>
      <c r="U133" s="52">
        <v>0</v>
      </c>
      <c r="V133" s="53">
        <v>0</v>
      </c>
      <c r="W133" s="54">
        <v>0</v>
      </c>
      <c r="X133" s="55">
        <v>0</v>
      </c>
      <c r="Y133" s="47">
        <v>0</v>
      </c>
      <c r="Z133" s="49">
        <v>0</v>
      </c>
    </row>
    <row r="134" spans="1:26" s="30" customFormat="1" ht="18" customHeight="1" x14ac:dyDescent="0.25">
      <c r="A134" s="21" t="s">
        <v>348</v>
      </c>
      <c r="B134" s="22">
        <v>2540100</v>
      </c>
      <c r="C134" s="23" t="s">
        <v>336</v>
      </c>
      <c r="D134" s="22" t="s">
        <v>35</v>
      </c>
      <c r="E134" s="41">
        <v>0</v>
      </c>
      <c r="F134" s="42">
        <v>0</v>
      </c>
      <c r="G134" s="43">
        <v>0</v>
      </c>
      <c r="H134" s="44"/>
      <c r="I134" s="45"/>
      <c r="J134" s="46"/>
      <c r="K134" s="46"/>
      <c r="L134" s="24"/>
      <c r="M134" s="25"/>
      <c r="N134" s="25"/>
      <c r="O134" s="25"/>
      <c r="P134" s="47"/>
      <c r="Q134" s="48"/>
      <c r="R134" s="49"/>
      <c r="S134" s="50">
        <v>0</v>
      </c>
      <c r="T134" s="51">
        <v>0</v>
      </c>
      <c r="U134" s="52">
        <v>0</v>
      </c>
      <c r="V134" s="53">
        <v>0</v>
      </c>
      <c r="W134" s="54">
        <v>0</v>
      </c>
      <c r="X134" s="55">
        <v>0</v>
      </c>
      <c r="Y134" s="56">
        <v>0</v>
      </c>
      <c r="Z134" s="57">
        <v>0</v>
      </c>
    </row>
    <row r="135" spans="1:26" s="30" customFormat="1" ht="18" customHeight="1" x14ac:dyDescent="0.25">
      <c r="A135" s="21" t="s">
        <v>350</v>
      </c>
      <c r="B135" s="22">
        <v>2550120</v>
      </c>
      <c r="C135" s="23" t="s">
        <v>351</v>
      </c>
      <c r="D135" s="22" t="s">
        <v>352</v>
      </c>
      <c r="E135" s="41">
        <v>0</v>
      </c>
      <c r="F135" s="42">
        <v>0</v>
      </c>
      <c r="G135" s="43">
        <v>0</v>
      </c>
      <c r="H135" s="24"/>
      <c r="I135" s="25"/>
      <c r="J135" s="25"/>
      <c r="K135" s="25"/>
      <c r="L135" s="24"/>
      <c r="M135" s="25"/>
      <c r="N135" s="25"/>
      <c r="O135" s="25"/>
      <c r="P135" s="47"/>
      <c r="Q135" s="48"/>
      <c r="R135" s="49"/>
      <c r="S135" s="50">
        <v>0</v>
      </c>
      <c r="T135" s="51">
        <v>0</v>
      </c>
      <c r="U135" s="52">
        <v>0</v>
      </c>
      <c r="V135" s="58">
        <v>0</v>
      </c>
      <c r="W135" s="48">
        <v>0</v>
      </c>
      <c r="X135" s="49">
        <v>0</v>
      </c>
      <c r="Y135" s="56">
        <v>0</v>
      </c>
      <c r="Z135" s="57">
        <v>0</v>
      </c>
    </row>
    <row r="136" spans="1:26" s="30" customFormat="1" ht="18" customHeight="1" x14ac:dyDescent="0.25">
      <c r="A136" s="21" t="s">
        <v>354</v>
      </c>
      <c r="B136" s="22">
        <v>2550190</v>
      </c>
      <c r="C136" s="23" t="s">
        <v>351</v>
      </c>
      <c r="D136" s="22" t="s">
        <v>355</v>
      </c>
      <c r="E136" s="41">
        <v>0</v>
      </c>
      <c r="F136" s="42">
        <v>0</v>
      </c>
      <c r="G136" s="43">
        <v>0</v>
      </c>
      <c r="H136" s="24"/>
      <c r="I136" s="25"/>
      <c r="J136" s="25"/>
      <c r="K136" s="25"/>
      <c r="L136" s="24"/>
      <c r="M136" s="25"/>
      <c r="N136" s="25"/>
      <c r="O136" s="25"/>
      <c r="P136" s="47"/>
      <c r="Q136" s="48"/>
      <c r="R136" s="49"/>
      <c r="S136" s="50">
        <v>0</v>
      </c>
      <c r="T136" s="51">
        <v>0</v>
      </c>
      <c r="U136" s="52">
        <v>0</v>
      </c>
      <c r="V136" s="58">
        <v>0</v>
      </c>
      <c r="W136" s="48">
        <v>0</v>
      </c>
      <c r="X136" s="49">
        <v>0</v>
      </c>
      <c r="Y136" s="56">
        <v>0</v>
      </c>
      <c r="Z136" s="57">
        <v>0</v>
      </c>
    </row>
    <row r="137" spans="1:26" s="30" customFormat="1" ht="18" customHeight="1" x14ac:dyDescent="0.25">
      <c r="A137" s="21" t="s">
        <v>357</v>
      </c>
      <c r="B137" s="22">
        <v>2550453</v>
      </c>
      <c r="C137" s="23" t="s">
        <v>351</v>
      </c>
      <c r="D137" s="22" t="s">
        <v>355</v>
      </c>
      <c r="E137" s="41">
        <v>0</v>
      </c>
      <c r="F137" s="42">
        <v>0</v>
      </c>
      <c r="G137" s="43">
        <v>0</v>
      </c>
      <c r="H137" s="24"/>
      <c r="I137" s="25"/>
      <c r="J137" s="25"/>
      <c r="K137" s="25"/>
      <c r="L137" s="24"/>
      <c r="M137" s="25"/>
      <c r="N137" s="25"/>
      <c r="O137" s="25"/>
      <c r="P137" s="47"/>
      <c r="Q137" s="48"/>
      <c r="R137" s="49"/>
      <c r="S137" s="50">
        <v>0</v>
      </c>
      <c r="T137" s="51">
        <v>0</v>
      </c>
      <c r="U137" s="52">
        <v>0</v>
      </c>
      <c r="V137" s="53">
        <v>0</v>
      </c>
      <c r="W137" s="54">
        <v>0</v>
      </c>
      <c r="X137" s="55">
        <v>0</v>
      </c>
      <c r="Y137" s="47">
        <v>0</v>
      </c>
      <c r="Z137" s="49">
        <v>0</v>
      </c>
    </row>
    <row r="138" spans="1:26" s="30" customFormat="1" ht="18" customHeight="1" x14ac:dyDescent="0.25">
      <c r="A138" s="21" t="s">
        <v>350</v>
      </c>
      <c r="B138" s="22">
        <v>2550476</v>
      </c>
      <c r="C138" s="23" t="s">
        <v>351</v>
      </c>
      <c r="D138" s="22" t="s">
        <v>359</v>
      </c>
      <c r="E138" s="41">
        <v>0</v>
      </c>
      <c r="F138" s="42">
        <v>0</v>
      </c>
      <c r="G138" s="43">
        <v>0</v>
      </c>
      <c r="H138" s="44"/>
      <c r="I138" s="45"/>
      <c r="J138" s="46"/>
      <c r="K138" s="46"/>
      <c r="L138" s="24"/>
      <c r="M138" s="25"/>
      <c r="N138" s="25"/>
      <c r="O138" s="25"/>
      <c r="P138" s="47"/>
      <c r="Q138" s="48"/>
      <c r="R138" s="49"/>
      <c r="S138" s="50">
        <v>0</v>
      </c>
      <c r="T138" s="51">
        <v>0</v>
      </c>
      <c r="U138" s="52">
        <v>0</v>
      </c>
      <c r="V138" s="53">
        <v>0</v>
      </c>
      <c r="W138" s="54">
        <v>0</v>
      </c>
      <c r="X138" s="55">
        <v>0</v>
      </c>
      <c r="Y138" s="56">
        <v>0</v>
      </c>
      <c r="Z138" s="57">
        <v>0</v>
      </c>
    </row>
    <row r="139" spans="1:26" s="30" customFormat="1" ht="18" customHeight="1" x14ac:dyDescent="0.25">
      <c r="A139" s="21" t="s">
        <v>354</v>
      </c>
      <c r="B139" s="22">
        <v>2550512</v>
      </c>
      <c r="C139" s="23" t="s">
        <v>351</v>
      </c>
      <c r="D139" s="22" t="s">
        <v>361</v>
      </c>
      <c r="E139" s="41">
        <v>0</v>
      </c>
      <c r="F139" s="42">
        <v>0</v>
      </c>
      <c r="G139" s="43">
        <v>0</v>
      </c>
      <c r="H139" s="44"/>
      <c r="I139" s="45"/>
      <c r="J139" s="46"/>
      <c r="K139" s="46"/>
      <c r="L139" s="24"/>
      <c r="M139" s="25"/>
      <c r="N139" s="25"/>
      <c r="O139" s="25"/>
      <c r="P139" s="47"/>
      <c r="Q139" s="48"/>
      <c r="R139" s="49"/>
      <c r="S139" s="50">
        <v>0</v>
      </c>
      <c r="T139" s="51">
        <v>0</v>
      </c>
      <c r="U139" s="52">
        <v>0</v>
      </c>
      <c r="V139" s="53">
        <v>0</v>
      </c>
      <c r="W139" s="54">
        <v>0</v>
      </c>
      <c r="X139" s="55">
        <v>0</v>
      </c>
      <c r="Y139" s="56">
        <v>0</v>
      </c>
      <c r="Z139" s="57">
        <v>0</v>
      </c>
    </row>
    <row r="140" spans="1:26" s="30" customFormat="1" ht="18" customHeight="1" x14ac:dyDescent="0.25">
      <c r="A140" s="21" t="s">
        <v>363</v>
      </c>
      <c r="B140" s="22">
        <v>3010015</v>
      </c>
      <c r="C140" s="23" t="s">
        <v>364</v>
      </c>
      <c r="D140" s="22" t="s">
        <v>35</v>
      </c>
      <c r="E140" s="41">
        <v>0</v>
      </c>
      <c r="F140" s="42">
        <v>0</v>
      </c>
      <c r="G140" s="43">
        <v>0</v>
      </c>
      <c r="H140" s="24"/>
      <c r="I140" s="25"/>
      <c r="J140" s="25"/>
      <c r="K140" s="25"/>
      <c r="L140" s="24"/>
      <c r="M140" s="25"/>
      <c r="N140" s="25"/>
      <c r="O140" s="25"/>
      <c r="P140" s="47"/>
      <c r="Q140" s="48"/>
      <c r="R140" s="49"/>
      <c r="S140" s="50">
        <v>0</v>
      </c>
      <c r="T140" s="51">
        <v>0</v>
      </c>
      <c r="U140" s="52">
        <v>0</v>
      </c>
      <c r="V140" s="53">
        <v>0</v>
      </c>
      <c r="W140" s="54">
        <v>0</v>
      </c>
      <c r="X140" s="55">
        <v>0</v>
      </c>
      <c r="Y140" s="56">
        <v>0</v>
      </c>
      <c r="Z140" s="57">
        <v>0</v>
      </c>
    </row>
    <row r="141" spans="1:26" s="30" customFormat="1" ht="18" customHeight="1" x14ac:dyDescent="0.25">
      <c r="A141" s="21" t="s">
        <v>366</v>
      </c>
      <c r="B141" s="22">
        <v>3010020</v>
      </c>
      <c r="C141" s="23" t="s">
        <v>364</v>
      </c>
      <c r="D141" s="22" t="s">
        <v>35</v>
      </c>
      <c r="E141" s="41">
        <v>0</v>
      </c>
      <c r="F141" s="42">
        <v>0</v>
      </c>
      <c r="G141" s="43">
        <v>0</v>
      </c>
      <c r="H141" s="44"/>
      <c r="I141" s="45"/>
      <c r="J141" s="46"/>
      <c r="K141" s="46"/>
      <c r="L141" s="24"/>
      <c r="M141" s="25"/>
      <c r="N141" s="25"/>
      <c r="O141" s="25"/>
      <c r="P141" s="47"/>
      <c r="Q141" s="48"/>
      <c r="R141" s="49"/>
      <c r="S141" s="50">
        <v>0</v>
      </c>
      <c r="T141" s="51">
        <v>0</v>
      </c>
      <c r="U141" s="52">
        <v>0</v>
      </c>
      <c r="V141" s="53">
        <v>0</v>
      </c>
      <c r="W141" s="54">
        <v>0</v>
      </c>
      <c r="X141" s="55">
        <v>0</v>
      </c>
      <c r="Y141" s="56">
        <v>0</v>
      </c>
      <c r="Z141" s="57">
        <v>0</v>
      </c>
    </row>
    <row r="142" spans="1:26" s="30" customFormat="1" ht="18" customHeight="1" x14ac:dyDescent="0.25">
      <c r="A142" s="21" t="s">
        <v>368</v>
      </c>
      <c r="B142" s="22">
        <v>3010050</v>
      </c>
      <c r="C142" s="23" t="s">
        <v>364</v>
      </c>
      <c r="D142" s="22" t="s">
        <v>35</v>
      </c>
      <c r="E142" s="41">
        <v>0</v>
      </c>
      <c r="F142" s="42">
        <v>0</v>
      </c>
      <c r="G142" s="43">
        <v>0</v>
      </c>
      <c r="H142" s="44"/>
      <c r="I142" s="45"/>
      <c r="J142" s="46"/>
      <c r="K142" s="46"/>
      <c r="L142" s="44"/>
      <c r="M142" s="45"/>
      <c r="N142" s="46"/>
      <c r="O142" s="46"/>
      <c r="P142" s="47"/>
      <c r="Q142" s="48"/>
      <c r="R142" s="49"/>
      <c r="S142" s="50">
        <v>0</v>
      </c>
      <c r="T142" s="51">
        <v>0</v>
      </c>
      <c r="U142" s="52">
        <v>0</v>
      </c>
      <c r="V142" s="53">
        <v>0</v>
      </c>
      <c r="W142" s="54">
        <v>0</v>
      </c>
      <c r="X142" s="55">
        <v>0</v>
      </c>
      <c r="Y142" s="56">
        <v>0</v>
      </c>
      <c r="Z142" s="57">
        <v>0</v>
      </c>
    </row>
    <row r="143" spans="1:26" s="30" customFormat="1" ht="18" customHeight="1" x14ac:dyDescent="0.25">
      <c r="A143" s="21" t="s">
        <v>370</v>
      </c>
      <c r="B143" s="22">
        <v>3010100</v>
      </c>
      <c r="C143" s="23" t="s">
        <v>364</v>
      </c>
      <c r="D143" s="22" t="s">
        <v>35</v>
      </c>
      <c r="E143" s="41">
        <v>0</v>
      </c>
      <c r="F143" s="42">
        <v>0</v>
      </c>
      <c r="G143" s="43">
        <v>0</v>
      </c>
      <c r="H143" s="44"/>
      <c r="I143" s="45"/>
      <c r="J143" s="46"/>
      <c r="K143" s="46"/>
      <c r="L143" s="24"/>
      <c r="M143" s="25"/>
      <c r="N143" s="25"/>
      <c r="O143" s="25"/>
      <c r="P143" s="47"/>
      <c r="Q143" s="48"/>
      <c r="R143" s="49"/>
      <c r="S143" s="50">
        <v>0</v>
      </c>
      <c r="T143" s="51">
        <v>0</v>
      </c>
      <c r="U143" s="52">
        <v>0</v>
      </c>
      <c r="V143" s="53">
        <v>0</v>
      </c>
      <c r="W143" s="54">
        <v>0</v>
      </c>
      <c r="X143" s="55">
        <v>0</v>
      </c>
      <c r="Y143" s="56">
        <v>0</v>
      </c>
      <c r="Z143" s="57">
        <v>0</v>
      </c>
    </row>
    <row r="144" spans="1:26" s="30" customFormat="1" ht="18" customHeight="1" x14ac:dyDescent="0.25">
      <c r="A144" s="21" t="s">
        <v>372</v>
      </c>
      <c r="B144" s="22">
        <v>3010120</v>
      </c>
      <c r="C144" s="23" t="s">
        <v>364</v>
      </c>
      <c r="D144" s="22" t="s">
        <v>35</v>
      </c>
      <c r="E144" s="41">
        <v>0</v>
      </c>
      <c r="F144" s="42">
        <v>0</v>
      </c>
      <c r="G144" s="43">
        <v>0</v>
      </c>
      <c r="H144" s="24"/>
      <c r="I144" s="25"/>
      <c r="J144" s="25"/>
      <c r="K144" s="25"/>
      <c r="L144" s="24"/>
      <c r="M144" s="25"/>
      <c r="N144" s="25"/>
      <c r="O144" s="25"/>
      <c r="P144" s="47"/>
      <c r="Q144" s="48"/>
      <c r="R144" s="49"/>
      <c r="S144" s="50">
        <v>0</v>
      </c>
      <c r="T144" s="51">
        <v>0</v>
      </c>
      <c r="U144" s="52">
        <v>0</v>
      </c>
      <c r="V144" s="58">
        <v>0</v>
      </c>
      <c r="W144" s="48">
        <v>0</v>
      </c>
      <c r="X144" s="49">
        <v>0</v>
      </c>
      <c r="Y144" s="56">
        <v>0</v>
      </c>
      <c r="Z144" s="57">
        <v>0</v>
      </c>
    </row>
    <row r="145" spans="1:26" s="30" customFormat="1" ht="18" customHeight="1" x14ac:dyDescent="0.25">
      <c r="A145" s="21" t="s">
        <v>374</v>
      </c>
      <c r="B145" s="22">
        <v>3010130</v>
      </c>
      <c r="C145" s="23" t="s">
        <v>364</v>
      </c>
      <c r="D145" s="22" t="s">
        <v>35</v>
      </c>
      <c r="E145" s="41">
        <v>0</v>
      </c>
      <c r="F145" s="42">
        <v>0</v>
      </c>
      <c r="G145" s="43">
        <v>0</v>
      </c>
      <c r="H145" s="44"/>
      <c r="I145" s="45"/>
      <c r="J145" s="46"/>
      <c r="K145" s="46"/>
      <c r="L145" s="24"/>
      <c r="M145" s="25"/>
      <c r="N145" s="25"/>
      <c r="O145" s="25"/>
      <c r="P145" s="47"/>
      <c r="Q145" s="48"/>
      <c r="R145" s="49"/>
      <c r="S145" s="50">
        <v>0</v>
      </c>
      <c r="T145" s="51">
        <v>0</v>
      </c>
      <c r="U145" s="52">
        <v>0</v>
      </c>
      <c r="V145" s="53">
        <v>0</v>
      </c>
      <c r="W145" s="54">
        <v>0</v>
      </c>
      <c r="X145" s="55">
        <v>0</v>
      </c>
      <c r="Y145" s="56">
        <v>0</v>
      </c>
      <c r="Z145" s="57">
        <v>0</v>
      </c>
    </row>
    <row r="146" spans="1:26" s="30" customFormat="1" ht="18" customHeight="1" x14ac:dyDescent="0.25">
      <c r="A146" s="21" t="s">
        <v>376</v>
      </c>
      <c r="B146" s="22">
        <v>3010140</v>
      </c>
      <c r="C146" s="23" t="s">
        <v>364</v>
      </c>
      <c r="D146" s="22" t="s">
        <v>35</v>
      </c>
      <c r="E146" s="41">
        <v>0</v>
      </c>
      <c r="F146" s="42">
        <v>0</v>
      </c>
      <c r="G146" s="43">
        <v>0</v>
      </c>
      <c r="H146" s="44"/>
      <c r="I146" s="45"/>
      <c r="J146" s="46"/>
      <c r="K146" s="46"/>
      <c r="L146" s="44"/>
      <c r="M146" s="45"/>
      <c r="N146" s="46"/>
      <c r="O146" s="46"/>
      <c r="P146" s="47"/>
      <c r="Q146" s="48"/>
      <c r="R146" s="49"/>
      <c r="S146" s="50">
        <v>0</v>
      </c>
      <c r="T146" s="51">
        <v>0</v>
      </c>
      <c r="U146" s="52">
        <v>0</v>
      </c>
      <c r="V146" s="53">
        <v>0</v>
      </c>
      <c r="W146" s="54">
        <v>0</v>
      </c>
      <c r="X146" s="55">
        <v>0</v>
      </c>
      <c r="Y146" s="56">
        <v>0</v>
      </c>
      <c r="Z146" s="57">
        <v>0</v>
      </c>
    </row>
    <row r="147" spans="1:26" s="30" customFormat="1" ht="18" customHeight="1" x14ac:dyDescent="0.25">
      <c r="A147" s="21" t="s">
        <v>378</v>
      </c>
      <c r="B147" s="22">
        <v>3010141</v>
      </c>
      <c r="C147" s="23" t="s">
        <v>364</v>
      </c>
      <c r="D147" s="22" t="s">
        <v>35</v>
      </c>
      <c r="E147" s="41">
        <v>0</v>
      </c>
      <c r="F147" s="42">
        <v>0</v>
      </c>
      <c r="G147" s="43">
        <v>0</v>
      </c>
      <c r="H147" s="44"/>
      <c r="I147" s="45"/>
      <c r="J147" s="46"/>
      <c r="K147" s="46"/>
      <c r="L147" s="44"/>
      <c r="M147" s="45"/>
      <c r="N147" s="46"/>
      <c r="O147" s="46"/>
      <c r="P147" s="47"/>
      <c r="Q147" s="48"/>
      <c r="R147" s="49"/>
      <c r="S147" s="50">
        <v>0</v>
      </c>
      <c r="T147" s="51">
        <v>0</v>
      </c>
      <c r="U147" s="52">
        <v>0</v>
      </c>
      <c r="V147" s="53">
        <v>0</v>
      </c>
      <c r="W147" s="54">
        <v>0</v>
      </c>
      <c r="X147" s="55">
        <v>0</v>
      </c>
      <c r="Y147" s="56">
        <v>0</v>
      </c>
      <c r="Z147" s="57">
        <v>0</v>
      </c>
    </row>
    <row r="148" spans="1:26" s="30" customFormat="1" ht="18" customHeight="1" x14ac:dyDescent="0.25">
      <c r="A148" s="21" t="s">
        <v>380</v>
      </c>
      <c r="B148" s="22">
        <v>3010160</v>
      </c>
      <c r="C148" s="23" t="s">
        <v>364</v>
      </c>
      <c r="D148" s="22" t="s">
        <v>35</v>
      </c>
      <c r="E148" s="41">
        <v>0</v>
      </c>
      <c r="F148" s="42">
        <v>0</v>
      </c>
      <c r="G148" s="43">
        <v>0</v>
      </c>
      <c r="H148" s="44"/>
      <c r="I148" s="45"/>
      <c r="J148" s="46"/>
      <c r="K148" s="46"/>
      <c r="L148" s="44"/>
      <c r="M148" s="45"/>
      <c r="N148" s="46"/>
      <c r="O148" s="46"/>
      <c r="P148" s="47"/>
      <c r="Q148" s="48"/>
      <c r="R148" s="49"/>
      <c r="S148" s="50">
        <v>0</v>
      </c>
      <c r="T148" s="51">
        <v>0</v>
      </c>
      <c r="U148" s="52">
        <v>0</v>
      </c>
      <c r="V148" s="53">
        <v>0</v>
      </c>
      <c r="W148" s="54">
        <v>0</v>
      </c>
      <c r="X148" s="55">
        <v>0</v>
      </c>
      <c r="Y148" s="56">
        <v>0</v>
      </c>
      <c r="Z148" s="57">
        <v>0</v>
      </c>
    </row>
    <row r="149" spans="1:26" s="30" customFormat="1" ht="18" customHeight="1" x14ac:dyDescent="0.25">
      <c r="A149" s="21" t="s">
        <v>382</v>
      </c>
      <c r="B149" s="22">
        <v>3010180</v>
      </c>
      <c r="C149" s="23" t="s">
        <v>364</v>
      </c>
      <c r="D149" s="22" t="s">
        <v>35</v>
      </c>
      <c r="E149" s="47">
        <v>0</v>
      </c>
      <c r="F149" s="48">
        <v>0</v>
      </c>
      <c r="G149" s="49">
        <v>0</v>
      </c>
      <c r="H149" s="44"/>
      <c r="I149" s="45"/>
      <c r="J149" s="46"/>
      <c r="K149" s="46"/>
      <c r="L149" s="24"/>
      <c r="M149" s="25"/>
      <c r="N149" s="25"/>
      <c r="O149" s="25"/>
      <c r="P149" s="47"/>
      <c r="Q149" s="48"/>
      <c r="R149" s="49"/>
      <c r="S149" s="50">
        <v>0</v>
      </c>
      <c r="T149" s="51">
        <v>0</v>
      </c>
      <c r="U149" s="52">
        <v>0</v>
      </c>
      <c r="V149" s="53">
        <v>0</v>
      </c>
      <c r="W149" s="54">
        <v>0</v>
      </c>
      <c r="X149" s="55">
        <v>0</v>
      </c>
      <c r="Y149" s="47">
        <v>0</v>
      </c>
      <c r="Z149" s="49">
        <v>0</v>
      </c>
    </row>
    <row r="150" spans="1:26" s="30" customFormat="1" ht="18" customHeight="1" x14ac:dyDescent="0.25">
      <c r="A150" s="21" t="s">
        <v>384</v>
      </c>
      <c r="B150" s="22">
        <v>3010200</v>
      </c>
      <c r="C150" s="23" t="s">
        <v>364</v>
      </c>
      <c r="D150" s="22" t="s">
        <v>35</v>
      </c>
      <c r="E150" s="41">
        <v>0</v>
      </c>
      <c r="F150" s="42">
        <v>0</v>
      </c>
      <c r="G150" s="43">
        <v>0</v>
      </c>
      <c r="H150" s="44"/>
      <c r="I150" s="45"/>
      <c r="J150" s="46"/>
      <c r="K150" s="46"/>
      <c r="L150" s="44"/>
      <c r="M150" s="45"/>
      <c r="N150" s="46"/>
      <c r="O150" s="46"/>
      <c r="P150" s="47"/>
      <c r="Q150" s="48"/>
      <c r="R150" s="49"/>
      <c r="S150" s="50">
        <v>0</v>
      </c>
      <c r="T150" s="51">
        <v>0</v>
      </c>
      <c r="U150" s="52">
        <v>0</v>
      </c>
      <c r="V150" s="53">
        <v>0</v>
      </c>
      <c r="W150" s="54">
        <v>0</v>
      </c>
      <c r="X150" s="55">
        <v>0</v>
      </c>
      <c r="Y150" s="56">
        <v>0</v>
      </c>
      <c r="Z150" s="57">
        <v>0</v>
      </c>
    </row>
    <row r="151" spans="1:26" s="30" customFormat="1" ht="18" customHeight="1" x14ac:dyDescent="0.25">
      <c r="A151" s="21" t="s">
        <v>386</v>
      </c>
      <c r="B151" s="22">
        <v>3010250</v>
      </c>
      <c r="C151" s="23" t="s">
        <v>364</v>
      </c>
      <c r="D151" s="22" t="s">
        <v>35</v>
      </c>
      <c r="E151" s="41">
        <v>0</v>
      </c>
      <c r="F151" s="42">
        <v>0</v>
      </c>
      <c r="G151" s="43">
        <v>0</v>
      </c>
      <c r="H151" s="44"/>
      <c r="I151" s="45"/>
      <c r="J151" s="46"/>
      <c r="K151" s="46"/>
      <c r="L151" s="44"/>
      <c r="M151" s="45"/>
      <c r="N151" s="46"/>
      <c r="O151" s="46"/>
      <c r="P151" s="47"/>
      <c r="Q151" s="48"/>
      <c r="R151" s="49"/>
      <c r="S151" s="50">
        <v>0</v>
      </c>
      <c r="T151" s="51">
        <v>0</v>
      </c>
      <c r="U151" s="52">
        <v>0</v>
      </c>
      <c r="V151" s="53">
        <v>0</v>
      </c>
      <c r="W151" s="54">
        <v>0</v>
      </c>
      <c r="X151" s="55">
        <v>0</v>
      </c>
      <c r="Y151" s="56">
        <v>0</v>
      </c>
      <c r="Z151" s="57">
        <v>0</v>
      </c>
    </row>
    <row r="152" spans="1:26" s="30" customFormat="1" ht="18" customHeight="1" x14ac:dyDescent="0.25">
      <c r="A152" s="21" t="s">
        <v>45</v>
      </c>
      <c r="B152" s="22">
        <v>3020040</v>
      </c>
      <c r="C152" s="23" t="s">
        <v>388</v>
      </c>
      <c r="D152" s="22" t="s">
        <v>35</v>
      </c>
      <c r="E152" s="47">
        <v>0</v>
      </c>
      <c r="F152" s="48">
        <v>0</v>
      </c>
      <c r="G152" s="49">
        <v>0</v>
      </c>
      <c r="H152" s="44"/>
      <c r="I152" s="45"/>
      <c r="J152" s="46"/>
      <c r="K152" s="46"/>
      <c r="L152" s="24"/>
      <c r="M152" s="25"/>
      <c r="N152" s="25"/>
      <c r="O152" s="25"/>
      <c r="P152" s="47"/>
      <c r="Q152" s="48"/>
      <c r="R152" s="49"/>
      <c r="S152" s="50">
        <v>0</v>
      </c>
      <c r="T152" s="51">
        <v>0</v>
      </c>
      <c r="U152" s="52">
        <v>0</v>
      </c>
      <c r="V152" s="53">
        <v>0</v>
      </c>
      <c r="W152" s="54">
        <v>0</v>
      </c>
      <c r="X152" s="55">
        <v>0</v>
      </c>
      <c r="Y152" s="47">
        <v>0</v>
      </c>
      <c r="Z152" s="49">
        <v>0</v>
      </c>
    </row>
    <row r="153" spans="1:26" s="30" customFormat="1" ht="18" customHeight="1" x14ac:dyDescent="0.25">
      <c r="A153" s="21" t="s">
        <v>390</v>
      </c>
      <c r="B153" s="22">
        <v>3020060</v>
      </c>
      <c r="C153" s="23" t="s">
        <v>388</v>
      </c>
      <c r="D153" s="22" t="s">
        <v>35</v>
      </c>
      <c r="E153" s="47">
        <v>0</v>
      </c>
      <c r="F153" s="48">
        <v>0</v>
      </c>
      <c r="G153" s="49">
        <v>0</v>
      </c>
      <c r="H153" s="44"/>
      <c r="I153" s="45"/>
      <c r="J153" s="46"/>
      <c r="K153" s="46"/>
      <c r="L153" s="24"/>
      <c r="M153" s="25"/>
      <c r="N153" s="25"/>
      <c r="O153" s="25"/>
      <c r="P153" s="47"/>
      <c r="Q153" s="48"/>
      <c r="R153" s="49"/>
      <c r="S153" s="50">
        <v>0</v>
      </c>
      <c r="T153" s="51">
        <v>0</v>
      </c>
      <c r="U153" s="52">
        <v>0</v>
      </c>
      <c r="V153" s="53">
        <v>0</v>
      </c>
      <c r="W153" s="54">
        <v>0</v>
      </c>
      <c r="X153" s="55">
        <v>0</v>
      </c>
      <c r="Y153" s="47">
        <v>0</v>
      </c>
      <c r="Z153" s="49">
        <v>0</v>
      </c>
    </row>
    <row r="154" spans="1:26" s="30" customFormat="1" ht="18" customHeight="1" x14ac:dyDescent="0.25">
      <c r="A154" s="21" t="s">
        <v>392</v>
      </c>
      <c r="B154" s="22">
        <v>3020100</v>
      </c>
      <c r="C154" s="23" t="s">
        <v>388</v>
      </c>
      <c r="D154" s="22" t="s">
        <v>35</v>
      </c>
      <c r="E154" s="41">
        <v>0</v>
      </c>
      <c r="F154" s="42">
        <v>0</v>
      </c>
      <c r="G154" s="43">
        <v>0</v>
      </c>
      <c r="H154" s="44"/>
      <c r="I154" s="45"/>
      <c r="J154" s="46"/>
      <c r="K154" s="46"/>
      <c r="L154" s="24"/>
      <c r="M154" s="25"/>
      <c r="N154" s="25"/>
      <c r="O154" s="25"/>
      <c r="P154" s="47"/>
      <c r="Q154" s="48"/>
      <c r="R154" s="49"/>
      <c r="S154" s="50">
        <v>0</v>
      </c>
      <c r="T154" s="51">
        <v>0</v>
      </c>
      <c r="U154" s="52">
        <v>0</v>
      </c>
      <c r="V154" s="53">
        <v>0</v>
      </c>
      <c r="W154" s="54">
        <v>0</v>
      </c>
      <c r="X154" s="55">
        <v>0</v>
      </c>
      <c r="Y154" s="56">
        <v>0</v>
      </c>
      <c r="Z154" s="57">
        <v>0</v>
      </c>
    </row>
    <row r="155" spans="1:26" s="30" customFormat="1" ht="18" customHeight="1" x14ac:dyDescent="0.25">
      <c r="A155" s="21" t="s">
        <v>394</v>
      </c>
      <c r="B155" s="22">
        <v>3020140</v>
      </c>
      <c r="C155" s="23" t="s">
        <v>388</v>
      </c>
      <c r="D155" s="22" t="s">
        <v>35</v>
      </c>
      <c r="E155" s="41">
        <v>0</v>
      </c>
      <c r="F155" s="42">
        <v>0</v>
      </c>
      <c r="G155" s="43">
        <v>0</v>
      </c>
      <c r="H155" s="44"/>
      <c r="I155" s="45"/>
      <c r="J155" s="46"/>
      <c r="K155" s="46"/>
      <c r="L155" s="24"/>
      <c r="M155" s="25"/>
      <c r="N155" s="25"/>
      <c r="O155" s="25"/>
      <c r="P155" s="47"/>
      <c r="Q155" s="48"/>
      <c r="R155" s="49"/>
      <c r="S155" s="50">
        <v>0</v>
      </c>
      <c r="T155" s="51">
        <v>0</v>
      </c>
      <c r="U155" s="52">
        <v>0</v>
      </c>
      <c r="V155" s="53">
        <v>0</v>
      </c>
      <c r="W155" s="54">
        <v>0</v>
      </c>
      <c r="X155" s="55">
        <v>0</v>
      </c>
      <c r="Y155" s="56">
        <v>0</v>
      </c>
      <c r="Z155" s="57">
        <v>0</v>
      </c>
    </row>
    <row r="156" spans="1:26" s="30" customFormat="1" ht="18" customHeight="1" x14ac:dyDescent="0.25">
      <c r="A156" s="21" t="s">
        <v>45</v>
      </c>
      <c r="B156" s="22">
        <v>3020401</v>
      </c>
      <c r="C156" s="23" t="s">
        <v>388</v>
      </c>
      <c r="D156" s="22" t="s">
        <v>46</v>
      </c>
      <c r="E156" s="41">
        <v>0</v>
      </c>
      <c r="F156" s="42">
        <v>0</v>
      </c>
      <c r="G156" s="43">
        <v>0</v>
      </c>
      <c r="H156" s="24"/>
      <c r="I156" s="25"/>
      <c r="J156" s="25"/>
      <c r="K156" s="25"/>
      <c r="L156" s="24"/>
      <c r="M156" s="25"/>
      <c r="N156" s="25"/>
      <c r="O156" s="25"/>
      <c r="P156" s="47"/>
      <c r="Q156" s="48"/>
      <c r="R156" s="49"/>
      <c r="S156" s="50">
        <v>0</v>
      </c>
      <c r="T156" s="51">
        <v>0</v>
      </c>
      <c r="U156" s="52">
        <v>0</v>
      </c>
      <c r="V156" s="58">
        <v>0</v>
      </c>
      <c r="W156" s="48">
        <v>0</v>
      </c>
      <c r="X156" s="49">
        <v>0</v>
      </c>
      <c r="Y156" s="56">
        <v>0</v>
      </c>
      <c r="Z156" s="57">
        <v>0</v>
      </c>
    </row>
    <row r="157" spans="1:26" s="30" customFormat="1" ht="18" customHeight="1" x14ac:dyDescent="0.25">
      <c r="A157" s="21" t="s">
        <v>390</v>
      </c>
      <c r="B157" s="22">
        <v>3020456</v>
      </c>
      <c r="C157" s="23" t="s">
        <v>388</v>
      </c>
      <c r="D157" s="22" t="s">
        <v>46</v>
      </c>
      <c r="E157" s="41">
        <v>0</v>
      </c>
      <c r="F157" s="42">
        <v>0</v>
      </c>
      <c r="G157" s="43">
        <v>0</v>
      </c>
      <c r="H157" s="24"/>
      <c r="I157" s="25"/>
      <c r="J157" s="25"/>
      <c r="K157" s="25"/>
      <c r="L157" s="24"/>
      <c r="M157" s="25"/>
      <c r="N157" s="25"/>
      <c r="O157" s="25"/>
      <c r="P157" s="47"/>
      <c r="Q157" s="48"/>
      <c r="R157" s="49"/>
      <c r="S157" s="50">
        <v>0</v>
      </c>
      <c r="T157" s="51">
        <v>0</v>
      </c>
      <c r="U157" s="52">
        <v>0</v>
      </c>
      <c r="V157" s="58">
        <v>0</v>
      </c>
      <c r="W157" s="48">
        <v>0</v>
      </c>
      <c r="X157" s="49">
        <v>0</v>
      </c>
      <c r="Y157" s="56">
        <v>0</v>
      </c>
      <c r="Z157" s="57">
        <v>0</v>
      </c>
    </row>
    <row r="158" spans="1:26" s="30" customFormat="1" ht="18" customHeight="1" x14ac:dyDescent="0.25">
      <c r="A158" s="21" t="s">
        <v>397</v>
      </c>
      <c r="B158" s="22">
        <v>3030030</v>
      </c>
      <c r="C158" s="23" t="s">
        <v>398</v>
      </c>
      <c r="D158" s="22" t="s">
        <v>352</v>
      </c>
      <c r="E158" s="41">
        <v>0</v>
      </c>
      <c r="F158" s="42">
        <v>0</v>
      </c>
      <c r="G158" s="43">
        <v>0</v>
      </c>
      <c r="H158" s="24"/>
      <c r="I158" s="25"/>
      <c r="J158" s="25"/>
      <c r="K158" s="25"/>
      <c r="L158" s="24"/>
      <c r="M158" s="25"/>
      <c r="N158" s="25"/>
      <c r="O158" s="25"/>
      <c r="P158" s="47"/>
      <c r="Q158" s="48"/>
      <c r="R158" s="49"/>
      <c r="S158" s="50">
        <v>0</v>
      </c>
      <c r="T158" s="51">
        <v>0</v>
      </c>
      <c r="U158" s="52">
        <v>0</v>
      </c>
      <c r="V158" s="53">
        <v>0</v>
      </c>
      <c r="W158" s="54">
        <v>0</v>
      </c>
      <c r="X158" s="55">
        <v>0</v>
      </c>
      <c r="Y158" s="47">
        <v>0</v>
      </c>
      <c r="Z158" s="49">
        <v>0</v>
      </c>
    </row>
    <row r="159" spans="1:26" s="30" customFormat="1" ht="18" customHeight="1" x14ac:dyDescent="0.25">
      <c r="A159" s="21" t="s">
        <v>400</v>
      </c>
      <c r="B159" s="22">
        <v>3030060</v>
      </c>
      <c r="C159" s="23" t="s">
        <v>398</v>
      </c>
      <c r="D159" s="22" t="s">
        <v>401</v>
      </c>
      <c r="E159" s="41">
        <v>0</v>
      </c>
      <c r="F159" s="42">
        <v>0</v>
      </c>
      <c r="G159" s="43">
        <v>0</v>
      </c>
      <c r="H159" s="24"/>
      <c r="I159" s="25"/>
      <c r="J159" s="25"/>
      <c r="K159" s="25"/>
      <c r="L159" s="24"/>
      <c r="M159" s="25"/>
      <c r="N159" s="25"/>
      <c r="O159" s="25"/>
      <c r="P159" s="47"/>
      <c r="Q159" s="48"/>
      <c r="R159" s="49"/>
      <c r="S159" s="50">
        <v>0</v>
      </c>
      <c r="T159" s="51">
        <v>0</v>
      </c>
      <c r="U159" s="52">
        <v>0</v>
      </c>
      <c r="V159" s="53">
        <v>0</v>
      </c>
      <c r="W159" s="54">
        <v>0</v>
      </c>
      <c r="X159" s="55">
        <v>0</v>
      </c>
      <c r="Y159" s="47">
        <v>0</v>
      </c>
      <c r="Z159" s="49">
        <v>0</v>
      </c>
    </row>
    <row r="160" spans="1:26" s="30" customFormat="1" ht="18" customHeight="1" x14ac:dyDescent="0.25">
      <c r="A160" s="21" t="s">
        <v>397</v>
      </c>
      <c r="B160" s="22">
        <v>3030143</v>
      </c>
      <c r="C160" s="23" t="s">
        <v>398</v>
      </c>
      <c r="D160" s="22" t="s">
        <v>355</v>
      </c>
      <c r="E160" s="41">
        <v>0</v>
      </c>
      <c r="F160" s="42">
        <v>0</v>
      </c>
      <c r="G160" s="43">
        <v>0</v>
      </c>
      <c r="H160" s="24"/>
      <c r="I160" s="25"/>
      <c r="J160" s="25"/>
      <c r="K160" s="25"/>
      <c r="L160" s="24"/>
      <c r="M160" s="25"/>
      <c r="N160" s="25"/>
      <c r="O160" s="25"/>
      <c r="P160" s="47"/>
      <c r="Q160" s="48"/>
      <c r="R160" s="49"/>
      <c r="S160" s="50">
        <v>0</v>
      </c>
      <c r="T160" s="51">
        <v>0</v>
      </c>
      <c r="U160" s="52">
        <v>0</v>
      </c>
      <c r="V160" s="53">
        <v>0</v>
      </c>
      <c r="W160" s="54">
        <v>0</v>
      </c>
      <c r="X160" s="55">
        <v>0</v>
      </c>
      <c r="Y160" s="47">
        <v>0</v>
      </c>
      <c r="Z160" s="49">
        <v>0</v>
      </c>
    </row>
    <row r="161" spans="1:26" s="30" customFormat="1" ht="18" customHeight="1" x14ac:dyDescent="0.25">
      <c r="A161" s="21" t="s">
        <v>397</v>
      </c>
      <c r="B161" s="22">
        <v>3030157</v>
      </c>
      <c r="C161" s="23" t="s">
        <v>398</v>
      </c>
      <c r="D161" s="22" t="s">
        <v>401</v>
      </c>
      <c r="E161" s="41">
        <v>0</v>
      </c>
      <c r="F161" s="42">
        <v>0</v>
      </c>
      <c r="G161" s="43">
        <v>0</v>
      </c>
      <c r="H161" s="24"/>
      <c r="I161" s="25"/>
      <c r="J161" s="25"/>
      <c r="K161" s="25"/>
      <c r="L161" s="24"/>
      <c r="M161" s="25"/>
      <c r="N161" s="25"/>
      <c r="O161" s="25"/>
      <c r="P161" s="47"/>
      <c r="Q161" s="48"/>
      <c r="R161" s="49"/>
      <c r="S161" s="50">
        <v>0</v>
      </c>
      <c r="T161" s="51">
        <v>0</v>
      </c>
      <c r="U161" s="52">
        <v>0</v>
      </c>
      <c r="V161" s="58">
        <v>0</v>
      </c>
      <c r="W161" s="48">
        <v>0</v>
      </c>
      <c r="X161" s="49">
        <v>0</v>
      </c>
      <c r="Y161" s="56">
        <v>0</v>
      </c>
      <c r="Z161" s="57">
        <v>0</v>
      </c>
    </row>
    <row r="162" spans="1:26" s="30" customFormat="1" ht="18" customHeight="1" x14ac:dyDescent="0.25">
      <c r="A162" s="21" t="s">
        <v>382</v>
      </c>
      <c r="B162" s="22">
        <v>3030167</v>
      </c>
      <c r="C162" s="23" t="s">
        <v>398</v>
      </c>
      <c r="D162" s="22" t="s">
        <v>352</v>
      </c>
      <c r="E162" s="41">
        <v>0</v>
      </c>
      <c r="F162" s="42">
        <v>0</v>
      </c>
      <c r="G162" s="43">
        <v>0</v>
      </c>
      <c r="H162" s="24"/>
      <c r="I162" s="25"/>
      <c r="J162" s="25"/>
      <c r="K162" s="25"/>
      <c r="L162" s="24"/>
      <c r="M162" s="25"/>
      <c r="N162" s="25"/>
      <c r="O162" s="25"/>
      <c r="P162" s="47"/>
      <c r="Q162" s="48"/>
      <c r="R162" s="49"/>
      <c r="S162" s="50">
        <v>0</v>
      </c>
      <c r="T162" s="51">
        <v>0</v>
      </c>
      <c r="U162" s="52">
        <v>0</v>
      </c>
      <c r="V162" s="58">
        <v>0</v>
      </c>
      <c r="W162" s="48">
        <v>0</v>
      </c>
      <c r="X162" s="49">
        <v>0</v>
      </c>
      <c r="Y162" s="56">
        <v>0</v>
      </c>
      <c r="Z162" s="57">
        <v>0</v>
      </c>
    </row>
    <row r="163" spans="1:26" s="30" customFormat="1" ht="18" customHeight="1" x14ac:dyDescent="0.25">
      <c r="A163" s="21" t="s">
        <v>397</v>
      </c>
      <c r="B163" s="22">
        <v>3030211</v>
      </c>
      <c r="C163" s="23" t="s">
        <v>398</v>
      </c>
      <c r="D163" s="22" t="s">
        <v>361</v>
      </c>
      <c r="E163" s="41">
        <v>0</v>
      </c>
      <c r="F163" s="42">
        <v>0</v>
      </c>
      <c r="G163" s="43">
        <v>0</v>
      </c>
      <c r="H163" s="24"/>
      <c r="I163" s="25"/>
      <c r="J163" s="25"/>
      <c r="K163" s="25"/>
      <c r="L163" s="24"/>
      <c r="M163" s="25"/>
      <c r="N163" s="25"/>
      <c r="O163" s="25"/>
      <c r="P163" s="47"/>
      <c r="Q163" s="48"/>
      <c r="R163" s="49"/>
      <c r="S163" s="50">
        <v>0</v>
      </c>
      <c r="T163" s="51">
        <v>0</v>
      </c>
      <c r="U163" s="52">
        <v>0</v>
      </c>
      <c r="V163" s="53">
        <v>0</v>
      </c>
      <c r="W163" s="54">
        <v>0</v>
      </c>
      <c r="X163" s="55">
        <v>0</v>
      </c>
      <c r="Y163" s="56">
        <v>0</v>
      </c>
      <c r="Z163" s="57">
        <v>0</v>
      </c>
    </row>
    <row r="164" spans="1:26" s="30" customFormat="1" ht="18" customHeight="1" x14ac:dyDescent="0.25">
      <c r="A164" s="21" t="s">
        <v>407</v>
      </c>
      <c r="B164" s="22">
        <v>3510010</v>
      </c>
      <c r="C164" s="23" t="s">
        <v>408</v>
      </c>
      <c r="D164" s="22" t="s">
        <v>35</v>
      </c>
      <c r="E164" s="41">
        <v>0</v>
      </c>
      <c r="F164" s="42">
        <v>0</v>
      </c>
      <c r="G164" s="43">
        <v>0</v>
      </c>
      <c r="H164" s="44"/>
      <c r="I164" s="45"/>
      <c r="J164" s="46"/>
      <c r="K164" s="46"/>
      <c r="L164" s="24"/>
      <c r="M164" s="25"/>
      <c r="N164" s="25"/>
      <c r="O164" s="25"/>
      <c r="P164" s="47"/>
      <c r="Q164" s="48"/>
      <c r="R164" s="49"/>
      <c r="S164" s="50">
        <v>0</v>
      </c>
      <c r="T164" s="51">
        <v>0</v>
      </c>
      <c r="U164" s="52">
        <v>0</v>
      </c>
      <c r="V164" s="53">
        <v>0</v>
      </c>
      <c r="W164" s="54">
        <v>0</v>
      </c>
      <c r="X164" s="55">
        <v>0</v>
      </c>
      <c r="Y164" s="56">
        <v>0</v>
      </c>
      <c r="Z164" s="57">
        <v>0</v>
      </c>
    </row>
    <row r="165" spans="1:26" s="30" customFormat="1" ht="18" customHeight="1" x14ac:dyDescent="0.25">
      <c r="A165" s="21" t="s">
        <v>410</v>
      </c>
      <c r="B165" s="22">
        <v>3510020</v>
      </c>
      <c r="C165" s="23" t="s">
        <v>408</v>
      </c>
      <c r="D165" s="22" t="s">
        <v>35</v>
      </c>
      <c r="E165" s="41">
        <v>0</v>
      </c>
      <c r="F165" s="42">
        <v>0</v>
      </c>
      <c r="G165" s="43">
        <v>0</v>
      </c>
      <c r="H165" s="24"/>
      <c r="I165" s="25"/>
      <c r="J165" s="25"/>
      <c r="K165" s="25"/>
      <c r="L165" s="24"/>
      <c r="M165" s="25"/>
      <c r="N165" s="25"/>
      <c r="O165" s="25"/>
      <c r="P165" s="47"/>
      <c r="Q165" s="48"/>
      <c r="R165" s="49"/>
      <c r="S165" s="50">
        <v>0</v>
      </c>
      <c r="T165" s="51">
        <v>0</v>
      </c>
      <c r="U165" s="52">
        <v>0</v>
      </c>
      <c r="V165" s="53">
        <v>0</v>
      </c>
      <c r="W165" s="54">
        <v>0</v>
      </c>
      <c r="X165" s="55">
        <v>0</v>
      </c>
      <c r="Y165" s="47">
        <v>0</v>
      </c>
      <c r="Z165" s="49">
        <v>0</v>
      </c>
    </row>
    <row r="166" spans="1:26" s="30" customFormat="1" ht="18" customHeight="1" x14ac:dyDescent="0.25">
      <c r="A166" s="21" t="s">
        <v>412</v>
      </c>
      <c r="B166" s="22">
        <v>3510035</v>
      </c>
      <c r="C166" s="23" t="s">
        <v>408</v>
      </c>
      <c r="D166" s="22" t="s">
        <v>35</v>
      </c>
      <c r="E166" s="41">
        <v>0</v>
      </c>
      <c r="F166" s="42">
        <v>0</v>
      </c>
      <c r="G166" s="43">
        <v>0</v>
      </c>
      <c r="H166" s="24"/>
      <c r="I166" s="25"/>
      <c r="J166" s="25"/>
      <c r="K166" s="25"/>
      <c r="L166" s="24"/>
      <c r="M166" s="25"/>
      <c r="N166" s="25"/>
      <c r="O166" s="25"/>
      <c r="P166" s="47"/>
      <c r="Q166" s="48"/>
      <c r="R166" s="49"/>
      <c r="S166" s="50">
        <v>0</v>
      </c>
      <c r="T166" s="51">
        <v>0</v>
      </c>
      <c r="U166" s="52">
        <v>0</v>
      </c>
      <c r="V166" s="53">
        <v>0</v>
      </c>
      <c r="W166" s="54">
        <v>0</v>
      </c>
      <c r="X166" s="55">
        <v>0</v>
      </c>
      <c r="Y166" s="47">
        <v>0</v>
      </c>
      <c r="Z166" s="49">
        <v>0</v>
      </c>
    </row>
    <row r="167" spans="1:26" s="30" customFormat="1" ht="18" customHeight="1" x14ac:dyDescent="0.25">
      <c r="A167" s="21" t="s">
        <v>414</v>
      </c>
      <c r="B167" s="22">
        <v>3510060</v>
      </c>
      <c r="C167" s="23" t="s">
        <v>408</v>
      </c>
      <c r="D167" s="22" t="s">
        <v>415</v>
      </c>
      <c r="E167" s="41">
        <v>0</v>
      </c>
      <c r="F167" s="42">
        <v>0</v>
      </c>
      <c r="G167" s="43">
        <v>0</v>
      </c>
      <c r="H167" s="24"/>
      <c r="I167" s="25"/>
      <c r="J167" s="25"/>
      <c r="K167" s="25"/>
      <c r="L167" s="24"/>
      <c r="M167" s="25"/>
      <c r="N167" s="25"/>
      <c r="O167" s="25"/>
      <c r="P167" s="47"/>
      <c r="Q167" s="48"/>
      <c r="R167" s="49"/>
      <c r="S167" s="50">
        <v>0</v>
      </c>
      <c r="T167" s="51">
        <v>0</v>
      </c>
      <c r="U167" s="52">
        <v>0</v>
      </c>
      <c r="V167" s="58">
        <v>0</v>
      </c>
      <c r="W167" s="48">
        <v>0</v>
      </c>
      <c r="X167" s="49">
        <v>0</v>
      </c>
      <c r="Y167" s="56">
        <v>0</v>
      </c>
      <c r="Z167" s="57">
        <v>0</v>
      </c>
    </row>
    <row r="168" spans="1:26" s="30" customFormat="1" ht="18" customHeight="1" x14ac:dyDescent="0.25">
      <c r="A168" s="21" t="s">
        <v>417</v>
      </c>
      <c r="B168" s="22">
        <v>3510070</v>
      </c>
      <c r="C168" s="23" t="s">
        <v>408</v>
      </c>
      <c r="D168" s="22" t="s">
        <v>415</v>
      </c>
      <c r="E168" s="47">
        <v>0</v>
      </c>
      <c r="F168" s="48">
        <v>0</v>
      </c>
      <c r="G168" s="49">
        <v>0</v>
      </c>
      <c r="H168" s="44"/>
      <c r="I168" s="45"/>
      <c r="J168" s="46"/>
      <c r="K168" s="46"/>
      <c r="L168" s="24"/>
      <c r="M168" s="25"/>
      <c r="N168" s="25"/>
      <c r="O168" s="25"/>
      <c r="P168" s="47"/>
      <c r="Q168" s="48"/>
      <c r="R168" s="49"/>
      <c r="S168" s="50">
        <v>0</v>
      </c>
      <c r="T168" s="51">
        <v>0</v>
      </c>
      <c r="U168" s="52">
        <v>0</v>
      </c>
      <c r="V168" s="53">
        <v>0</v>
      </c>
      <c r="W168" s="54">
        <v>0</v>
      </c>
      <c r="X168" s="55">
        <v>0</v>
      </c>
      <c r="Y168" s="47">
        <v>0</v>
      </c>
      <c r="Z168" s="49">
        <v>0</v>
      </c>
    </row>
    <row r="169" spans="1:26" s="30" customFormat="1" ht="18" customHeight="1" x14ac:dyDescent="0.25">
      <c r="A169" s="21" t="s">
        <v>419</v>
      </c>
      <c r="B169" s="22">
        <v>3510086</v>
      </c>
      <c r="C169" s="23" t="s">
        <v>408</v>
      </c>
      <c r="D169" s="22" t="s">
        <v>35</v>
      </c>
      <c r="E169" s="41">
        <v>0</v>
      </c>
      <c r="F169" s="42">
        <v>0</v>
      </c>
      <c r="G169" s="43">
        <v>0</v>
      </c>
      <c r="H169" s="24"/>
      <c r="I169" s="25"/>
      <c r="J169" s="25"/>
      <c r="K169" s="25"/>
      <c r="L169" s="24"/>
      <c r="M169" s="25"/>
      <c r="N169" s="25"/>
      <c r="O169" s="25"/>
      <c r="P169" s="47"/>
      <c r="Q169" s="48"/>
      <c r="R169" s="49"/>
      <c r="S169" s="50">
        <v>0</v>
      </c>
      <c r="T169" s="51">
        <v>0</v>
      </c>
      <c r="U169" s="52">
        <v>0</v>
      </c>
      <c r="V169" s="53">
        <v>0</v>
      </c>
      <c r="W169" s="54">
        <v>0</v>
      </c>
      <c r="X169" s="55">
        <v>0</v>
      </c>
      <c r="Y169" s="47">
        <v>0</v>
      </c>
      <c r="Z169" s="49">
        <v>0</v>
      </c>
    </row>
    <row r="170" spans="1:26" s="30" customFormat="1" ht="18" customHeight="1" x14ac:dyDescent="0.25">
      <c r="A170" s="21" t="s">
        <v>421</v>
      </c>
      <c r="B170" s="22">
        <v>35101510</v>
      </c>
      <c r="C170" s="23" t="s">
        <v>408</v>
      </c>
      <c r="D170" s="22" t="s">
        <v>314</v>
      </c>
      <c r="E170" s="41">
        <v>0</v>
      </c>
      <c r="F170" s="42">
        <v>0</v>
      </c>
      <c r="G170" s="43">
        <v>0</v>
      </c>
      <c r="H170" s="24"/>
      <c r="I170" s="25"/>
      <c r="J170" s="25"/>
      <c r="K170" s="25"/>
      <c r="L170" s="24"/>
      <c r="M170" s="25"/>
      <c r="N170" s="25"/>
      <c r="O170" s="25"/>
      <c r="P170" s="47"/>
      <c r="Q170" s="48"/>
      <c r="R170" s="49"/>
      <c r="S170" s="50">
        <v>0</v>
      </c>
      <c r="T170" s="51">
        <v>0</v>
      </c>
      <c r="U170" s="52">
        <v>0</v>
      </c>
      <c r="V170" s="53">
        <v>0</v>
      </c>
      <c r="W170" s="54">
        <v>0</v>
      </c>
      <c r="X170" s="55">
        <v>0</v>
      </c>
      <c r="Y170" s="47">
        <v>0</v>
      </c>
      <c r="Z170" s="49">
        <v>0</v>
      </c>
    </row>
    <row r="171" spans="1:26" s="30" customFormat="1" ht="18" customHeight="1" x14ac:dyDescent="0.25">
      <c r="A171" s="21" t="s">
        <v>423</v>
      </c>
      <c r="B171" s="22">
        <v>3520020</v>
      </c>
      <c r="C171" s="23" t="s">
        <v>424</v>
      </c>
      <c r="D171" s="22" t="s">
        <v>35</v>
      </c>
      <c r="E171" s="41">
        <v>0</v>
      </c>
      <c r="F171" s="42">
        <v>0</v>
      </c>
      <c r="G171" s="43">
        <v>0</v>
      </c>
      <c r="H171" s="44"/>
      <c r="I171" s="45"/>
      <c r="J171" s="46"/>
      <c r="K171" s="46"/>
      <c r="L171" s="24"/>
      <c r="M171" s="25"/>
      <c r="N171" s="25"/>
      <c r="O171" s="25"/>
      <c r="P171" s="47"/>
      <c r="Q171" s="48"/>
      <c r="R171" s="49"/>
      <c r="S171" s="50">
        <v>0</v>
      </c>
      <c r="T171" s="51">
        <v>0</v>
      </c>
      <c r="U171" s="52">
        <v>0</v>
      </c>
      <c r="V171" s="53">
        <v>0</v>
      </c>
      <c r="W171" s="54">
        <v>0</v>
      </c>
      <c r="X171" s="55">
        <v>0</v>
      </c>
      <c r="Y171" s="56">
        <v>0</v>
      </c>
      <c r="Z171" s="57">
        <v>0</v>
      </c>
    </row>
    <row r="172" spans="1:26" s="30" customFormat="1" ht="18" customHeight="1" x14ac:dyDescent="0.25">
      <c r="A172" s="21" t="s">
        <v>426</v>
      </c>
      <c r="B172" s="22">
        <v>3520060</v>
      </c>
      <c r="C172" s="23" t="s">
        <v>424</v>
      </c>
      <c r="D172" s="22" t="s">
        <v>35</v>
      </c>
      <c r="E172" s="41">
        <v>0</v>
      </c>
      <c r="F172" s="42">
        <v>0</v>
      </c>
      <c r="G172" s="43">
        <v>0</v>
      </c>
      <c r="H172" s="24"/>
      <c r="I172" s="25"/>
      <c r="J172" s="25"/>
      <c r="K172" s="25"/>
      <c r="L172" s="44"/>
      <c r="M172" s="45"/>
      <c r="N172" s="46"/>
      <c r="O172" s="46"/>
      <c r="P172" s="47"/>
      <c r="Q172" s="48"/>
      <c r="R172" s="49"/>
      <c r="S172" s="50">
        <v>0</v>
      </c>
      <c r="T172" s="51">
        <v>0</v>
      </c>
      <c r="U172" s="52">
        <v>0</v>
      </c>
      <c r="V172" s="58">
        <v>0</v>
      </c>
      <c r="W172" s="48">
        <v>0</v>
      </c>
      <c r="X172" s="49">
        <v>0</v>
      </c>
      <c r="Y172" s="56">
        <v>0</v>
      </c>
      <c r="Z172" s="57">
        <v>0</v>
      </c>
    </row>
    <row r="173" spans="1:26" s="30" customFormat="1" ht="18" customHeight="1" x14ac:dyDescent="0.25">
      <c r="A173" s="21" t="s">
        <v>428</v>
      </c>
      <c r="B173" s="22">
        <v>3520080</v>
      </c>
      <c r="C173" s="23" t="s">
        <v>424</v>
      </c>
      <c r="D173" s="22" t="s">
        <v>35</v>
      </c>
      <c r="E173" s="41">
        <v>0</v>
      </c>
      <c r="F173" s="42">
        <v>0</v>
      </c>
      <c r="G173" s="43">
        <v>0</v>
      </c>
      <c r="H173" s="24"/>
      <c r="I173" s="25"/>
      <c r="J173" s="25"/>
      <c r="K173" s="25"/>
      <c r="L173" s="24"/>
      <c r="M173" s="25"/>
      <c r="N173" s="25"/>
      <c r="O173" s="25"/>
      <c r="P173" s="47"/>
      <c r="Q173" s="48"/>
      <c r="R173" s="49"/>
      <c r="S173" s="50">
        <v>0</v>
      </c>
      <c r="T173" s="51">
        <v>0</v>
      </c>
      <c r="U173" s="52">
        <v>0</v>
      </c>
      <c r="V173" s="53">
        <v>0</v>
      </c>
      <c r="W173" s="54">
        <v>0</v>
      </c>
      <c r="X173" s="55">
        <v>0</v>
      </c>
      <c r="Y173" s="56">
        <v>0</v>
      </c>
      <c r="Z173" s="57">
        <v>0</v>
      </c>
    </row>
    <row r="174" spans="1:26" s="30" customFormat="1" ht="18" customHeight="1" x14ac:dyDescent="0.25">
      <c r="A174" s="21" t="s">
        <v>430</v>
      </c>
      <c r="B174" s="22">
        <v>3530010</v>
      </c>
      <c r="C174" s="23" t="s">
        <v>431</v>
      </c>
      <c r="D174" s="22" t="s">
        <v>35</v>
      </c>
      <c r="E174" s="41">
        <v>0</v>
      </c>
      <c r="F174" s="42">
        <v>0</v>
      </c>
      <c r="G174" s="43">
        <v>0</v>
      </c>
      <c r="H174" s="24"/>
      <c r="I174" s="25"/>
      <c r="J174" s="25"/>
      <c r="K174" s="25"/>
      <c r="L174" s="24"/>
      <c r="M174" s="25"/>
      <c r="N174" s="25"/>
      <c r="O174" s="25"/>
      <c r="P174" s="47"/>
      <c r="Q174" s="48"/>
      <c r="R174" s="49"/>
      <c r="S174" s="50">
        <v>0</v>
      </c>
      <c r="T174" s="51">
        <v>0</v>
      </c>
      <c r="U174" s="52">
        <v>0</v>
      </c>
      <c r="V174" s="58">
        <v>0</v>
      </c>
      <c r="W174" s="48">
        <v>0</v>
      </c>
      <c r="X174" s="49">
        <v>0</v>
      </c>
      <c r="Y174" s="56">
        <v>0</v>
      </c>
      <c r="Z174" s="57">
        <v>0</v>
      </c>
    </row>
    <row r="175" spans="1:26" s="30" customFormat="1" ht="18" customHeight="1" x14ac:dyDescent="0.25">
      <c r="A175" s="21" t="s">
        <v>433</v>
      </c>
      <c r="B175" s="22">
        <v>3530040</v>
      </c>
      <c r="C175" s="23" t="s">
        <v>431</v>
      </c>
      <c r="D175" s="22" t="s">
        <v>415</v>
      </c>
      <c r="E175" s="41">
        <v>0</v>
      </c>
      <c r="F175" s="42">
        <v>0</v>
      </c>
      <c r="G175" s="43">
        <v>0</v>
      </c>
      <c r="H175" s="24"/>
      <c r="I175" s="25"/>
      <c r="J175" s="25"/>
      <c r="K175" s="25"/>
      <c r="L175" s="24"/>
      <c r="M175" s="25"/>
      <c r="N175" s="25"/>
      <c r="O175" s="25"/>
      <c r="P175" s="47"/>
      <c r="Q175" s="48"/>
      <c r="R175" s="49"/>
      <c r="S175" s="50">
        <v>0</v>
      </c>
      <c r="T175" s="51">
        <v>0</v>
      </c>
      <c r="U175" s="52">
        <v>0</v>
      </c>
      <c r="V175" s="53">
        <v>0</v>
      </c>
      <c r="W175" s="54">
        <v>0</v>
      </c>
      <c r="X175" s="55">
        <v>0</v>
      </c>
      <c r="Y175" s="47">
        <v>0</v>
      </c>
      <c r="Z175" s="49">
        <v>0</v>
      </c>
    </row>
    <row r="176" spans="1:26" s="30" customFormat="1" ht="18" customHeight="1" x14ac:dyDescent="0.25">
      <c r="A176" s="21" t="s">
        <v>435</v>
      </c>
      <c r="B176" s="22">
        <v>3530080</v>
      </c>
      <c r="C176" s="23" t="s">
        <v>431</v>
      </c>
      <c r="D176" s="22" t="s">
        <v>35</v>
      </c>
      <c r="E176" s="41">
        <v>0</v>
      </c>
      <c r="F176" s="42">
        <v>0</v>
      </c>
      <c r="G176" s="43">
        <v>0</v>
      </c>
      <c r="H176" s="44"/>
      <c r="I176" s="45"/>
      <c r="J176" s="46"/>
      <c r="K176" s="46"/>
      <c r="L176" s="24"/>
      <c r="M176" s="25"/>
      <c r="N176" s="25"/>
      <c r="O176" s="25"/>
      <c r="P176" s="47"/>
      <c r="Q176" s="48"/>
      <c r="R176" s="49"/>
      <c r="S176" s="50">
        <v>0</v>
      </c>
      <c r="T176" s="51">
        <v>0</v>
      </c>
      <c r="U176" s="52">
        <v>0</v>
      </c>
      <c r="V176" s="58">
        <v>0</v>
      </c>
      <c r="W176" s="48">
        <v>0</v>
      </c>
      <c r="X176" s="49">
        <v>0</v>
      </c>
      <c r="Y176" s="56">
        <v>0</v>
      </c>
      <c r="Z176" s="57">
        <v>0</v>
      </c>
    </row>
    <row r="177" spans="1:26" s="30" customFormat="1" ht="18" customHeight="1" x14ac:dyDescent="0.25">
      <c r="A177" s="21" t="s">
        <v>437</v>
      </c>
      <c r="B177" s="22">
        <v>3540035</v>
      </c>
      <c r="C177" s="23" t="s">
        <v>438</v>
      </c>
      <c r="D177" s="22" t="s">
        <v>35</v>
      </c>
      <c r="E177" s="41">
        <v>0</v>
      </c>
      <c r="F177" s="42">
        <v>0</v>
      </c>
      <c r="G177" s="43">
        <v>0</v>
      </c>
      <c r="H177" s="24"/>
      <c r="I177" s="25"/>
      <c r="J177" s="25"/>
      <c r="K177" s="25"/>
      <c r="L177" s="24"/>
      <c r="M177" s="25"/>
      <c r="N177" s="25"/>
      <c r="O177" s="25"/>
      <c r="P177" s="47"/>
      <c r="Q177" s="48"/>
      <c r="R177" s="49"/>
      <c r="S177" s="50">
        <v>0</v>
      </c>
      <c r="T177" s="51">
        <v>0</v>
      </c>
      <c r="U177" s="52">
        <v>0</v>
      </c>
      <c r="V177" s="58">
        <v>0</v>
      </c>
      <c r="W177" s="48">
        <v>0</v>
      </c>
      <c r="X177" s="49">
        <v>0</v>
      </c>
      <c r="Y177" s="56">
        <v>0</v>
      </c>
      <c r="Z177" s="57">
        <v>0</v>
      </c>
    </row>
    <row r="178" spans="1:26" s="30" customFormat="1" ht="18" customHeight="1" x14ac:dyDescent="0.25">
      <c r="A178" s="21" t="s">
        <v>440</v>
      </c>
      <c r="B178" s="22">
        <v>35401152</v>
      </c>
      <c r="C178" s="23" t="s">
        <v>438</v>
      </c>
      <c r="D178" s="22" t="s">
        <v>441</v>
      </c>
      <c r="E178" s="41">
        <v>0</v>
      </c>
      <c r="F178" s="42">
        <v>0</v>
      </c>
      <c r="G178" s="43">
        <v>0</v>
      </c>
      <c r="H178" s="24"/>
      <c r="I178" s="25"/>
      <c r="J178" s="25"/>
      <c r="K178" s="25"/>
      <c r="L178" s="24"/>
      <c r="M178" s="25"/>
      <c r="N178" s="25"/>
      <c r="O178" s="25"/>
      <c r="P178" s="47"/>
      <c r="Q178" s="48"/>
      <c r="R178" s="49"/>
      <c r="S178" s="50">
        <v>0</v>
      </c>
      <c r="T178" s="51">
        <v>0</v>
      </c>
      <c r="U178" s="52">
        <v>0</v>
      </c>
      <c r="V178" s="53">
        <v>0</v>
      </c>
      <c r="W178" s="54">
        <v>0</v>
      </c>
      <c r="X178" s="55">
        <v>0</v>
      </c>
      <c r="Y178" s="47">
        <v>0</v>
      </c>
      <c r="Z178" s="49">
        <v>0</v>
      </c>
    </row>
    <row r="179" spans="1:26" s="30" customFormat="1" ht="18" customHeight="1" x14ac:dyDescent="0.25">
      <c r="A179" s="21" t="s">
        <v>57</v>
      </c>
      <c r="B179" s="22">
        <v>3540150</v>
      </c>
      <c r="C179" s="23" t="s">
        <v>438</v>
      </c>
      <c r="D179" s="22" t="s">
        <v>58</v>
      </c>
      <c r="E179" s="41">
        <v>0</v>
      </c>
      <c r="F179" s="42">
        <v>0</v>
      </c>
      <c r="G179" s="43">
        <v>0</v>
      </c>
      <c r="H179" s="44"/>
      <c r="I179" s="45"/>
      <c r="J179" s="46"/>
      <c r="K179" s="46"/>
      <c r="L179" s="24"/>
      <c r="M179" s="25"/>
      <c r="N179" s="25"/>
      <c r="O179" s="25"/>
      <c r="P179" s="47"/>
      <c r="Q179" s="48"/>
      <c r="R179" s="49"/>
      <c r="S179" s="50">
        <v>0</v>
      </c>
      <c r="T179" s="51">
        <v>0</v>
      </c>
      <c r="U179" s="52">
        <v>0</v>
      </c>
      <c r="V179" s="53">
        <v>0</v>
      </c>
      <c r="W179" s="54">
        <v>0</v>
      </c>
      <c r="X179" s="55">
        <v>0</v>
      </c>
      <c r="Y179" s="56">
        <v>0</v>
      </c>
      <c r="Z179" s="57">
        <v>0</v>
      </c>
    </row>
    <row r="180" spans="1:26" s="30" customFormat="1" ht="18" customHeight="1" x14ac:dyDescent="0.25">
      <c r="A180" s="21" t="s">
        <v>443</v>
      </c>
      <c r="B180" s="22">
        <v>3540167</v>
      </c>
      <c r="C180" s="23" t="s">
        <v>438</v>
      </c>
      <c r="D180" s="22" t="s">
        <v>415</v>
      </c>
      <c r="E180" s="41">
        <v>0</v>
      </c>
      <c r="F180" s="42">
        <v>0</v>
      </c>
      <c r="G180" s="43">
        <v>0</v>
      </c>
      <c r="H180" s="24"/>
      <c r="I180" s="25"/>
      <c r="J180" s="25"/>
      <c r="K180" s="25"/>
      <c r="L180" s="24"/>
      <c r="M180" s="25"/>
      <c r="N180" s="25"/>
      <c r="O180" s="25"/>
      <c r="P180" s="47"/>
      <c r="Q180" s="48"/>
      <c r="R180" s="49"/>
      <c r="S180" s="50">
        <v>0</v>
      </c>
      <c r="T180" s="51">
        <v>0</v>
      </c>
      <c r="U180" s="52">
        <v>0</v>
      </c>
      <c r="V180" s="53">
        <v>0</v>
      </c>
      <c r="W180" s="54">
        <v>0</v>
      </c>
      <c r="X180" s="55">
        <v>0</v>
      </c>
      <c r="Y180" s="47">
        <v>0</v>
      </c>
      <c r="Z180" s="49">
        <v>0</v>
      </c>
    </row>
    <row r="181" spans="1:26" s="30" customFormat="1" ht="18" customHeight="1" x14ac:dyDescent="0.25">
      <c r="A181" s="21" t="s">
        <v>445</v>
      </c>
      <c r="B181" s="22">
        <v>35403934</v>
      </c>
      <c r="C181" s="23" t="s">
        <v>438</v>
      </c>
      <c r="D181" s="22" t="s">
        <v>446</v>
      </c>
      <c r="E181" s="41">
        <v>0</v>
      </c>
      <c r="F181" s="42">
        <v>0</v>
      </c>
      <c r="G181" s="43">
        <v>0</v>
      </c>
      <c r="H181" s="24"/>
      <c r="I181" s="25"/>
      <c r="J181" s="25"/>
      <c r="K181" s="25"/>
      <c r="L181" s="24"/>
      <c r="M181" s="25"/>
      <c r="N181" s="25"/>
      <c r="O181" s="25"/>
      <c r="P181" s="47"/>
      <c r="Q181" s="48"/>
      <c r="R181" s="49"/>
      <c r="S181" s="50">
        <v>0</v>
      </c>
      <c r="T181" s="51">
        <v>0</v>
      </c>
      <c r="U181" s="52">
        <v>0</v>
      </c>
      <c r="V181" s="53">
        <v>0</v>
      </c>
      <c r="W181" s="54">
        <v>0</v>
      </c>
      <c r="X181" s="55">
        <v>0</v>
      </c>
      <c r="Y181" s="56">
        <v>0</v>
      </c>
      <c r="Z181" s="57">
        <v>0</v>
      </c>
    </row>
    <row r="182" spans="1:26" s="30" customFormat="1" ht="18" customHeight="1" x14ac:dyDescent="0.25">
      <c r="A182" s="21" t="s">
        <v>448</v>
      </c>
      <c r="B182" s="22">
        <v>3540704</v>
      </c>
      <c r="C182" s="23" t="s">
        <v>438</v>
      </c>
      <c r="D182" s="22" t="s">
        <v>314</v>
      </c>
      <c r="E182" s="41">
        <v>0</v>
      </c>
      <c r="F182" s="42">
        <v>0</v>
      </c>
      <c r="G182" s="43">
        <v>0</v>
      </c>
      <c r="H182" s="24"/>
      <c r="I182" s="25"/>
      <c r="J182" s="25"/>
      <c r="K182" s="25"/>
      <c r="L182" s="24"/>
      <c r="M182" s="25"/>
      <c r="N182" s="25"/>
      <c r="O182" s="25"/>
      <c r="P182" s="47"/>
      <c r="Q182" s="48"/>
      <c r="R182" s="49"/>
      <c r="S182" s="50">
        <v>0</v>
      </c>
      <c r="T182" s="51">
        <v>0</v>
      </c>
      <c r="U182" s="52">
        <v>0</v>
      </c>
      <c r="V182" s="53">
        <v>0</v>
      </c>
      <c r="W182" s="54">
        <v>0</v>
      </c>
      <c r="X182" s="55">
        <v>0</v>
      </c>
      <c r="Y182" s="56">
        <v>0</v>
      </c>
      <c r="Z182" s="57">
        <v>0</v>
      </c>
    </row>
    <row r="183" spans="1:26" s="30" customFormat="1" ht="18" customHeight="1" x14ac:dyDescent="0.25">
      <c r="A183" s="21" t="s">
        <v>450</v>
      </c>
      <c r="B183" s="22">
        <v>3541020</v>
      </c>
      <c r="C183" s="23" t="s">
        <v>438</v>
      </c>
      <c r="D183" s="22" t="s">
        <v>441</v>
      </c>
      <c r="E183" s="41">
        <v>0</v>
      </c>
      <c r="F183" s="42">
        <v>0</v>
      </c>
      <c r="G183" s="43">
        <v>0</v>
      </c>
      <c r="H183" s="24"/>
      <c r="I183" s="25"/>
      <c r="J183" s="25"/>
      <c r="K183" s="25"/>
      <c r="L183" s="24"/>
      <c r="M183" s="25"/>
      <c r="N183" s="25"/>
      <c r="O183" s="25"/>
      <c r="P183" s="47"/>
      <c r="Q183" s="48"/>
      <c r="R183" s="49"/>
      <c r="S183" s="50">
        <v>0</v>
      </c>
      <c r="T183" s="51">
        <v>0</v>
      </c>
      <c r="U183" s="52">
        <v>0</v>
      </c>
      <c r="V183" s="58">
        <v>0</v>
      </c>
      <c r="W183" s="48">
        <v>0</v>
      </c>
      <c r="X183" s="49">
        <v>0</v>
      </c>
      <c r="Y183" s="56">
        <v>0</v>
      </c>
      <c r="Z183" s="57">
        <v>0</v>
      </c>
    </row>
    <row r="184" spans="1:26" s="30" customFormat="1" ht="18" customHeight="1" x14ac:dyDescent="0.25">
      <c r="A184" s="21" t="s">
        <v>452</v>
      </c>
      <c r="B184" s="22">
        <v>3550030</v>
      </c>
      <c r="C184" s="23" t="s">
        <v>453</v>
      </c>
      <c r="D184" s="22" t="s">
        <v>415</v>
      </c>
      <c r="E184" s="41">
        <v>0</v>
      </c>
      <c r="F184" s="42">
        <v>0</v>
      </c>
      <c r="G184" s="43">
        <v>0</v>
      </c>
      <c r="H184" s="24"/>
      <c r="I184" s="25"/>
      <c r="J184" s="25"/>
      <c r="K184" s="25"/>
      <c r="L184" s="24"/>
      <c r="M184" s="25"/>
      <c r="N184" s="25"/>
      <c r="O184" s="25"/>
      <c r="P184" s="47"/>
      <c r="Q184" s="48"/>
      <c r="R184" s="49"/>
      <c r="S184" s="50">
        <v>0</v>
      </c>
      <c r="T184" s="51">
        <v>0</v>
      </c>
      <c r="U184" s="52">
        <v>0</v>
      </c>
      <c r="V184" s="53">
        <v>0</v>
      </c>
      <c r="W184" s="54">
        <v>0</v>
      </c>
      <c r="X184" s="55">
        <v>0</v>
      </c>
      <c r="Y184" s="47">
        <v>0</v>
      </c>
      <c r="Z184" s="49">
        <v>0</v>
      </c>
    </row>
    <row r="185" spans="1:26" s="30" customFormat="1" ht="18" customHeight="1" x14ac:dyDescent="0.25">
      <c r="A185" s="21" t="s">
        <v>455</v>
      </c>
      <c r="B185" s="22">
        <v>3550172</v>
      </c>
      <c r="C185" s="23" t="s">
        <v>453</v>
      </c>
      <c r="D185" s="22" t="s">
        <v>314</v>
      </c>
      <c r="E185" s="41">
        <v>0</v>
      </c>
      <c r="F185" s="42">
        <v>0</v>
      </c>
      <c r="G185" s="43">
        <v>0</v>
      </c>
      <c r="H185" s="24"/>
      <c r="I185" s="25"/>
      <c r="J185" s="25"/>
      <c r="K185" s="25"/>
      <c r="L185" s="24"/>
      <c r="M185" s="25"/>
      <c r="N185" s="25"/>
      <c r="O185" s="25"/>
      <c r="P185" s="47"/>
      <c r="Q185" s="48"/>
      <c r="R185" s="49"/>
      <c r="S185" s="50">
        <v>0</v>
      </c>
      <c r="T185" s="51">
        <v>0</v>
      </c>
      <c r="U185" s="52">
        <v>0</v>
      </c>
      <c r="V185" s="53">
        <v>0</v>
      </c>
      <c r="W185" s="54">
        <v>0</v>
      </c>
      <c r="X185" s="55">
        <v>0</v>
      </c>
      <c r="Y185" s="47">
        <v>0</v>
      </c>
      <c r="Z185" s="49">
        <v>0</v>
      </c>
    </row>
    <row r="186" spans="1:26" s="30" customFormat="1" ht="18" customHeight="1" x14ac:dyDescent="0.25">
      <c r="A186" s="21" t="s">
        <v>457</v>
      </c>
      <c r="B186" s="22">
        <v>3550241</v>
      </c>
      <c r="C186" s="23" t="s">
        <v>453</v>
      </c>
      <c r="D186" s="22" t="s">
        <v>458</v>
      </c>
      <c r="E186" s="41">
        <v>0</v>
      </c>
      <c r="F186" s="42">
        <v>0</v>
      </c>
      <c r="G186" s="43">
        <v>0</v>
      </c>
      <c r="H186" s="24"/>
      <c r="I186" s="25"/>
      <c r="J186" s="25"/>
      <c r="K186" s="25"/>
      <c r="L186" s="24"/>
      <c r="M186" s="25"/>
      <c r="N186" s="25"/>
      <c r="O186" s="25"/>
      <c r="P186" s="47"/>
      <c r="Q186" s="48"/>
      <c r="R186" s="49"/>
      <c r="S186" s="50">
        <v>0</v>
      </c>
      <c r="T186" s="51">
        <v>0</v>
      </c>
      <c r="U186" s="52">
        <v>0</v>
      </c>
      <c r="V186" s="53">
        <v>0</v>
      </c>
      <c r="W186" s="54">
        <v>0</v>
      </c>
      <c r="X186" s="55">
        <v>0</v>
      </c>
      <c r="Y186" s="47">
        <v>0</v>
      </c>
      <c r="Z186" s="49">
        <v>0</v>
      </c>
    </row>
    <row r="187" spans="1:26" s="30" customFormat="1" ht="18" customHeight="1" x14ac:dyDescent="0.25">
      <c r="A187" s="21" t="s">
        <v>460</v>
      </c>
      <c r="B187" s="22">
        <v>3550355</v>
      </c>
      <c r="C187" s="23" t="s">
        <v>453</v>
      </c>
      <c r="D187" s="22" t="s">
        <v>314</v>
      </c>
      <c r="E187" s="41">
        <v>0</v>
      </c>
      <c r="F187" s="42">
        <v>0</v>
      </c>
      <c r="G187" s="43">
        <v>0</v>
      </c>
      <c r="H187" s="24"/>
      <c r="I187" s="25"/>
      <c r="J187" s="25"/>
      <c r="K187" s="25"/>
      <c r="L187" s="24"/>
      <c r="M187" s="25"/>
      <c r="N187" s="25"/>
      <c r="O187" s="25"/>
      <c r="P187" s="47"/>
      <c r="Q187" s="48"/>
      <c r="R187" s="49"/>
      <c r="S187" s="50">
        <v>0</v>
      </c>
      <c r="T187" s="51">
        <v>0</v>
      </c>
      <c r="U187" s="52">
        <v>0</v>
      </c>
      <c r="V187" s="53">
        <v>0</v>
      </c>
      <c r="W187" s="54">
        <v>0</v>
      </c>
      <c r="X187" s="55">
        <v>0</v>
      </c>
      <c r="Y187" s="47">
        <v>0</v>
      </c>
      <c r="Z187" s="49">
        <v>0</v>
      </c>
    </row>
    <row r="188" spans="1:26" s="30" customFormat="1" ht="18" customHeight="1" x14ac:dyDescent="0.25">
      <c r="A188" s="21" t="s">
        <v>462</v>
      </c>
      <c r="B188" s="22">
        <v>3560036</v>
      </c>
      <c r="C188" s="23" t="s">
        <v>463</v>
      </c>
      <c r="D188" s="22" t="s">
        <v>464</v>
      </c>
      <c r="E188" s="41">
        <v>0</v>
      </c>
      <c r="F188" s="42">
        <v>0</v>
      </c>
      <c r="G188" s="43">
        <v>0</v>
      </c>
      <c r="H188" s="24"/>
      <c r="I188" s="25"/>
      <c r="J188" s="25"/>
      <c r="K188" s="25"/>
      <c r="L188" s="24"/>
      <c r="M188" s="25"/>
      <c r="N188" s="25"/>
      <c r="O188" s="25"/>
      <c r="P188" s="47"/>
      <c r="Q188" s="48"/>
      <c r="R188" s="49"/>
      <c r="S188" s="50">
        <v>0</v>
      </c>
      <c r="T188" s="51">
        <v>0</v>
      </c>
      <c r="U188" s="52">
        <v>0</v>
      </c>
      <c r="V188" s="53">
        <v>0</v>
      </c>
      <c r="W188" s="54">
        <v>0</v>
      </c>
      <c r="X188" s="55">
        <v>0</v>
      </c>
      <c r="Y188" s="56">
        <v>0</v>
      </c>
      <c r="Z188" s="57">
        <v>0</v>
      </c>
    </row>
    <row r="189" spans="1:26" s="30" customFormat="1" ht="18" customHeight="1" x14ac:dyDescent="0.25">
      <c r="A189" s="21" t="s">
        <v>466</v>
      </c>
      <c r="B189" s="22">
        <v>3560051</v>
      </c>
      <c r="C189" s="23" t="s">
        <v>463</v>
      </c>
      <c r="D189" s="22" t="s">
        <v>464</v>
      </c>
      <c r="E189" s="41">
        <v>0</v>
      </c>
      <c r="F189" s="42">
        <v>0</v>
      </c>
      <c r="G189" s="43">
        <v>0</v>
      </c>
      <c r="H189" s="44"/>
      <c r="I189" s="45"/>
      <c r="J189" s="46"/>
      <c r="K189" s="46"/>
      <c r="L189" s="24"/>
      <c r="M189" s="25"/>
      <c r="N189" s="25"/>
      <c r="O189" s="25"/>
      <c r="P189" s="47"/>
      <c r="Q189" s="48"/>
      <c r="R189" s="49"/>
      <c r="S189" s="50">
        <v>0</v>
      </c>
      <c r="T189" s="51">
        <v>0</v>
      </c>
      <c r="U189" s="52">
        <v>0</v>
      </c>
      <c r="V189" s="53">
        <v>0</v>
      </c>
      <c r="W189" s="54">
        <v>0</v>
      </c>
      <c r="X189" s="55">
        <v>0</v>
      </c>
      <c r="Y189" s="56">
        <v>0</v>
      </c>
      <c r="Z189" s="57">
        <v>0</v>
      </c>
    </row>
    <row r="190" spans="1:26" s="30" customFormat="1" ht="18" customHeight="1" x14ac:dyDescent="0.25">
      <c r="A190" s="21" t="s">
        <v>468</v>
      </c>
      <c r="B190" s="22">
        <v>3560060</v>
      </c>
      <c r="C190" s="23" t="s">
        <v>463</v>
      </c>
      <c r="D190" s="22" t="s">
        <v>46</v>
      </c>
      <c r="E190" s="41">
        <v>0</v>
      </c>
      <c r="F190" s="42">
        <v>0</v>
      </c>
      <c r="G190" s="43">
        <v>0</v>
      </c>
      <c r="H190" s="44"/>
      <c r="I190" s="45"/>
      <c r="J190" s="46"/>
      <c r="K190" s="46"/>
      <c r="L190" s="24"/>
      <c r="M190" s="25"/>
      <c r="N190" s="25"/>
      <c r="O190" s="25"/>
      <c r="P190" s="47"/>
      <c r="Q190" s="48"/>
      <c r="R190" s="49"/>
      <c r="S190" s="50">
        <v>0</v>
      </c>
      <c r="T190" s="51">
        <v>0</v>
      </c>
      <c r="U190" s="52">
        <v>0</v>
      </c>
      <c r="V190" s="53">
        <v>0</v>
      </c>
      <c r="W190" s="54">
        <v>0</v>
      </c>
      <c r="X190" s="55">
        <v>0</v>
      </c>
      <c r="Y190" s="56">
        <v>0</v>
      </c>
      <c r="Z190" s="57">
        <v>0</v>
      </c>
    </row>
    <row r="191" spans="1:26" s="30" customFormat="1" ht="18" customHeight="1" x14ac:dyDescent="0.25">
      <c r="A191" s="21" t="s">
        <v>470</v>
      </c>
      <c r="B191" s="22">
        <v>35602721</v>
      </c>
      <c r="C191" s="23" t="s">
        <v>463</v>
      </c>
      <c r="D191" s="22" t="s">
        <v>471</v>
      </c>
      <c r="E191" s="41">
        <v>0</v>
      </c>
      <c r="F191" s="42">
        <v>0</v>
      </c>
      <c r="G191" s="43">
        <v>0</v>
      </c>
      <c r="H191" s="44"/>
      <c r="I191" s="45"/>
      <c r="J191" s="46"/>
      <c r="K191" s="46"/>
      <c r="L191" s="24"/>
      <c r="M191" s="25"/>
      <c r="N191" s="25"/>
      <c r="O191" s="25"/>
      <c r="P191" s="47"/>
      <c r="Q191" s="48"/>
      <c r="R191" s="49"/>
      <c r="S191" s="50">
        <v>0</v>
      </c>
      <c r="T191" s="51">
        <v>0</v>
      </c>
      <c r="U191" s="52">
        <v>0</v>
      </c>
      <c r="V191" s="53">
        <v>0</v>
      </c>
      <c r="W191" s="54">
        <v>0</v>
      </c>
      <c r="X191" s="55">
        <v>0</v>
      </c>
      <c r="Y191" s="56">
        <v>0</v>
      </c>
      <c r="Z191" s="57">
        <v>0</v>
      </c>
    </row>
    <row r="192" spans="1:26" s="30" customFormat="1" ht="18" customHeight="1" x14ac:dyDescent="0.25">
      <c r="A192" s="21" t="s">
        <v>473</v>
      </c>
      <c r="B192" s="22">
        <v>3560478</v>
      </c>
      <c r="C192" s="23" t="s">
        <v>463</v>
      </c>
      <c r="D192" s="22" t="s">
        <v>474</v>
      </c>
      <c r="E192" s="41">
        <v>0</v>
      </c>
      <c r="F192" s="42">
        <v>0</v>
      </c>
      <c r="G192" s="43">
        <v>0</v>
      </c>
      <c r="H192" s="24"/>
      <c r="I192" s="25"/>
      <c r="J192" s="25"/>
      <c r="K192" s="25"/>
      <c r="L192" s="24"/>
      <c r="M192" s="25"/>
      <c r="N192" s="25"/>
      <c r="O192" s="25"/>
      <c r="P192" s="47"/>
      <c r="Q192" s="48"/>
      <c r="R192" s="49"/>
      <c r="S192" s="50">
        <v>0</v>
      </c>
      <c r="T192" s="51">
        <v>0</v>
      </c>
      <c r="U192" s="52">
        <v>0</v>
      </c>
      <c r="V192" s="53">
        <v>0</v>
      </c>
      <c r="W192" s="54">
        <v>0</v>
      </c>
      <c r="X192" s="55">
        <v>0</v>
      </c>
      <c r="Y192" s="56">
        <v>0</v>
      </c>
      <c r="Z192" s="57">
        <v>0</v>
      </c>
    </row>
    <row r="193" spans="1:26" s="30" customFormat="1" ht="18" customHeight="1" x14ac:dyDescent="0.25">
      <c r="A193" s="21" t="s">
        <v>476</v>
      </c>
      <c r="B193" s="22">
        <v>3560491</v>
      </c>
      <c r="C193" s="23" t="s">
        <v>463</v>
      </c>
      <c r="D193" s="22" t="s">
        <v>458</v>
      </c>
      <c r="E193" s="47">
        <v>0</v>
      </c>
      <c r="F193" s="48">
        <v>0</v>
      </c>
      <c r="G193" s="49">
        <v>0</v>
      </c>
      <c r="H193" s="44"/>
      <c r="I193" s="45"/>
      <c r="J193" s="46"/>
      <c r="K193" s="46"/>
      <c r="L193" s="24"/>
      <c r="M193" s="25"/>
      <c r="N193" s="25"/>
      <c r="O193" s="25"/>
      <c r="P193" s="47"/>
      <c r="Q193" s="48"/>
      <c r="R193" s="49"/>
      <c r="S193" s="50">
        <v>0</v>
      </c>
      <c r="T193" s="51">
        <v>0</v>
      </c>
      <c r="U193" s="52">
        <v>0</v>
      </c>
      <c r="V193" s="53">
        <v>0</v>
      </c>
      <c r="W193" s="54">
        <v>0</v>
      </c>
      <c r="X193" s="55">
        <v>0</v>
      </c>
      <c r="Y193" s="47">
        <v>0</v>
      </c>
      <c r="Z193" s="49">
        <v>0</v>
      </c>
    </row>
    <row r="194" spans="1:26" s="30" customFormat="1" ht="18" customHeight="1" x14ac:dyDescent="0.25">
      <c r="A194" s="21" t="s">
        <v>478</v>
      </c>
      <c r="B194" s="22">
        <v>3560492</v>
      </c>
      <c r="C194" s="23" t="s">
        <v>463</v>
      </c>
      <c r="D194" s="22" t="s">
        <v>479</v>
      </c>
      <c r="E194" s="41">
        <v>0</v>
      </c>
      <c r="F194" s="42">
        <v>0</v>
      </c>
      <c r="G194" s="43">
        <v>0</v>
      </c>
      <c r="H194" s="24"/>
      <c r="I194" s="25"/>
      <c r="J194" s="25"/>
      <c r="K194" s="25"/>
      <c r="L194" s="24"/>
      <c r="M194" s="25"/>
      <c r="N194" s="25"/>
      <c r="O194" s="25"/>
      <c r="P194" s="47"/>
      <c r="Q194" s="48"/>
      <c r="R194" s="49"/>
      <c r="S194" s="50">
        <v>0</v>
      </c>
      <c r="T194" s="51">
        <v>0</v>
      </c>
      <c r="U194" s="52">
        <v>0</v>
      </c>
      <c r="V194" s="58">
        <v>0</v>
      </c>
      <c r="W194" s="48">
        <v>0</v>
      </c>
      <c r="X194" s="49">
        <v>0</v>
      </c>
      <c r="Y194" s="56">
        <v>0</v>
      </c>
      <c r="Z194" s="57">
        <v>0</v>
      </c>
    </row>
    <row r="195" spans="1:26" s="30" customFormat="1" ht="18" customHeight="1" x14ac:dyDescent="0.25">
      <c r="A195" s="21" t="s">
        <v>470</v>
      </c>
      <c r="B195" s="22">
        <v>3560493</v>
      </c>
      <c r="C195" s="23" t="s">
        <v>463</v>
      </c>
      <c r="D195" s="22" t="s">
        <v>464</v>
      </c>
      <c r="E195" s="41">
        <v>0</v>
      </c>
      <c r="F195" s="42">
        <v>0</v>
      </c>
      <c r="G195" s="43">
        <v>0</v>
      </c>
      <c r="H195" s="24"/>
      <c r="I195" s="25"/>
      <c r="J195" s="25"/>
      <c r="K195" s="25"/>
      <c r="L195" s="24"/>
      <c r="M195" s="25"/>
      <c r="N195" s="25"/>
      <c r="O195" s="25"/>
      <c r="P195" s="47"/>
      <c r="Q195" s="48"/>
      <c r="R195" s="49"/>
      <c r="S195" s="50">
        <v>0</v>
      </c>
      <c r="T195" s="51">
        <v>0</v>
      </c>
      <c r="U195" s="52">
        <v>0</v>
      </c>
      <c r="V195" s="53">
        <v>0</v>
      </c>
      <c r="W195" s="54">
        <v>0</v>
      </c>
      <c r="X195" s="55">
        <v>0</v>
      </c>
      <c r="Y195" s="56">
        <v>0</v>
      </c>
      <c r="Z195" s="57">
        <v>0</v>
      </c>
    </row>
    <row r="196" spans="1:26" s="30" customFormat="1" ht="18" customHeight="1" x14ac:dyDescent="0.25">
      <c r="A196" s="21" t="s">
        <v>478</v>
      </c>
      <c r="B196" s="22">
        <v>3560505</v>
      </c>
      <c r="C196" s="23" t="s">
        <v>463</v>
      </c>
      <c r="D196" s="22" t="s">
        <v>464</v>
      </c>
      <c r="E196" s="47">
        <v>0</v>
      </c>
      <c r="F196" s="48">
        <v>0</v>
      </c>
      <c r="G196" s="49">
        <v>0</v>
      </c>
      <c r="H196" s="44"/>
      <c r="I196" s="45"/>
      <c r="J196" s="46"/>
      <c r="K196" s="46"/>
      <c r="L196" s="24"/>
      <c r="M196" s="25"/>
      <c r="N196" s="25"/>
      <c r="O196" s="25"/>
      <c r="P196" s="47"/>
      <c r="Q196" s="48"/>
      <c r="R196" s="49"/>
      <c r="S196" s="50">
        <v>0</v>
      </c>
      <c r="T196" s="51">
        <v>0</v>
      </c>
      <c r="U196" s="52">
        <v>0</v>
      </c>
      <c r="V196" s="53">
        <v>0</v>
      </c>
      <c r="W196" s="54">
        <v>0</v>
      </c>
      <c r="X196" s="55">
        <v>0</v>
      </c>
      <c r="Y196" s="47">
        <v>0</v>
      </c>
      <c r="Z196" s="49">
        <v>0</v>
      </c>
    </row>
    <row r="197" spans="1:26" s="30" customFormat="1" ht="18" customHeight="1" x14ac:dyDescent="0.25">
      <c r="A197" s="21" t="s">
        <v>483</v>
      </c>
      <c r="B197" s="22">
        <v>3560555</v>
      </c>
      <c r="C197" s="23" t="s">
        <v>463</v>
      </c>
      <c r="D197" s="22" t="s">
        <v>479</v>
      </c>
      <c r="E197" s="41">
        <v>0</v>
      </c>
      <c r="F197" s="42">
        <v>0</v>
      </c>
      <c r="G197" s="43">
        <v>0</v>
      </c>
      <c r="H197" s="24"/>
      <c r="I197" s="25"/>
      <c r="J197" s="25"/>
      <c r="K197" s="25"/>
      <c r="L197" s="24"/>
      <c r="M197" s="25"/>
      <c r="N197" s="25"/>
      <c r="O197" s="25"/>
      <c r="P197" s="47"/>
      <c r="Q197" s="48"/>
      <c r="R197" s="49"/>
      <c r="S197" s="50">
        <v>0</v>
      </c>
      <c r="T197" s="51">
        <v>0</v>
      </c>
      <c r="U197" s="52">
        <v>0</v>
      </c>
      <c r="V197" s="53">
        <v>0</v>
      </c>
      <c r="W197" s="54">
        <v>0</v>
      </c>
      <c r="X197" s="55">
        <v>0</v>
      </c>
      <c r="Y197" s="47">
        <v>0</v>
      </c>
      <c r="Z197" s="49">
        <v>0</v>
      </c>
    </row>
    <row r="198" spans="1:26" s="30" customFormat="1" ht="18" customHeight="1" x14ac:dyDescent="0.25">
      <c r="A198" s="21" t="s">
        <v>485</v>
      </c>
      <c r="B198" s="22">
        <v>3560599</v>
      </c>
      <c r="C198" s="23" t="s">
        <v>463</v>
      </c>
      <c r="D198" s="22" t="s">
        <v>46</v>
      </c>
      <c r="E198" s="41">
        <v>0</v>
      </c>
      <c r="F198" s="42">
        <v>0</v>
      </c>
      <c r="G198" s="43">
        <v>0</v>
      </c>
      <c r="H198" s="24"/>
      <c r="I198" s="25"/>
      <c r="J198" s="25"/>
      <c r="K198" s="25"/>
      <c r="L198" s="24"/>
      <c r="M198" s="25"/>
      <c r="N198" s="25"/>
      <c r="O198" s="25"/>
      <c r="P198" s="47"/>
      <c r="Q198" s="48"/>
      <c r="R198" s="49"/>
      <c r="S198" s="50">
        <v>0</v>
      </c>
      <c r="T198" s="51">
        <v>0</v>
      </c>
      <c r="U198" s="52">
        <v>0</v>
      </c>
      <c r="V198" s="53">
        <v>0</v>
      </c>
      <c r="W198" s="54">
        <v>0</v>
      </c>
      <c r="X198" s="55">
        <v>0</v>
      </c>
      <c r="Y198" s="56">
        <v>0</v>
      </c>
      <c r="Z198" s="57">
        <v>0</v>
      </c>
    </row>
    <row r="199" spans="1:26" s="30" customFormat="1" ht="18" customHeight="1" x14ac:dyDescent="0.25">
      <c r="A199" s="21" t="s">
        <v>468</v>
      </c>
      <c r="B199" s="22">
        <v>3560674</v>
      </c>
      <c r="C199" s="23" t="s">
        <v>463</v>
      </c>
      <c r="D199" s="22" t="s">
        <v>474</v>
      </c>
      <c r="E199" s="41">
        <v>0</v>
      </c>
      <c r="F199" s="42">
        <v>0</v>
      </c>
      <c r="G199" s="43">
        <v>0</v>
      </c>
      <c r="H199" s="24"/>
      <c r="I199" s="25"/>
      <c r="J199" s="25"/>
      <c r="K199" s="25"/>
      <c r="L199" s="24"/>
      <c r="M199" s="25"/>
      <c r="N199" s="25"/>
      <c r="O199" s="25"/>
      <c r="P199" s="47"/>
      <c r="Q199" s="48"/>
      <c r="R199" s="49"/>
      <c r="S199" s="50">
        <v>0</v>
      </c>
      <c r="T199" s="51">
        <v>0</v>
      </c>
      <c r="U199" s="52">
        <v>0</v>
      </c>
      <c r="V199" s="53">
        <v>0</v>
      </c>
      <c r="W199" s="54">
        <v>0</v>
      </c>
      <c r="X199" s="55">
        <v>0</v>
      </c>
      <c r="Y199" s="56">
        <v>0</v>
      </c>
      <c r="Z199" s="57">
        <v>0</v>
      </c>
    </row>
    <row r="200" spans="1:26" s="30" customFormat="1" ht="18" customHeight="1" x14ac:dyDescent="0.25">
      <c r="A200" s="21" t="s">
        <v>488</v>
      </c>
      <c r="B200" s="22">
        <v>3570010</v>
      </c>
      <c r="C200" s="23" t="s">
        <v>489</v>
      </c>
      <c r="D200" s="22" t="s">
        <v>490</v>
      </c>
      <c r="E200" s="41">
        <v>0</v>
      </c>
      <c r="F200" s="42">
        <v>0</v>
      </c>
      <c r="G200" s="43">
        <v>0</v>
      </c>
      <c r="H200" s="24"/>
      <c r="I200" s="25"/>
      <c r="J200" s="25"/>
      <c r="K200" s="25"/>
      <c r="L200" s="24"/>
      <c r="M200" s="25"/>
      <c r="N200" s="25"/>
      <c r="O200" s="25"/>
      <c r="P200" s="47"/>
      <c r="Q200" s="48"/>
      <c r="R200" s="49"/>
      <c r="S200" s="50">
        <v>0</v>
      </c>
      <c r="T200" s="51">
        <v>0</v>
      </c>
      <c r="U200" s="52">
        <v>0</v>
      </c>
      <c r="V200" s="58">
        <v>0</v>
      </c>
      <c r="W200" s="48">
        <v>0</v>
      </c>
      <c r="X200" s="49">
        <v>0</v>
      </c>
      <c r="Y200" s="56">
        <v>0</v>
      </c>
      <c r="Z200" s="57">
        <v>0</v>
      </c>
    </row>
    <row r="201" spans="1:26" s="30" customFormat="1" ht="18" customHeight="1" x14ac:dyDescent="0.25">
      <c r="A201" s="21" t="s">
        <v>492</v>
      </c>
      <c r="B201" s="22">
        <v>3570020</v>
      </c>
      <c r="C201" s="23" t="s">
        <v>489</v>
      </c>
      <c r="D201" s="22" t="s">
        <v>493</v>
      </c>
      <c r="E201" s="41">
        <v>0</v>
      </c>
      <c r="F201" s="42">
        <v>0</v>
      </c>
      <c r="G201" s="43">
        <v>0</v>
      </c>
      <c r="H201" s="24"/>
      <c r="I201" s="25"/>
      <c r="J201" s="25"/>
      <c r="K201" s="25"/>
      <c r="L201" s="24"/>
      <c r="M201" s="25"/>
      <c r="N201" s="25"/>
      <c r="O201" s="25"/>
      <c r="P201" s="47"/>
      <c r="Q201" s="48"/>
      <c r="R201" s="49"/>
      <c r="S201" s="50">
        <v>0</v>
      </c>
      <c r="T201" s="51">
        <v>0</v>
      </c>
      <c r="U201" s="52">
        <v>0</v>
      </c>
      <c r="V201" s="53">
        <v>0</v>
      </c>
      <c r="W201" s="54">
        <v>0</v>
      </c>
      <c r="X201" s="55">
        <v>0</v>
      </c>
      <c r="Y201" s="56">
        <v>0</v>
      </c>
      <c r="Z201" s="57">
        <v>0</v>
      </c>
    </row>
    <row r="202" spans="1:26" s="30" customFormat="1" ht="18" customHeight="1" x14ac:dyDescent="0.25">
      <c r="A202" s="21" t="s">
        <v>495</v>
      </c>
      <c r="B202" s="22">
        <v>3570035</v>
      </c>
      <c r="C202" s="23" t="s">
        <v>489</v>
      </c>
      <c r="D202" s="22" t="s">
        <v>194</v>
      </c>
      <c r="E202" s="41">
        <v>0</v>
      </c>
      <c r="F202" s="42">
        <v>0</v>
      </c>
      <c r="G202" s="43">
        <v>0</v>
      </c>
      <c r="H202" s="24"/>
      <c r="I202" s="25"/>
      <c r="J202" s="25"/>
      <c r="K202" s="25"/>
      <c r="L202" s="24"/>
      <c r="M202" s="25"/>
      <c r="N202" s="25"/>
      <c r="O202" s="25"/>
      <c r="P202" s="47"/>
      <c r="Q202" s="48"/>
      <c r="R202" s="49"/>
      <c r="S202" s="50">
        <v>0</v>
      </c>
      <c r="T202" s="51">
        <v>0</v>
      </c>
      <c r="U202" s="52">
        <v>0</v>
      </c>
      <c r="V202" s="53">
        <v>0</v>
      </c>
      <c r="W202" s="54">
        <v>0</v>
      </c>
      <c r="X202" s="55">
        <v>0</v>
      </c>
      <c r="Y202" s="56">
        <v>0</v>
      </c>
      <c r="Z202" s="57">
        <v>0</v>
      </c>
    </row>
    <row r="203" spans="1:26" s="30" customFormat="1" ht="18" customHeight="1" x14ac:dyDescent="0.25">
      <c r="A203" s="21" t="s">
        <v>497</v>
      </c>
      <c r="B203" s="22">
        <v>3570050</v>
      </c>
      <c r="C203" s="23" t="s">
        <v>489</v>
      </c>
      <c r="D203" s="22" t="s">
        <v>490</v>
      </c>
      <c r="E203" s="41">
        <v>0</v>
      </c>
      <c r="F203" s="42">
        <v>0</v>
      </c>
      <c r="G203" s="43">
        <v>0</v>
      </c>
      <c r="H203" s="24"/>
      <c r="I203" s="25"/>
      <c r="J203" s="25"/>
      <c r="K203" s="25"/>
      <c r="L203" s="24"/>
      <c r="M203" s="25"/>
      <c r="N203" s="25"/>
      <c r="O203" s="25"/>
      <c r="P203" s="47"/>
      <c r="Q203" s="48"/>
      <c r="R203" s="49"/>
      <c r="S203" s="50">
        <v>0</v>
      </c>
      <c r="T203" s="51">
        <v>0</v>
      </c>
      <c r="U203" s="52">
        <v>0</v>
      </c>
      <c r="V203" s="53">
        <v>0</v>
      </c>
      <c r="W203" s="54">
        <v>0</v>
      </c>
      <c r="X203" s="55">
        <v>0</v>
      </c>
      <c r="Y203" s="56">
        <v>0</v>
      </c>
      <c r="Z203" s="57">
        <v>0</v>
      </c>
    </row>
    <row r="204" spans="1:26" s="30" customFormat="1" ht="18" customHeight="1" x14ac:dyDescent="0.25">
      <c r="A204" s="21" t="s">
        <v>499</v>
      </c>
      <c r="B204" s="22">
        <v>3570070</v>
      </c>
      <c r="C204" s="23" t="s">
        <v>489</v>
      </c>
      <c r="D204" s="22" t="s">
        <v>194</v>
      </c>
      <c r="E204" s="47">
        <v>0</v>
      </c>
      <c r="F204" s="48">
        <v>0</v>
      </c>
      <c r="G204" s="49">
        <v>0</v>
      </c>
      <c r="H204" s="44"/>
      <c r="I204" s="45"/>
      <c r="J204" s="46"/>
      <c r="K204" s="46"/>
      <c r="L204" s="24"/>
      <c r="M204" s="25"/>
      <c r="N204" s="25"/>
      <c r="O204" s="25"/>
      <c r="P204" s="47"/>
      <c r="Q204" s="48"/>
      <c r="R204" s="49"/>
      <c r="S204" s="50">
        <v>0</v>
      </c>
      <c r="T204" s="51">
        <v>0</v>
      </c>
      <c r="U204" s="52">
        <v>0</v>
      </c>
      <c r="V204" s="53">
        <v>0</v>
      </c>
      <c r="W204" s="54">
        <v>0</v>
      </c>
      <c r="X204" s="55">
        <v>0</v>
      </c>
      <c r="Y204" s="47">
        <v>0</v>
      </c>
      <c r="Z204" s="49">
        <v>0</v>
      </c>
    </row>
    <row r="205" spans="1:26" s="30" customFormat="1" ht="18" customHeight="1" x14ac:dyDescent="0.25">
      <c r="A205" s="21" t="s">
        <v>501</v>
      </c>
      <c r="B205" s="22">
        <v>3570103</v>
      </c>
      <c r="C205" s="23" t="s">
        <v>408</v>
      </c>
      <c r="D205" s="22" t="s">
        <v>314</v>
      </c>
      <c r="E205" s="41">
        <v>0</v>
      </c>
      <c r="F205" s="42">
        <v>0</v>
      </c>
      <c r="G205" s="43">
        <v>0</v>
      </c>
      <c r="H205" s="24"/>
      <c r="I205" s="25"/>
      <c r="J205" s="25"/>
      <c r="K205" s="25"/>
      <c r="L205" s="24"/>
      <c r="M205" s="25"/>
      <c r="N205" s="25"/>
      <c r="O205" s="25"/>
      <c r="P205" s="47"/>
      <c r="Q205" s="48"/>
      <c r="R205" s="49"/>
      <c r="S205" s="50">
        <v>0</v>
      </c>
      <c r="T205" s="51">
        <v>0</v>
      </c>
      <c r="U205" s="52">
        <v>0</v>
      </c>
      <c r="V205" s="58">
        <v>0</v>
      </c>
      <c r="W205" s="48">
        <v>0</v>
      </c>
      <c r="X205" s="49">
        <v>0</v>
      </c>
      <c r="Y205" s="56">
        <v>0</v>
      </c>
      <c r="Z205" s="57">
        <v>0</v>
      </c>
    </row>
    <row r="206" spans="1:26" s="30" customFormat="1" ht="18" customHeight="1" x14ac:dyDescent="0.25">
      <c r="A206" s="21" t="s">
        <v>501</v>
      </c>
      <c r="B206" s="22">
        <v>3570106</v>
      </c>
      <c r="C206" s="23" t="s">
        <v>408</v>
      </c>
      <c r="D206" s="22" t="s">
        <v>415</v>
      </c>
      <c r="E206" s="41">
        <v>0</v>
      </c>
      <c r="F206" s="42">
        <v>0</v>
      </c>
      <c r="G206" s="43">
        <v>0</v>
      </c>
      <c r="H206" s="44"/>
      <c r="I206" s="45"/>
      <c r="J206" s="46"/>
      <c r="K206" s="46"/>
      <c r="L206" s="24"/>
      <c r="M206" s="25"/>
      <c r="N206" s="25"/>
      <c r="O206" s="25"/>
      <c r="P206" s="47"/>
      <c r="Q206" s="48"/>
      <c r="R206" s="49"/>
      <c r="S206" s="50">
        <v>0</v>
      </c>
      <c r="T206" s="51">
        <v>0</v>
      </c>
      <c r="U206" s="52">
        <v>0</v>
      </c>
      <c r="V206" s="53">
        <v>0</v>
      </c>
      <c r="W206" s="54">
        <v>0</v>
      </c>
      <c r="X206" s="55">
        <v>0</v>
      </c>
      <c r="Y206" s="56">
        <v>0</v>
      </c>
      <c r="Z206" s="57">
        <v>0</v>
      </c>
    </row>
    <row r="207" spans="1:26" s="30" customFormat="1" ht="18" customHeight="1" x14ac:dyDescent="0.25">
      <c r="A207" s="21" t="s">
        <v>504</v>
      </c>
      <c r="B207" s="22">
        <v>35701060</v>
      </c>
      <c r="C207" s="23" t="s">
        <v>489</v>
      </c>
      <c r="D207" s="22" t="s">
        <v>505</v>
      </c>
      <c r="E207" s="47">
        <v>0</v>
      </c>
      <c r="F207" s="48">
        <v>0</v>
      </c>
      <c r="G207" s="49">
        <v>0</v>
      </c>
      <c r="H207" s="44"/>
      <c r="I207" s="45"/>
      <c r="J207" s="46"/>
      <c r="K207" s="46"/>
      <c r="L207" s="24"/>
      <c r="M207" s="25"/>
      <c r="N207" s="25"/>
      <c r="O207" s="25"/>
      <c r="P207" s="47"/>
      <c r="Q207" s="48"/>
      <c r="R207" s="49"/>
      <c r="S207" s="50">
        <v>0</v>
      </c>
      <c r="T207" s="51">
        <v>0</v>
      </c>
      <c r="U207" s="52">
        <v>0</v>
      </c>
      <c r="V207" s="53">
        <v>0</v>
      </c>
      <c r="W207" s="54">
        <v>0</v>
      </c>
      <c r="X207" s="55">
        <v>0</v>
      </c>
      <c r="Y207" s="56">
        <v>0</v>
      </c>
      <c r="Z207" s="57">
        <v>0</v>
      </c>
    </row>
    <row r="208" spans="1:26" s="30" customFormat="1" ht="18" customHeight="1" x14ac:dyDescent="0.25">
      <c r="A208" s="21" t="s">
        <v>499</v>
      </c>
      <c r="B208" s="22">
        <v>35701918</v>
      </c>
      <c r="C208" s="23" t="s">
        <v>489</v>
      </c>
      <c r="D208" s="22" t="s">
        <v>507</v>
      </c>
      <c r="E208" s="41">
        <v>0</v>
      </c>
      <c r="F208" s="42">
        <v>0</v>
      </c>
      <c r="G208" s="43">
        <v>0</v>
      </c>
      <c r="H208" s="24"/>
      <c r="I208" s="25"/>
      <c r="J208" s="25"/>
      <c r="K208" s="25"/>
      <c r="L208" s="24"/>
      <c r="M208" s="25"/>
      <c r="N208" s="25"/>
      <c r="O208" s="25"/>
      <c r="P208" s="47"/>
      <c r="Q208" s="48"/>
      <c r="R208" s="49"/>
      <c r="S208" s="50">
        <v>0</v>
      </c>
      <c r="T208" s="51">
        <v>0</v>
      </c>
      <c r="U208" s="52">
        <v>0</v>
      </c>
      <c r="V208" s="58">
        <v>0</v>
      </c>
      <c r="W208" s="48">
        <v>0</v>
      </c>
      <c r="X208" s="49">
        <v>0</v>
      </c>
      <c r="Y208" s="56">
        <v>0</v>
      </c>
      <c r="Z208" s="57">
        <v>0</v>
      </c>
    </row>
    <row r="209" spans="1:26" s="30" customFormat="1" ht="18" customHeight="1" x14ac:dyDescent="0.25">
      <c r="A209" s="21" t="s">
        <v>509</v>
      </c>
      <c r="B209" s="22">
        <v>35702285</v>
      </c>
      <c r="C209" s="23" t="s">
        <v>489</v>
      </c>
      <c r="D209" s="22" t="s">
        <v>510</v>
      </c>
      <c r="E209" s="41">
        <v>0</v>
      </c>
      <c r="F209" s="42">
        <v>0</v>
      </c>
      <c r="G209" s="43">
        <v>0</v>
      </c>
      <c r="H209" s="24"/>
      <c r="I209" s="25"/>
      <c r="J209" s="25"/>
      <c r="K209" s="25"/>
      <c r="L209" s="24"/>
      <c r="M209" s="25"/>
      <c r="N209" s="25"/>
      <c r="O209" s="25"/>
      <c r="P209" s="47"/>
      <c r="Q209" s="48"/>
      <c r="R209" s="49"/>
      <c r="S209" s="50">
        <v>0</v>
      </c>
      <c r="T209" s="51">
        <v>0</v>
      </c>
      <c r="U209" s="52">
        <v>0</v>
      </c>
      <c r="V209" s="53">
        <v>0</v>
      </c>
      <c r="W209" s="54">
        <v>0</v>
      </c>
      <c r="X209" s="55">
        <v>0</v>
      </c>
      <c r="Y209" s="47">
        <v>0</v>
      </c>
      <c r="Z209" s="49">
        <v>0</v>
      </c>
    </row>
    <row r="210" spans="1:26" s="30" customFormat="1" ht="18" customHeight="1" x14ac:dyDescent="0.25">
      <c r="A210" s="21" t="s">
        <v>492</v>
      </c>
      <c r="B210" s="22">
        <v>3570289</v>
      </c>
      <c r="C210" s="23" t="s">
        <v>489</v>
      </c>
      <c r="D210" s="22" t="s">
        <v>512</v>
      </c>
      <c r="E210" s="47">
        <v>0</v>
      </c>
      <c r="F210" s="48">
        <v>0</v>
      </c>
      <c r="G210" s="49">
        <v>0</v>
      </c>
      <c r="H210" s="44"/>
      <c r="I210" s="45"/>
      <c r="J210" s="46"/>
      <c r="K210" s="46"/>
      <c r="L210" s="24"/>
      <c r="M210" s="25"/>
      <c r="N210" s="25"/>
      <c r="O210" s="25"/>
      <c r="P210" s="47"/>
      <c r="Q210" s="48"/>
      <c r="R210" s="49"/>
      <c r="S210" s="50">
        <v>0</v>
      </c>
      <c r="T210" s="51">
        <v>0</v>
      </c>
      <c r="U210" s="52">
        <v>0</v>
      </c>
      <c r="V210" s="53">
        <v>0</v>
      </c>
      <c r="W210" s="54">
        <v>0</v>
      </c>
      <c r="X210" s="55">
        <v>0</v>
      </c>
      <c r="Y210" s="47">
        <v>0</v>
      </c>
      <c r="Z210" s="49">
        <v>0</v>
      </c>
    </row>
    <row r="211" spans="1:26" s="30" customFormat="1" ht="18" customHeight="1" x14ac:dyDescent="0.25">
      <c r="A211" s="21" t="s">
        <v>488</v>
      </c>
      <c r="B211" s="22">
        <v>3570305</v>
      </c>
      <c r="C211" s="23" t="s">
        <v>489</v>
      </c>
      <c r="D211" s="22" t="s">
        <v>514</v>
      </c>
      <c r="E211" s="41">
        <v>0</v>
      </c>
      <c r="F211" s="42">
        <v>0</v>
      </c>
      <c r="G211" s="43">
        <v>0</v>
      </c>
      <c r="H211" s="24"/>
      <c r="I211" s="25"/>
      <c r="J211" s="25"/>
      <c r="K211" s="25"/>
      <c r="L211" s="24"/>
      <c r="M211" s="25"/>
      <c r="N211" s="25"/>
      <c r="O211" s="25"/>
      <c r="P211" s="47"/>
      <c r="Q211" s="48"/>
      <c r="R211" s="49"/>
      <c r="S211" s="50">
        <v>0</v>
      </c>
      <c r="T211" s="51">
        <v>0</v>
      </c>
      <c r="U211" s="52">
        <v>0</v>
      </c>
      <c r="V211" s="53">
        <v>0</v>
      </c>
      <c r="W211" s="54">
        <v>0</v>
      </c>
      <c r="X211" s="55">
        <v>0</v>
      </c>
      <c r="Y211" s="47">
        <v>0</v>
      </c>
      <c r="Z211" s="49">
        <v>0</v>
      </c>
    </row>
    <row r="212" spans="1:26" s="30" customFormat="1" ht="18" customHeight="1" x14ac:dyDescent="0.25">
      <c r="A212" s="21" t="s">
        <v>497</v>
      </c>
      <c r="B212" s="22">
        <v>3570308</v>
      </c>
      <c r="C212" s="23" t="s">
        <v>489</v>
      </c>
      <c r="D212" s="22" t="s">
        <v>514</v>
      </c>
      <c r="E212" s="41">
        <v>0</v>
      </c>
      <c r="F212" s="42">
        <v>0</v>
      </c>
      <c r="G212" s="43">
        <v>0</v>
      </c>
      <c r="H212" s="44"/>
      <c r="I212" s="45"/>
      <c r="J212" s="46"/>
      <c r="K212" s="46"/>
      <c r="L212" s="24"/>
      <c r="M212" s="25"/>
      <c r="N212" s="25"/>
      <c r="O212" s="25"/>
      <c r="P212" s="47"/>
      <c r="Q212" s="48"/>
      <c r="R212" s="49"/>
      <c r="S212" s="50">
        <v>0</v>
      </c>
      <c r="T212" s="51">
        <v>0</v>
      </c>
      <c r="U212" s="52">
        <v>0</v>
      </c>
      <c r="V212" s="53">
        <v>0</v>
      </c>
      <c r="W212" s="54">
        <v>0</v>
      </c>
      <c r="X212" s="55">
        <v>0</v>
      </c>
      <c r="Y212" s="56">
        <v>0</v>
      </c>
      <c r="Z212" s="57">
        <v>0</v>
      </c>
    </row>
    <row r="213" spans="1:26" s="30" customFormat="1" ht="18" customHeight="1" x14ac:dyDescent="0.25">
      <c r="A213" s="21" t="s">
        <v>517</v>
      </c>
      <c r="B213" s="22">
        <v>3570324</v>
      </c>
      <c r="C213" s="23" t="s">
        <v>489</v>
      </c>
      <c r="D213" s="22" t="s">
        <v>518</v>
      </c>
      <c r="E213" s="41">
        <v>0</v>
      </c>
      <c r="F213" s="42">
        <v>0</v>
      </c>
      <c r="G213" s="43">
        <v>0</v>
      </c>
      <c r="H213" s="24"/>
      <c r="I213" s="25"/>
      <c r="J213" s="25"/>
      <c r="K213" s="25"/>
      <c r="L213" s="24"/>
      <c r="M213" s="25"/>
      <c r="N213" s="25"/>
      <c r="O213" s="25"/>
      <c r="P213" s="47"/>
      <c r="Q213" s="48"/>
      <c r="R213" s="49"/>
      <c r="S213" s="50">
        <v>0</v>
      </c>
      <c r="T213" s="51">
        <v>0</v>
      </c>
      <c r="U213" s="52">
        <v>0</v>
      </c>
      <c r="V213" s="53">
        <v>0</v>
      </c>
      <c r="W213" s="54">
        <v>0</v>
      </c>
      <c r="X213" s="55">
        <v>0</v>
      </c>
      <c r="Y213" s="47">
        <v>0</v>
      </c>
      <c r="Z213" s="49">
        <v>0</v>
      </c>
    </row>
    <row r="214" spans="1:26" s="30" customFormat="1" ht="18" customHeight="1" x14ac:dyDescent="0.25">
      <c r="A214" s="21" t="s">
        <v>492</v>
      </c>
      <c r="B214" s="22">
        <v>3570343</v>
      </c>
      <c r="C214" s="23" t="s">
        <v>489</v>
      </c>
      <c r="D214" s="22" t="s">
        <v>520</v>
      </c>
      <c r="E214" s="47">
        <v>0</v>
      </c>
      <c r="F214" s="48">
        <v>0</v>
      </c>
      <c r="G214" s="49">
        <v>0</v>
      </c>
      <c r="H214" s="24"/>
      <c r="I214" s="25"/>
      <c r="J214" s="25"/>
      <c r="K214" s="25"/>
      <c r="L214" s="44"/>
      <c r="M214" s="45"/>
      <c r="N214" s="46"/>
      <c r="O214" s="46"/>
      <c r="P214" s="47"/>
      <c r="Q214" s="48"/>
      <c r="R214" s="49"/>
      <c r="S214" s="50">
        <v>0</v>
      </c>
      <c r="T214" s="51">
        <v>0</v>
      </c>
      <c r="U214" s="52">
        <v>0</v>
      </c>
      <c r="V214" s="58">
        <v>0</v>
      </c>
      <c r="W214" s="48">
        <v>0</v>
      </c>
      <c r="X214" s="49">
        <v>0</v>
      </c>
      <c r="Y214" s="56">
        <v>0</v>
      </c>
      <c r="Z214" s="57">
        <v>0</v>
      </c>
    </row>
    <row r="215" spans="1:26" s="30" customFormat="1" ht="18" customHeight="1" x14ac:dyDescent="0.25">
      <c r="A215" s="21" t="s">
        <v>509</v>
      </c>
      <c r="B215" s="22">
        <v>3570593</v>
      </c>
      <c r="C215" s="23" t="s">
        <v>489</v>
      </c>
      <c r="D215" s="22" t="s">
        <v>194</v>
      </c>
      <c r="E215" s="47">
        <v>0</v>
      </c>
      <c r="F215" s="48">
        <v>0</v>
      </c>
      <c r="G215" s="49">
        <v>0</v>
      </c>
      <c r="H215" s="44"/>
      <c r="I215" s="45"/>
      <c r="J215" s="46"/>
      <c r="K215" s="46"/>
      <c r="L215" s="24"/>
      <c r="M215" s="25"/>
      <c r="N215" s="25"/>
      <c r="O215" s="25"/>
      <c r="P215" s="47"/>
      <c r="Q215" s="48"/>
      <c r="R215" s="49"/>
      <c r="S215" s="50">
        <v>0</v>
      </c>
      <c r="T215" s="51">
        <v>0</v>
      </c>
      <c r="U215" s="52">
        <v>0</v>
      </c>
      <c r="V215" s="53">
        <v>0</v>
      </c>
      <c r="W215" s="54">
        <v>0</v>
      </c>
      <c r="X215" s="55">
        <v>0</v>
      </c>
      <c r="Y215" s="47">
        <v>0</v>
      </c>
      <c r="Z215" s="49">
        <v>0</v>
      </c>
    </row>
    <row r="216" spans="1:26" s="30" customFormat="1" ht="18" customHeight="1" x14ac:dyDescent="0.25">
      <c r="A216" s="21" t="s">
        <v>523</v>
      </c>
      <c r="B216" s="22">
        <v>4010010</v>
      </c>
      <c r="C216" s="23" t="s">
        <v>524</v>
      </c>
      <c r="D216" s="22" t="s">
        <v>525</v>
      </c>
      <c r="E216" s="41">
        <v>0</v>
      </c>
      <c r="F216" s="42">
        <v>0</v>
      </c>
      <c r="G216" s="43">
        <v>0</v>
      </c>
      <c r="H216" s="44"/>
      <c r="I216" s="45"/>
      <c r="J216" s="46"/>
      <c r="K216" s="46"/>
      <c r="L216" s="44"/>
      <c r="M216" s="45"/>
      <c r="N216" s="46"/>
      <c r="O216" s="46"/>
      <c r="P216" s="47"/>
      <c r="Q216" s="48"/>
      <c r="R216" s="49"/>
      <c r="S216" s="50">
        <v>0</v>
      </c>
      <c r="T216" s="51">
        <v>0</v>
      </c>
      <c r="U216" s="52">
        <v>0</v>
      </c>
      <c r="V216" s="53">
        <v>0</v>
      </c>
      <c r="W216" s="54">
        <v>0</v>
      </c>
      <c r="X216" s="55">
        <v>0</v>
      </c>
      <c r="Y216" s="56">
        <v>0</v>
      </c>
      <c r="Z216" s="57">
        <v>0</v>
      </c>
    </row>
    <row r="217" spans="1:26" s="30" customFormat="1" ht="18" customHeight="1" x14ac:dyDescent="0.25">
      <c r="A217" s="21" t="s">
        <v>527</v>
      </c>
      <c r="B217" s="22">
        <v>4010208</v>
      </c>
      <c r="C217" s="23" t="s">
        <v>524</v>
      </c>
      <c r="D217" s="22" t="s">
        <v>190</v>
      </c>
      <c r="E217" s="41">
        <v>0</v>
      </c>
      <c r="F217" s="42">
        <v>0</v>
      </c>
      <c r="G217" s="43">
        <v>0</v>
      </c>
      <c r="H217" s="24"/>
      <c r="I217" s="25"/>
      <c r="J217" s="25"/>
      <c r="K217" s="25"/>
      <c r="L217" s="24"/>
      <c r="M217" s="25"/>
      <c r="N217" s="25"/>
      <c r="O217" s="25"/>
      <c r="P217" s="47"/>
      <c r="Q217" s="48"/>
      <c r="R217" s="49"/>
      <c r="S217" s="50">
        <v>0</v>
      </c>
      <c r="T217" s="51">
        <v>0</v>
      </c>
      <c r="U217" s="52">
        <v>0</v>
      </c>
      <c r="V217" s="58">
        <v>0</v>
      </c>
      <c r="W217" s="48">
        <v>0</v>
      </c>
      <c r="X217" s="49">
        <v>0</v>
      </c>
      <c r="Y217" s="56">
        <v>0</v>
      </c>
      <c r="Z217" s="57">
        <v>0</v>
      </c>
    </row>
    <row r="218" spans="1:26" s="30" customFormat="1" ht="18" customHeight="1" x14ac:dyDescent="0.25">
      <c r="A218" s="21" t="s">
        <v>529</v>
      </c>
      <c r="B218" s="22">
        <v>4020050</v>
      </c>
      <c r="C218" s="23" t="s">
        <v>530</v>
      </c>
      <c r="D218" s="22" t="s">
        <v>531</v>
      </c>
      <c r="E218" s="41">
        <v>0</v>
      </c>
      <c r="F218" s="42">
        <v>0</v>
      </c>
      <c r="G218" s="43">
        <v>0</v>
      </c>
      <c r="H218" s="44"/>
      <c r="I218" s="45"/>
      <c r="J218" s="46"/>
      <c r="K218" s="46"/>
      <c r="L218" s="24"/>
      <c r="M218" s="25"/>
      <c r="N218" s="25"/>
      <c r="O218" s="25"/>
      <c r="P218" s="47"/>
      <c r="Q218" s="48"/>
      <c r="R218" s="49"/>
      <c r="S218" s="50">
        <v>0</v>
      </c>
      <c r="T218" s="51">
        <v>0</v>
      </c>
      <c r="U218" s="52">
        <v>0</v>
      </c>
      <c r="V218" s="53">
        <v>0</v>
      </c>
      <c r="W218" s="54">
        <v>0</v>
      </c>
      <c r="X218" s="55">
        <v>0</v>
      </c>
      <c r="Y218" s="56">
        <v>0</v>
      </c>
      <c r="Z218" s="57">
        <v>0</v>
      </c>
    </row>
    <row r="219" spans="1:26" s="30" customFormat="1" ht="18" customHeight="1" x14ac:dyDescent="0.25">
      <c r="A219" s="21" t="s">
        <v>533</v>
      </c>
      <c r="B219" s="22">
        <v>4030010</v>
      </c>
      <c r="C219" s="23" t="s">
        <v>534</v>
      </c>
      <c r="D219" s="22" t="s">
        <v>531</v>
      </c>
      <c r="E219" s="41">
        <v>0</v>
      </c>
      <c r="F219" s="42">
        <v>0</v>
      </c>
      <c r="G219" s="43">
        <v>0</v>
      </c>
      <c r="H219" s="44"/>
      <c r="I219" s="45"/>
      <c r="J219" s="46"/>
      <c r="K219" s="46"/>
      <c r="L219" s="24"/>
      <c r="M219" s="25"/>
      <c r="N219" s="25"/>
      <c r="O219" s="25"/>
      <c r="P219" s="47"/>
      <c r="Q219" s="48"/>
      <c r="R219" s="49"/>
      <c r="S219" s="50">
        <v>0</v>
      </c>
      <c r="T219" s="51">
        <v>0</v>
      </c>
      <c r="U219" s="52">
        <v>0</v>
      </c>
      <c r="V219" s="53">
        <v>0</v>
      </c>
      <c r="W219" s="54">
        <v>0</v>
      </c>
      <c r="X219" s="55">
        <v>0</v>
      </c>
      <c r="Y219" s="56">
        <v>0</v>
      </c>
      <c r="Z219" s="57">
        <v>0</v>
      </c>
    </row>
    <row r="220" spans="1:26" s="30" customFormat="1" ht="18" customHeight="1" x14ac:dyDescent="0.25">
      <c r="A220" s="21" t="s">
        <v>536</v>
      </c>
      <c r="B220" s="22">
        <v>4030020</v>
      </c>
      <c r="C220" s="23" t="s">
        <v>534</v>
      </c>
      <c r="D220" s="22" t="s">
        <v>531</v>
      </c>
      <c r="E220" s="41">
        <v>0</v>
      </c>
      <c r="F220" s="42">
        <v>0</v>
      </c>
      <c r="G220" s="43">
        <v>0</v>
      </c>
      <c r="H220" s="44"/>
      <c r="I220" s="45"/>
      <c r="J220" s="46"/>
      <c r="K220" s="46"/>
      <c r="L220" s="24"/>
      <c r="M220" s="25"/>
      <c r="N220" s="25"/>
      <c r="O220" s="25"/>
      <c r="P220" s="47"/>
      <c r="Q220" s="48"/>
      <c r="R220" s="49"/>
      <c r="S220" s="50">
        <v>0</v>
      </c>
      <c r="T220" s="51">
        <v>0</v>
      </c>
      <c r="U220" s="52">
        <v>0</v>
      </c>
      <c r="V220" s="53">
        <v>0</v>
      </c>
      <c r="W220" s="54">
        <v>0</v>
      </c>
      <c r="X220" s="55">
        <v>0</v>
      </c>
      <c r="Y220" s="56">
        <v>0</v>
      </c>
      <c r="Z220" s="57">
        <v>0</v>
      </c>
    </row>
    <row r="221" spans="1:26" s="30" customFormat="1" ht="18" customHeight="1" x14ac:dyDescent="0.25">
      <c r="A221" s="21" t="s">
        <v>538</v>
      </c>
      <c r="B221" s="22">
        <v>4030025</v>
      </c>
      <c r="C221" s="23" t="s">
        <v>534</v>
      </c>
      <c r="D221" s="22" t="s">
        <v>531</v>
      </c>
      <c r="E221" s="41">
        <v>0</v>
      </c>
      <c r="F221" s="42">
        <v>0</v>
      </c>
      <c r="G221" s="43">
        <v>0</v>
      </c>
      <c r="H221" s="44"/>
      <c r="I221" s="45"/>
      <c r="J221" s="46"/>
      <c r="K221" s="46"/>
      <c r="L221" s="24"/>
      <c r="M221" s="25"/>
      <c r="N221" s="25"/>
      <c r="O221" s="25"/>
      <c r="P221" s="47"/>
      <c r="Q221" s="48"/>
      <c r="R221" s="49"/>
      <c r="S221" s="50">
        <v>0</v>
      </c>
      <c r="T221" s="51">
        <v>0</v>
      </c>
      <c r="U221" s="52">
        <v>0</v>
      </c>
      <c r="V221" s="53">
        <v>0</v>
      </c>
      <c r="W221" s="54">
        <v>0</v>
      </c>
      <c r="X221" s="55">
        <v>0</v>
      </c>
      <c r="Y221" s="56">
        <v>0</v>
      </c>
      <c r="Z221" s="57">
        <v>0</v>
      </c>
    </row>
    <row r="222" spans="1:26" s="30" customFormat="1" ht="18" customHeight="1" x14ac:dyDescent="0.25">
      <c r="A222" s="21" t="s">
        <v>540</v>
      </c>
      <c r="B222" s="22">
        <v>4040010</v>
      </c>
      <c r="C222" s="23" t="s">
        <v>541</v>
      </c>
      <c r="D222" s="22" t="s">
        <v>542</v>
      </c>
      <c r="E222" s="47">
        <v>0</v>
      </c>
      <c r="F222" s="48">
        <v>0</v>
      </c>
      <c r="G222" s="49">
        <v>0</v>
      </c>
      <c r="H222" s="44"/>
      <c r="I222" s="45"/>
      <c r="J222" s="46"/>
      <c r="K222" s="46"/>
      <c r="L222" s="44"/>
      <c r="M222" s="45"/>
      <c r="N222" s="46"/>
      <c r="O222" s="46"/>
      <c r="P222" s="47"/>
      <c r="Q222" s="48"/>
      <c r="R222" s="49"/>
      <c r="S222" s="50">
        <v>0</v>
      </c>
      <c r="T222" s="51">
        <v>0</v>
      </c>
      <c r="U222" s="52">
        <v>0</v>
      </c>
      <c r="V222" s="53">
        <v>0</v>
      </c>
      <c r="W222" s="54">
        <v>0</v>
      </c>
      <c r="X222" s="55">
        <v>0</v>
      </c>
      <c r="Y222" s="56">
        <v>0</v>
      </c>
      <c r="Z222" s="57">
        <v>0</v>
      </c>
    </row>
    <row r="223" spans="1:26" s="30" customFormat="1" ht="18" customHeight="1" x14ac:dyDescent="0.25">
      <c r="A223" s="21" t="s">
        <v>544</v>
      </c>
      <c r="B223" s="22">
        <v>4040030</v>
      </c>
      <c r="C223" s="23" t="s">
        <v>541</v>
      </c>
      <c r="D223" s="22" t="s">
        <v>542</v>
      </c>
      <c r="E223" s="47">
        <v>0</v>
      </c>
      <c r="F223" s="48">
        <v>0</v>
      </c>
      <c r="G223" s="49">
        <v>0</v>
      </c>
      <c r="H223" s="44"/>
      <c r="I223" s="45"/>
      <c r="J223" s="46"/>
      <c r="K223" s="46"/>
      <c r="L223" s="44"/>
      <c r="M223" s="45"/>
      <c r="N223" s="46"/>
      <c r="O223" s="46"/>
      <c r="P223" s="47"/>
      <c r="Q223" s="48"/>
      <c r="R223" s="49"/>
      <c r="S223" s="50">
        <v>0</v>
      </c>
      <c r="T223" s="51">
        <v>0</v>
      </c>
      <c r="U223" s="52">
        <v>0</v>
      </c>
      <c r="V223" s="53">
        <v>0</v>
      </c>
      <c r="W223" s="54">
        <v>0</v>
      </c>
      <c r="X223" s="55">
        <v>0</v>
      </c>
      <c r="Y223" s="56">
        <v>0</v>
      </c>
      <c r="Z223" s="57">
        <v>0</v>
      </c>
    </row>
    <row r="224" spans="1:26" s="30" customFormat="1" ht="18" customHeight="1" x14ac:dyDescent="0.25">
      <c r="A224" s="21" t="s">
        <v>546</v>
      </c>
      <c r="B224" s="22">
        <v>4050100</v>
      </c>
      <c r="C224" s="23" t="s">
        <v>547</v>
      </c>
      <c r="D224" s="22" t="s">
        <v>35</v>
      </c>
      <c r="E224" s="47">
        <v>0</v>
      </c>
      <c r="F224" s="48">
        <v>0</v>
      </c>
      <c r="G224" s="49">
        <v>0</v>
      </c>
      <c r="H224" s="44"/>
      <c r="I224" s="45"/>
      <c r="J224" s="46"/>
      <c r="K224" s="46"/>
      <c r="L224" s="24"/>
      <c r="M224" s="25"/>
      <c r="N224" s="25"/>
      <c r="O224" s="25"/>
      <c r="P224" s="47"/>
      <c r="Q224" s="48"/>
      <c r="R224" s="49"/>
      <c r="S224" s="50">
        <v>0</v>
      </c>
      <c r="T224" s="51">
        <v>0</v>
      </c>
      <c r="U224" s="52">
        <v>0</v>
      </c>
      <c r="V224" s="53">
        <v>0</v>
      </c>
      <c r="W224" s="54">
        <v>0</v>
      </c>
      <c r="X224" s="55">
        <v>0</v>
      </c>
      <c r="Y224" s="47">
        <v>0</v>
      </c>
      <c r="Z224" s="49">
        <v>0</v>
      </c>
    </row>
    <row r="225" spans="1:26" s="30" customFormat="1" ht="18" customHeight="1" x14ac:dyDescent="0.25">
      <c r="A225" s="21" t="s">
        <v>549</v>
      </c>
      <c r="B225" s="22">
        <v>4050150</v>
      </c>
      <c r="C225" s="23" t="s">
        <v>547</v>
      </c>
      <c r="D225" s="22" t="s">
        <v>35</v>
      </c>
      <c r="E225" s="41">
        <v>0</v>
      </c>
      <c r="F225" s="42">
        <v>0</v>
      </c>
      <c r="G225" s="43">
        <v>0</v>
      </c>
      <c r="H225" s="44"/>
      <c r="I225" s="45"/>
      <c r="J225" s="46"/>
      <c r="K225" s="46"/>
      <c r="L225" s="24"/>
      <c r="M225" s="25"/>
      <c r="N225" s="25"/>
      <c r="O225" s="25"/>
      <c r="P225" s="47"/>
      <c r="Q225" s="48"/>
      <c r="R225" s="49"/>
      <c r="S225" s="50">
        <v>0</v>
      </c>
      <c r="T225" s="51">
        <v>0</v>
      </c>
      <c r="U225" s="52">
        <v>0</v>
      </c>
      <c r="V225" s="53">
        <v>0</v>
      </c>
      <c r="W225" s="54">
        <v>0</v>
      </c>
      <c r="X225" s="55">
        <v>0</v>
      </c>
      <c r="Y225" s="56">
        <v>0</v>
      </c>
      <c r="Z225" s="57">
        <v>0</v>
      </c>
    </row>
    <row r="226" spans="1:26" s="30" customFormat="1" ht="18" customHeight="1" x14ac:dyDescent="0.25">
      <c r="A226" s="21" t="s">
        <v>551</v>
      </c>
      <c r="B226" s="22">
        <v>4050180</v>
      </c>
      <c r="C226" s="23" t="s">
        <v>547</v>
      </c>
      <c r="D226" s="22" t="s">
        <v>35</v>
      </c>
      <c r="E226" s="41">
        <v>0</v>
      </c>
      <c r="F226" s="42">
        <v>0</v>
      </c>
      <c r="G226" s="43">
        <v>0</v>
      </c>
      <c r="H226" s="44"/>
      <c r="I226" s="45"/>
      <c r="J226" s="46"/>
      <c r="K226" s="46"/>
      <c r="L226" s="24"/>
      <c r="M226" s="25"/>
      <c r="N226" s="25"/>
      <c r="O226" s="25"/>
      <c r="P226" s="47"/>
      <c r="Q226" s="48"/>
      <c r="R226" s="49"/>
      <c r="S226" s="50">
        <v>0</v>
      </c>
      <c r="T226" s="51">
        <v>0</v>
      </c>
      <c r="U226" s="52">
        <v>0</v>
      </c>
      <c r="V226" s="53">
        <v>0</v>
      </c>
      <c r="W226" s="54">
        <v>0</v>
      </c>
      <c r="X226" s="55">
        <v>0</v>
      </c>
      <c r="Y226" s="56">
        <v>0</v>
      </c>
      <c r="Z226" s="57">
        <v>0</v>
      </c>
    </row>
    <row r="227" spans="1:26" s="30" customFormat="1" ht="18" customHeight="1" x14ac:dyDescent="0.25">
      <c r="A227" s="21" t="s">
        <v>553</v>
      </c>
      <c r="B227" s="22">
        <v>4050230</v>
      </c>
      <c r="C227" s="23" t="s">
        <v>547</v>
      </c>
      <c r="D227" s="22" t="s">
        <v>35</v>
      </c>
      <c r="E227" s="41">
        <v>0</v>
      </c>
      <c r="F227" s="42">
        <v>0</v>
      </c>
      <c r="G227" s="43">
        <v>0</v>
      </c>
      <c r="H227" s="24"/>
      <c r="I227" s="25"/>
      <c r="J227" s="25"/>
      <c r="K227" s="25"/>
      <c r="L227" s="24"/>
      <c r="M227" s="25"/>
      <c r="N227" s="25"/>
      <c r="O227" s="25"/>
      <c r="P227" s="47"/>
      <c r="Q227" s="48"/>
      <c r="R227" s="49"/>
      <c r="S227" s="50">
        <v>0</v>
      </c>
      <c r="T227" s="51">
        <v>0</v>
      </c>
      <c r="U227" s="52">
        <v>0</v>
      </c>
      <c r="V227" s="58">
        <v>0</v>
      </c>
      <c r="W227" s="48">
        <v>0</v>
      </c>
      <c r="X227" s="49">
        <v>0</v>
      </c>
      <c r="Y227" s="56">
        <v>0</v>
      </c>
      <c r="Z227" s="57">
        <v>0</v>
      </c>
    </row>
    <row r="228" spans="1:26" s="30" customFormat="1" ht="18" customHeight="1" x14ac:dyDescent="0.25">
      <c r="A228" s="21" t="s">
        <v>60</v>
      </c>
      <c r="B228" s="22">
        <v>4050470</v>
      </c>
      <c r="C228" s="23" t="s">
        <v>547</v>
      </c>
      <c r="D228" s="22" t="s">
        <v>61</v>
      </c>
      <c r="E228" s="41">
        <v>0</v>
      </c>
      <c r="F228" s="42">
        <v>0</v>
      </c>
      <c r="G228" s="43">
        <v>0</v>
      </c>
      <c r="H228" s="24"/>
      <c r="I228" s="25"/>
      <c r="J228" s="25"/>
      <c r="K228" s="25"/>
      <c r="L228" s="24"/>
      <c r="M228" s="25"/>
      <c r="N228" s="25"/>
      <c r="O228" s="25"/>
      <c r="P228" s="47"/>
      <c r="Q228" s="48"/>
      <c r="R228" s="49"/>
      <c r="S228" s="50">
        <v>0</v>
      </c>
      <c r="T228" s="51">
        <v>0</v>
      </c>
      <c r="U228" s="52">
        <v>0</v>
      </c>
      <c r="V228" s="58">
        <v>0</v>
      </c>
      <c r="W228" s="48">
        <v>0</v>
      </c>
      <c r="X228" s="49">
        <v>0</v>
      </c>
      <c r="Y228" s="56">
        <v>0</v>
      </c>
      <c r="Z228" s="57">
        <v>0</v>
      </c>
    </row>
    <row r="229" spans="1:26" s="30" customFormat="1" ht="18" customHeight="1" x14ac:dyDescent="0.25">
      <c r="A229" s="21" t="s">
        <v>555</v>
      </c>
      <c r="B229" s="22">
        <v>4050827</v>
      </c>
      <c r="C229" s="23" t="s">
        <v>547</v>
      </c>
      <c r="D229" s="22" t="s">
        <v>464</v>
      </c>
      <c r="E229" s="41">
        <v>0</v>
      </c>
      <c r="F229" s="42">
        <v>0</v>
      </c>
      <c r="G229" s="43">
        <v>0</v>
      </c>
      <c r="H229" s="44"/>
      <c r="I229" s="45"/>
      <c r="J229" s="46"/>
      <c r="K229" s="46"/>
      <c r="L229" s="24"/>
      <c r="M229" s="25"/>
      <c r="N229" s="25"/>
      <c r="O229" s="25"/>
      <c r="P229" s="47"/>
      <c r="Q229" s="48"/>
      <c r="R229" s="49"/>
      <c r="S229" s="50">
        <v>0</v>
      </c>
      <c r="T229" s="51">
        <v>0</v>
      </c>
      <c r="U229" s="52">
        <v>0</v>
      </c>
      <c r="V229" s="53">
        <v>0</v>
      </c>
      <c r="W229" s="54">
        <v>0</v>
      </c>
      <c r="X229" s="55">
        <v>0</v>
      </c>
      <c r="Y229" s="56">
        <v>0</v>
      </c>
      <c r="Z229" s="57">
        <v>0</v>
      </c>
    </row>
    <row r="230" spans="1:26" s="30" customFormat="1" ht="18" customHeight="1" x14ac:dyDescent="0.25">
      <c r="A230" s="21" t="s">
        <v>553</v>
      </c>
      <c r="B230" s="22">
        <v>4050848</v>
      </c>
      <c r="C230" s="23" t="s">
        <v>547</v>
      </c>
      <c r="D230" s="22" t="s">
        <v>61</v>
      </c>
      <c r="E230" s="47">
        <v>0</v>
      </c>
      <c r="F230" s="48">
        <v>0</v>
      </c>
      <c r="G230" s="49">
        <v>0</v>
      </c>
      <c r="H230" s="24"/>
      <c r="I230" s="25"/>
      <c r="J230" s="25"/>
      <c r="K230" s="25"/>
      <c r="L230" s="44"/>
      <c r="M230" s="45"/>
      <c r="N230" s="46"/>
      <c r="O230" s="46"/>
      <c r="P230" s="47"/>
      <c r="Q230" s="48"/>
      <c r="R230" s="49"/>
      <c r="S230" s="50">
        <v>0</v>
      </c>
      <c r="T230" s="51">
        <v>0</v>
      </c>
      <c r="U230" s="52">
        <v>0</v>
      </c>
      <c r="V230" s="53">
        <v>0</v>
      </c>
      <c r="W230" s="54">
        <v>0</v>
      </c>
      <c r="X230" s="55">
        <v>0</v>
      </c>
      <c r="Y230" s="56">
        <v>0</v>
      </c>
      <c r="Z230" s="57">
        <v>0</v>
      </c>
    </row>
    <row r="231" spans="1:26" s="30" customFormat="1" ht="18" customHeight="1" x14ac:dyDescent="0.25">
      <c r="A231" s="21" t="s">
        <v>558</v>
      </c>
      <c r="B231" s="22">
        <v>4060030</v>
      </c>
      <c r="C231" s="23" t="s">
        <v>559</v>
      </c>
      <c r="D231" s="22" t="s">
        <v>531</v>
      </c>
      <c r="E231" s="41">
        <v>0</v>
      </c>
      <c r="F231" s="42">
        <v>0</v>
      </c>
      <c r="G231" s="43">
        <v>0</v>
      </c>
      <c r="H231" s="44"/>
      <c r="I231" s="45"/>
      <c r="J231" s="46"/>
      <c r="K231" s="46"/>
      <c r="L231" s="24"/>
      <c r="M231" s="25"/>
      <c r="N231" s="25"/>
      <c r="O231" s="25"/>
      <c r="P231" s="47"/>
      <c r="Q231" s="48"/>
      <c r="R231" s="49"/>
      <c r="S231" s="50">
        <v>0</v>
      </c>
      <c r="T231" s="51">
        <v>0</v>
      </c>
      <c r="U231" s="52">
        <v>0</v>
      </c>
      <c r="V231" s="53">
        <v>0</v>
      </c>
      <c r="W231" s="54">
        <v>0</v>
      </c>
      <c r="X231" s="55">
        <v>0</v>
      </c>
      <c r="Y231" s="56">
        <v>0</v>
      </c>
      <c r="Z231" s="57">
        <v>0</v>
      </c>
    </row>
    <row r="232" spans="1:26" s="30" customFormat="1" ht="18" customHeight="1" x14ac:dyDescent="0.25">
      <c r="A232" s="21" t="s">
        <v>561</v>
      </c>
      <c r="B232" s="22">
        <v>4060040</v>
      </c>
      <c r="C232" s="23" t="s">
        <v>559</v>
      </c>
      <c r="D232" s="22" t="s">
        <v>531</v>
      </c>
      <c r="E232" s="47">
        <v>0</v>
      </c>
      <c r="F232" s="48">
        <v>0</v>
      </c>
      <c r="G232" s="49">
        <v>0</v>
      </c>
      <c r="H232" s="44"/>
      <c r="I232" s="45"/>
      <c r="J232" s="46"/>
      <c r="K232" s="46"/>
      <c r="L232" s="24"/>
      <c r="M232" s="25"/>
      <c r="N232" s="25"/>
      <c r="O232" s="25"/>
      <c r="P232" s="47"/>
      <c r="Q232" s="48"/>
      <c r="R232" s="49"/>
      <c r="S232" s="50">
        <v>0</v>
      </c>
      <c r="T232" s="51">
        <v>0</v>
      </c>
      <c r="U232" s="52">
        <v>0</v>
      </c>
      <c r="V232" s="53">
        <v>0</v>
      </c>
      <c r="W232" s="54">
        <v>0</v>
      </c>
      <c r="X232" s="55">
        <v>0</v>
      </c>
      <c r="Y232" s="47">
        <v>0</v>
      </c>
      <c r="Z232" s="49">
        <v>0</v>
      </c>
    </row>
    <row r="233" spans="1:26" s="30" customFormat="1" ht="18" customHeight="1" x14ac:dyDescent="0.25">
      <c r="A233" s="21" t="s">
        <v>563</v>
      </c>
      <c r="B233" s="22">
        <v>4060050</v>
      </c>
      <c r="C233" s="23" t="s">
        <v>559</v>
      </c>
      <c r="D233" s="22" t="s">
        <v>531</v>
      </c>
      <c r="E233" s="41">
        <v>0</v>
      </c>
      <c r="F233" s="42">
        <v>0</v>
      </c>
      <c r="G233" s="43">
        <v>0</v>
      </c>
      <c r="H233" s="44"/>
      <c r="I233" s="45"/>
      <c r="J233" s="46"/>
      <c r="K233" s="46"/>
      <c r="L233" s="24"/>
      <c r="M233" s="25"/>
      <c r="N233" s="25"/>
      <c r="O233" s="25"/>
      <c r="P233" s="47"/>
      <c r="Q233" s="48"/>
      <c r="R233" s="49"/>
      <c r="S233" s="50">
        <v>0</v>
      </c>
      <c r="T233" s="51">
        <v>0</v>
      </c>
      <c r="U233" s="52">
        <v>0</v>
      </c>
      <c r="V233" s="53">
        <v>0</v>
      </c>
      <c r="W233" s="54">
        <v>0</v>
      </c>
      <c r="X233" s="55">
        <v>0</v>
      </c>
      <c r="Y233" s="56">
        <v>0</v>
      </c>
      <c r="Z233" s="57">
        <v>0</v>
      </c>
    </row>
    <row r="234" spans="1:26" s="30" customFormat="1" ht="18" customHeight="1" x14ac:dyDescent="0.25">
      <c r="A234" s="21" t="s">
        <v>558</v>
      </c>
      <c r="B234" s="22">
        <v>40601941</v>
      </c>
      <c r="C234" s="23" t="s">
        <v>559</v>
      </c>
      <c r="D234" s="22" t="s">
        <v>565</v>
      </c>
      <c r="E234" s="41">
        <v>0</v>
      </c>
      <c r="F234" s="42">
        <v>0</v>
      </c>
      <c r="G234" s="43">
        <v>0</v>
      </c>
      <c r="H234" s="24"/>
      <c r="I234" s="25"/>
      <c r="J234" s="25"/>
      <c r="K234" s="25"/>
      <c r="L234" s="24"/>
      <c r="M234" s="25"/>
      <c r="N234" s="25"/>
      <c r="O234" s="25"/>
      <c r="P234" s="47"/>
      <c r="Q234" s="48"/>
      <c r="R234" s="49"/>
      <c r="S234" s="50">
        <v>0</v>
      </c>
      <c r="T234" s="51">
        <v>0</v>
      </c>
      <c r="U234" s="52">
        <v>0</v>
      </c>
      <c r="V234" s="53">
        <v>0</v>
      </c>
      <c r="W234" s="54">
        <v>0</v>
      </c>
      <c r="X234" s="55">
        <v>0</v>
      </c>
      <c r="Y234" s="56">
        <v>0</v>
      </c>
      <c r="Z234" s="57">
        <v>0</v>
      </c>
    </row>
    <row r="235" spans="1:26" s="30" customFormat="1" ht="18" customHeight="1" x14ac:dyDescent="0.25">
      <c r="A235" s="21" t="s">
        <v>567</v>
      </c>
      <c r="B235" s="22">
        <v>40701322</v>
      </c>
      <c r="C235" s="23" t="s">
        <v>568</v>
      </c>
      <c r="D235" s="22" t="s">
        <v>569</v>
      </c>
      <c r="E235" s="41">
        <v>0</v>
      </c>
      <c r="F235" s="42">
        <v>0</v>
      </c>
      <c r="G235" s="43">
        <v>0</v>
      </c>
      <c r="H235" s="24"/>
      <c r="I235" s="25"/>
      <c r="J235" s="25"/>
      <c r="K235" s="25"/>
      <c r="L235" s="24"/>
      <c r="M235" s="25"/>
      <c r="N235" s="25"/>
      <c r="O235" s="25"/>
      <c r="P235" s="47"/>
      <c r="Q235" s="48"/>
      <c r="R235" s="49"/>
      <c r="S235" s="50">
        <v>0</v>
      </c>
      <c r="T235" s="51">
        <v>0</v>
      </c>
      <c r="U235" s="52">
        <v>0</v>
      </c>
      <c r="V235" s="53">
        <v>0</v>
      </c>
      <c r="W235" s="54">
        <v>0</v>
      </c>
      <c r="X235" s="55">
        <v>0</v>
      </c>
      <c r="Y235" s="56">
        <v>0</v>
      </c>
      <c r="Z235" s="57">
        <v>0</v>
      </c>
    </row>
    <row r="236" spans="1:26" s="30" customFormat="1" ht="18" customHeight="1" x14ac:dyDescent="0.25">
      <c r="A236" s="21" t="s">
        <v>571</v>
      </c>
      <c r="B236" s="22">
        <v>40702200</v>
      </c>
      <c r="C236" s="23" t="s">
        <v>568</v>
      </c>
      <c r="D236" s="22" t="s">
        <v>572</v>
      </c>
      <c r="E236" s="41">
        <v>0</v>
      </c>
      <c r="F236" s="42">
        <v>0</v>
      </c>
      <c r="G236" s="43">
        <v>0</v>
      </c>
      <c r="H236" s="24"/>
      <c r="I236" s="25"/>
      <c r="J236" s="25"/>
      <c r="K236" s="25"/>
      <c r="L236" s="24"/>
      <c r="M236" s="25"/>
      <c r="N236" s="25"/>
      <c r="O236" s="25"/>
      <c r="P236" s="47"/>
      <c r="Q236" s="48"/>
      <c r="R236" s="49"/>
      <c r="S236" s="50">
        <v>0</v>
      </c>
      <c r="T236" s="51">
        <v>0</v>
      </c>
      <c r="U236" s="52">
        <v>0</v>
      </c>
      <c r="V236" s="53">
        <v>0</v>
      </c>
      <c r="W236" s="54">
        <v>0</v>
      </c>
      <c r="X236" s="55">
        <v>0</v>
      </c>
      <c r="Y236" s="47">
        <v>0</v>
      </c>
      <c r="Z236" s="49">
        <v>0</v>
      </c>
    </row>
    <row r="237" spans="1:26" s="30" customFormat="1" ht="18" customHeight="1" x14ac:dyDescent="0.25">
      <c r="A237" s="21" t="s">
        <v>574</v>
      </c>
      <c r="B237" s="22">
        <v>4080030</v>
      </c>
      <c r="C237" s="23" t="s">
        <v>575</v>
      </c>
      <c r="D237" s="22" t="s">
        <v>58</v>
      </c>
      <c r="E237" s="41">
        <v>0</v>
      </c>
      <c r="F237" s="42">
        <v>0</v>
      </c>
      <c r="G237" s="43">
        <v>0</v>
      </c>
      <c r="H237" s="24"/>
      <c r="I237" s="25"/>
      <c r="J237" s="25"/>
      <c r="K237" s="25"/>
      <c r="L237" s="24"/>
      <c r="M237" s="25"/>
      <c r="N237" s="25"/>
      <c r="O237" s="25"/>
      <c r="P237" s="47"/>
      <c r="Q237" s="48"/>
      <c r="R237" s="49"/>
      <c r="S237" s="50">
        <v>0</v>
      </c>
      <c r="T237" s="51">
        <v>0</v>
      </c>
      <c r="U237" s="52">
        <v>0</v>
      </c>
      <c r="V237" s="58">
        <v>0</v>
      </c>
      <c r="W237" s="48">
        <v>0</v>
      </c>
      <c r="X237" s="49">
        <v>0</v>
      </c>
      <c r="Y237" s="56">
        <v>0</v>
      </c>
      <c r="Z237" s="57">
        <v>0</v>
      </c>
    </row>
    <row r="238" spans="1:26" s="30" customFormat="1" ht="18" customHeight="1" x14ac:dyDescent="0.25">
      <c r="A238" s="21" t="s">
        <v>577</v>
      </c>
      <c r="B238" s="22">
        <v>4080040</v>
      </c>
      <c r="C238" s="23" t="s">
        <v>575</v>
      </c>
      <c r="D238" s="22" t="s">
        <v>58</v>
      </c>
      <c r="E238" s="47">
        <v>0</v>
      </c>
      <c r="F238" s="48">
        <v>0</v>
      </c>
      <c r="G238" s="49">
        <v>0</v>
      </c>
      <c r="H238" s="44"/>
      <c r="I238" s="45"/>
      <c r="J238" s="46"/>
      <c r="K238" s="46"/>
      <c r="L238" s="24"/>
      <c r="M238" s="25"/>
      <c r="N238" s="25"/>
      <c r="O238" s="25"/>
      <c r="P238" s="47"/>
      <c r="Q238" s="48"/>
      <c r="R238" s="49"/>
      <c r="S238" s="50">
        <v>0</v>
      </c>
      <c r="T238" s="51">
        <v>0</v>
      </c>
      <c r="U238" s="52">
        <v>0</v>
      </c>
      <c r="V238" s="53">
        <v>0</v>
      </c>
      <c r="W238" s="54">
        <v>0</v>
      </c>
      <c r="X238" s="55">
        <v>0</v>
      </c>
      <c r="Y238" s="47">
        <v>0</v>
      </c>
      <c r="Z238" s="49">
        <v>0</v>
      </c>
    </row>
    <row r="239" spans="1:26" s="30" customFormat="1" ht="18" customHeight="1" x14ac:dyDescent="0.25">
      <c r="A239" s="21" t="s">
        <v>544</v>
      </c>
      <c r="B239" s="22">
        <v>4080117</v>
      </c>
      <c r="C239" s="23" t="s">
        <v>541</v>
      </c>
      <c r="D239" s="22" t="s">
        <v>579</v>
      </c>
      <c r="E239" s="41">
        <v>0</v>
      </c>
      <c r="F239" s="42">
        <v>0</v>
      </c>
      <c r="G239" s="43">
        <v>0</v>
      </c>
      <c r="H239" s="24"/>
      <c r="I239" s="25"/>
      <c r="J239" s="25"/>
      <c r="K239" s="25"/>
      <c r="L239" s="24"/>
      <c r="M239" s="25"/>
      <c r="N239" s="25"/>
      <c r="O239" s="25"/>
      <c r="P239" s="47"/>
      <c r="Q239" s="48"/>
      <c r="R239" s="49"/>
      <c r="S239" s="50">
        <v>0</v>
      </c>
      <c r="T239" s="51">
        <v>0</v>
      </c>
      <c r="U239" s="52">
        <v>0</v>
      </c>
      <c r="V239" s="58">
        <v>0</v>
      </c>
      <c r="W239" s="48">
        <v>0</v>
      </c>
      <c r="X239" s="49">
        <v>0</v>
      </c>
      <c r="Y239" s="56">
        <v>0</v>
      </c>
      <c r="Z239" s="57">
        <v>0</v>
      </c>
    </row>
    <row r="240" spans="1:26" s="30" customFormat="1" ht="18" customHeight="1" x14ac:dyDescent="0.25">
      <c r="A240" s="21" t="s">
        <v>540</v>
      </c>
      <c r="B240" s="22">
        <v>4080121</v>
      </c>
      <c r="C240" s="23" t="s">
        <v>541</v>
      </c>
      <c r="D240" s="22" t="s">
        <v>579</v>
      </c>
      <c r="E240" s="41">
        <v>0</v>
      </c>
      <c r="F240" s="42">
        <v>0</v>
      </c>
      <c r="G240" s="43">
        <v>0</v>
      </c>
      <c r="H240" s="24"/>
      <c r="I240" s="25"/>
      <c r="J240" s="25"/>
      <c r="K240" s="25"/>
      <c r="L240" s="24"/>
      <c r="M240" s="25"/>
      <c r="N240" s="25"/>
      <c r="O240" s="25"/>
      <c r="P240" s="47"/>
      <c r="Q240" s="48"/>
      <c r="R240" s="49"/>
      <c r="S240" s="50">
        <v>0</v>
      </c>
      <c r="T240" s="51">
        <v>0</v>
      </c>
      <c r="U240" s="52">
        <v>0</v>
      </c>
      <c r="V240" s="58">
        <v>0</v>
      </c>
      <c r="W240" s="48">
        <v>0</v>
      </c>
      <c r="X240" s="49">
        <v>0</v>
      </c>
      <c r="Y240" s="56">
        <v>0</v>
      </c>
      <c r="Z240" s="57">
        <v>0</v>
      </c>
    </row>
    <row r="241" spans="1:26" s="30" customFormat="1" ht="18" customHeight="1" x14ac:dyDescent="0.25">
      <c r="A241" s="21" t="s">
        <v>582</v>
      </c>
      <c r="B241" s="22">
        <v>4090010</v>
      </c>
      <c r="C241" s="23" t="s">
        <v>583</v>
      </c>
      <c r="D241" s="22" t="s">
        <v>531</v>
      </c>
      <c r="E241" s="41">
        <v>0</v>
      </c>
      <c r="F241" s="42">
        <v>0</v>
      </c>
      <c r="G241" s="43">
        <v>0</v>
      </c>
      <c r="H241" s="24"/>
      <c r="I241" s="25"/>
      <c r="J241" s="25"/>
      <c r="K241" s="25"/>
      <c r="L241" s="24"/>
      <c r="M241" s="25"/>
      <c r="N241" s="25"/>
      <c r="O241" s="25"/>
      <c r="P241" s="47"/>
      <c r="Q241" s="48"/>
      <c r="R241" s="49"/>
      <c r="S241" s="50">
        <v>0</v>
      </c>
      <c r="T241" s="51">
        <v>0</v>
      </c>
      <c r="U241" s="52">
        <v>0</v>
      </c>
      <c r="V241" s="53">
        <v>0</v>
      </c>
      <c r="W241" s="54">
        <v>0</v>
      </c>
      <c r="X241" s="55">
        <v>0</v>
      </c>
      <c r="Y241" s="47">
        <v>0</v>
      </c>
      <c r="Z241" s="49">
        <v>0</v>
      </c>
    </row>
    <row r="242" spans="1:26" s="30" customFormat="1" ht="18" customHeight="1" x14ac:dyDescent="0.25">
      <c r="A242" s="21" t="s">
        <v>585</v>
      </c>
      <c r="B242" s="22">
        <v>4090040</v>
      </c>
      <c r="C242" s="23" t="s">
        <v>583</v>
      </c>
      <c r="D242" s="22" t="s">
        <v>531</v>
      </c>
      <c r="E242" s="41">
        <v>0</v>
      </c>
      <c r="F242" s="42">
        <v>0</v>
      </c>
      <c r="G242" s="43">
        <v>0</v>
      </c>
      <c r="H242" s="24"/>
      <c r="I242" s="25"/>
      <c r="J242" s="25"/>
      <c r="K242" s="25"/>
      <c r="L242" s="24"/>
      <c r="M242" s="25"/>
      <c r="N242" s="25"/>
      <c r="O242" s="25"/>
      <c r="P242" s="47"/>
      <c r="Q242" s="48"/>
      <c r="R242" s="49"/>
      <c r="S242" s="50">
        <v>0</v>
      </c>
      <c r="T242" s="51">
        <v>0</v>
      </c>
      <c r="U242" s="52">
        <v>0</v>
      </c>
      <c r="V242" s="58">
        <v>0</v>
      </c>
      <c r="W242" s="48">
        <v>0</v>
      </c>
      <c r="X242" s="49">
        <v>0</v>
      </c>
      <c r="Y242" s="56">
        <v>0</v>
      </c>
      <c r="Z242" s="57">
        <v>0</v>
      </c>
    </row>
    <row r="243" spans="1:26" s="30" customFormat="1" ht="18" customHeight="1" x14ac:dyDescent="0.25">
      <c r="A243" s="21" t="s">
        <v>587</v>
      </c>
      <c r="B243" s="22">
        <v>4090080</v>
      </c>
      <c r="C243" s="23" t="s">
        <v>583</v>
      </c>
      <c r="D243" s="22" t="s">
        <v>531</v>
      </c>
      <c r="E243" s="41">
        <v>0</v>
      </c>
      <c r="F243" s="42">
        <v>0</v>
      </c>
      <c r="G243" s="43">
        <v>0</v>
      </c>
      <c r="H243" s="44"/>
      <c r="I243" s="45"/>
      <c r="J243" s="46"/>
      <c r="K243" s="46"/>
      <c r="L243" s="24"/>
      <c r="M243" s="25"/>
      <c r="N243" s="25"/>
      <c r="O243" s="25"/>
      <c r="P243" s="47"/>
      <c r="Q243" s="48"/>
      <c r="R243" s="49"/>
      <c r="S243" s="50">
        <v>0</v>
      </c>
      <c r="T243" s="51">
        <v>0</v>
      </c>
      <c r="U243" s="52">
        <v>0</v>
      </c>
      <c r="V243" s="53">
        <v>0</v>
      </c>
      <c r="W243" s="54">
        <v>0</v>
      </c>
      <c r="X243" s="55">
        <v>0</v>
      </c>
      <c r="Y243" s="56">
        <v>0</v>
      </c>
      <c r="Z243" s="57">
        <v>0</v>
      </c>
    </row>
    <row r="244" spans="1:26" s="30" customFormat="1" ht="18" customHeight="1" x14ac:dyDescent="0.25">
      <c r="A244" s="21" t="s">
        <v>589</v>
      </c>
      <c r="B244" s="22">
        <v>4090138</v>
      </c>
      <c r="C244" s="23" t="s">
        <v>583</v>
      </c>
      <c r="D244" s="22" t="s">
        <v>590</v>
      </c>
      <c r="E244" s="41">
        <v>0</v>
      </c>
      <c r="F244" s="42">
        <v>0</v>
      </c>
      <c r="G244" s="43">
        <v>0</v>
      </c>
      <c r="H244" s="24"/>
      <c r="I244" s="25"/>
      <c r="J244" s="25"/>
      <c r="K244" s="25"/>
      <c r="L244" s="24"/>
      <c r="M244" s="25"/>
      <c r="N244" s="25"/>
      <c r="O244" s="25"/>
      <c r="P244" s="47"/>
      <c r="Q244" s="48"/>
      <c r="R244" s="49"/>
      <c r="S244" s="50">
        <v>0</v>
      </c>
      <c r="T244" s="51">
        <v>0</v>
      </c>
      <c r="U244" s="52">
        <v>0</v>
      </c>
      <c r="V244" s="58">
        <v>0</v>
      </c>
      <c r="W244" s="48">
        <v>0</v>
      </c>
      <c r="X244" s="49">
        <v>0</v>
      </c>
      <c r="Y244" s="56">
        <v>0</v>
      </c>
      <c r="Z244" s="57">
        <v>0</v>
      </c>
    </row>
    <row r="245" spans="1:26" s="30" customFormat="1" ht="18" customHeight="1" x14ac:dyDescent="0.25">
      <c r="A245" s="21" t="s">
        <v>589</v>
      </c>
      <c r="B245" s="22">
        <v>4090234</v>
      </c>
      <c r="C245" s="23" t="s">
        <v>583</v>
      </c>
      <c r="D245" s="22" t="s">
        <v>592</v>
      </c>
      <c r="E245" s="41">
        <v>0</v>
      </c>
      <c r="F245" s="42">
        <v>0</v>
      </c>
      <c r="G245" s="43">
        <v>0</v>
      </c>
      <c r="H245" s="44"/>
      <c r="I245" s="45"/>
      <c r="J245" s="46"/>
      <c r="K245" s="46"/>
      <c r="L245" s="24"/>
      <c r="M245" s="25"/>
      <c r="N245" s="25"/>
      <c r="O245" s="25"/>
      <c r="P245" s="47"/>
      <c r="Q245" s="48"/>
      <c r="R245" s="49"/>
      <c r="S245" s="50">
        <v>0</v>
      </c>
      <c r="T245" s="51">
        <v>0</v>
      </c>
      <c r="U245" s="52">
        <v>0</v>
      </c>
      <c r="V245" s="53">
        <v>0</v>
      </c>
      <c r="W245" s="54">
        <v>0</v>
      </c>
      <c r="X245" s="55">
        <v>0</v>
      </c>
      <c r="Y245" s="56">
        <v>0</v>
      </c>
      <c r="Z245" s="57">
        <v>0</v>
      </c>
    </row>
    <row r="246" spans="1:26" s="30" customFormat="1" ht="18" customHeight="1" x14ac:dyDescent="0.25">
      <c r="A246" s="21" t="s">
        <v>594</v>
      </c>
      <c r="B246" s="22">
        <v>4510050</v>
      </c>
      <c r="C246" s="23" t="s">
        <v>595</v>
      </c>
      <c r="D246" s="22" t="s">
        <v>596</v>
      </c>
      <c r="E246" s="41">
        <v>0</v>
      </c>
      <c r="F246" s="42">
        <v>0</v>
      </c>
      <c r="G246" s="43">
        <v>0</v>
      </c>
      <c r="H246" s="24"/>
      <c r="I246" s="25"/>
      <c r="J246" s="25"/>
      <c r="K246" s="25"/>
      <c r="L246" s="24"/>
      <c r="M246" s="25"/>
      <c r="N246" s="25"/>
      <c r="O246" s="25"/>
      <c r="P246" s="47"/>
      <c r="Q246" s="48"/>
      <c r="R246" s="49"/>
      <c r="S246" s="50">
        <v>0</v>
      </c>
      <c r="T246" s="51">
        <v>0</v>
      </c>
      <c r="U246" s="52">
        <v>0</v>
      </c>
      <c r="V246" s="53">
        <v>0</v>
      </c>
      <c r="W246" s="54">
        <v>0</v>
      </c>
      <c r="X246" s="55">
        <v>0</v>
      </c>
      <c r="Y246" s="47">
        <v>0</v>
      </c>
      <c r="Z246" s="49">
        <v>0</v>
      </c>
    </row>
    <row r="247" spans="1:26" s="30" customFormat="1" ht="18" customHeight="1" x14ac:dyDescent="0.25">
      <c r="A247" s="21" t="s">
        <v>598</v>
      </c>
      <c r="B247" s="22">
        <v>45101665</v>
      </c>
      <c r="C247" s="23" t="s">
        <v>595</v>
      </c>
      <c r="D247" s="22" t="s">
        <v>599</v>
      </c>
      <c r="E247" s="47">
        <v>0</v>
      </c>
      <c r="F247" s="48">
        <v>0</v>
      </c>
      <c r="G247" s="49">
        <v>0</v>
      </c>
      <c r="H247" s="44"/>
      <c r="I247" s="45"/>
      <c r="J247" s="46"/>
      <c r="K247" s="46"/>
      <c r="L247" s="24"/>
      <c r="M247" s="25"/>
      <c r="N247" s="25"/>
      <c r="O247" s="25"/>
      <c r="P247" s="47"/>
      <c r="Q247" s="48"/>
      <c r="R247" s="49"/>
      <c r="S247" s="50">
        <v>0</v>
      </c>
      <c r="T247" s="51">
        <v>0</v>
      </c>
      <c r="U247" s="52">
        <v>0</v>
      </c>
      <c r="V247" s="53">
        <v>0</v>
      </c>
      <c r="W247" s="54">
        <v>0</v>
      </c>
      <c r="X247" s="55">
        <v>0</v>
      </c>
      <c r="Y247" s="47">
        <v>0</v>
      </c>
      <c r="Z247" s="49">
        <v>0</v>
      </c>
    </row>
    <row r="248" spans="1:26" s="30" customFormat="1" ht="18" customHeight="1" x14ac:dyDescent="0.25">
      <c r="A248" s="21" t="s">
        <v>601</v>
      </c>
      <c r="B248" s="22">
        <v>45102410</v>
      </c>
      <c r="C248" s="23" t="s">
        <v>595</v>
      </c>
      <c r="D248" s="22" t="s">
        <v>602</v>
      </c>
      <c r="E248" s="47">
        <v>0</v>
      </c>
      <c r="F248" s="48">
        <v>0</v>
      </c>
      <c r="G248" s="49">
        <v>0</v>
      </c>
      <c r="H248" s="44"/>
      <c r="I248" s="45"/>
      <c r="J248" s="46"/>
      <c r="K248" s="46"/>
      <c r="L248" s="24"/>
      <c r="M248" s="25"/>
      <c r="N248" s="25"/>
      <c r="O248" s="25"/>
      <c r="P248" s="47"/>
      <c r="Q248" s="48"/>
      <c r="R248" s="49"/>
      <c r="S248" s="50">
        <v>0</v>
      </c>
      <c r="T248" s="51">
        <v>0</v>
      </c>
      <c r="U248" s="52">
        <v>0</v>
      </c>
      <c r="V248" s="53">
        <v>0</v>
      </c>
      <c r="W248" s="54">
        <v>0</v>
      </c>
      <c r="X248" s="55">
        <v>0</v>
      </c>
      <c r="Y248" s="47">
        <v>0</v>
      </c>
      <c r="Z248" s="49">
        <v>0</v>
      </c>
    </row>
    <row r="249" spans="1:26" s="30" customFormat="1" ht="18" customHeight="1" x14ac:dyDescent="0.25">
      <c r="A249" s="21" t="s">
        <v>604</v>
      </c>
      <c r="B249" s="22">
        <v>4520010</v>
      </c>
      <c r="C249" s="23" t="s">
        <v>605</v>
      </c>
      <c r="D249" s="22" t="s">
        <v>606</v>
      </c>
      <c r="E249" s="41">
        <v>0</v>
      </c>
      <c r="F249" s="42">
        <v>0</v>
      </c>
      <c r="G249" s="43">
        <v>0</v>
      </c>
      <c r="H249" s="24"/>
      <c r="I249" s="25"/>
      <c r="J249" s="25"/>
      <c r="K249" s="25"/>
      <c r="L249" s="24"/>
      <c r="M249" s="25"/>
      <c r="N249" s="25"/>
      <c r="O249" s="25"/>
      <c r="P249" s="47"/>
      <c r="Q249" s="48"/>
      <c r="R249" s="49"/>
      <c r="S249" s="50">
        <v>0</v>
      </c>
      <c r="T249" s="51">
        <v>0</v>
      </c>
      <c r="U249" s="52">
        <v>0</v>
      </c>
      <c r="V249" s="53">
        <v>0</v>
      </c>
      <c r="W249" s="54">
        <v>0</v>
      </c>
      <c r="X249" s="55">
        <v>0</v>
      </c>
      <c r="Y249" s="47">
        <v>0</v>
      </c>
      <c r="Z249" s="49">
        <v>0</v>
      </c>
    </row>
    <row r="250" spans="1:26" s="30" customFormat="1" ht="18" customHeight="1" x14ac:dyDescent="0.25">
      <c r="A250" s="21" t="s">
        <v>608</v>
      </c>
      <c r="B250" s="22">
        <v>4520030</v>
      </c>
      <c r="C250" s="23" t="s">
        <v>605</v>
      </c>
      <c r="D250" s="22" t="s">
        <v>609</v>
      </c>
      <c r="E250" s="41">
        <v>0</v>
      </c>
      <c r="F250" s="42">
        <v>0</v>
      </c>
      <c r="G250" s="43">
        <v>0</v>
      </c>
      <c r="H250" s="24"/>
      <c r="I250" s="25"/>
      <c r="J250" s="25"/>
      <c r="K250" s="25"/>
      <c r="L250" s="24"/>
      <c r="M250" s="25"/>
      <c r="N250" s="25"/>
      <c r="O250" s="25"/>
      <c r="P250" s="47"/>
      <c r="Q250" s="48"/>
      <c r="R250" s="49"/>
      <c r="S250" s="50">
        <v>0</v>
      </c>
      <c r="T250" s="51">
        <v>0</v>
      </c>
      <c r="U250" s="52">
        <v>0</v>
      </c>
      <c r="V250" s="53">
        <v>0</v>
      </c>
      <c r="W250" s="54">
        <v>0</v>
      </c>
      <c r="X250" s="55">
        <v>0</v>
      </c>
      <c r="Y250" s="47">
        <v>0</v>
      </c>
      <c r="Z250" s="49">
        <v>0</v>
      </c>
    </row>
    <row r="251" spans="1:26" s="30" customFormat="1" ht="18" customHeight="1" x14ac:dyDescent="0.25">
      <c r="A251" s="21" t="s">
        <v>611</v>
      </c>
      <c r="B251" s="22">
        <v>4520042</v>
      </c>
      <c r="C251" s="23" t="s">
        <v>605</v>
      </c>
      <c r="D251" s="22" t="s">
        <v>609</v>
      </c>
      <c r="E251" s="47">
        <v>0</v>
      </c>
      <c r="F251" s="48">
        <v>0</v>
      </c>
      <c r="G251" s="49">
        <v>0</v>
      </c>
      <c r="H251" s="44"/>
      <c r="I251" s="45"/>
      <c r="J251" s="46"/>
      <c r="K251" s="46"/>
      <c r="L251" s="24"/>
      <c r="M251" s="25"/>
      <c r="N251" s="25"/>
      <c r="O251" s="25"/>
      <c r="P251" s="47"/>
      <c r="Q251" s="48"/>
      <c r="R251" s="49"/>
      <c r="S251" s="50">
        <v>0</v>
      </c>
      <c r="T251" s="51">
        <v>0</v>
      </c>
      <c r="U251" s="52">
        <v>0</v>
      </c>
      <c r="V251" s="53">
        <v>0</v>
      </c>
      <c r="W251" s="54">
        <v>0</v>
      </c>
      <c r="X251" s="55">
        <v>0</v>
      </c>
      <c r="Y251" s="47">
        <v>0</v>
      </c>
      <c r="Z251" s="49">
        <v>0</v>
      </c>
    </row>
    <row r="252" spans="1:26" s="30" customFormat="1" ht="18" customHeight="1" x14ac:dyDescent="0.25">
      <c r="A252" s="21" t="s">
        <v>613</v>
      </c>
      <c r="B252" s="22">
        <v>45201079</v>
      </c>
      <c r="C252" s="23" t="s">
        <v>605</v>
      </c>
      <c r="D252" s="22" t="s">
        <v>67</v>
      </c>
      <c r="E252" s="41">
        <v>0</v>
      </c>
      <c r="F252" s="42">
        <v>0</v>
      </c>
      <c r="G252" s="43">
        <v>0</v>
      </c>
      <c r="H252" s="24"/>
      <c r="I252" s="25"/>
      <c r="J252" s="25"/>
      <c r="K252" s="25"/>
      <c r="L252" s="24"/>
      <c r="M252" s="25"/>
      <c r="N252" s="25"/>
      <c r="O252" s="25"/>
      <c r="P252" s="47"/>
      <c r="Q252" s="48"/>
      <c r="R252" s="49"/>
      <c r="S252" s="50">
        <v>0</v>
      </c>
      <c r="T252" s="51">
        <v>0</v>
      </c>
      <c r="U252" s="52">
        <v>0</v>
      </c>
      <c r="V252" s="53">
        <v>0</v>
      </c>
      <c r="W252" s="54">
        <v>0</v>
      </c>
      <c r="X252" s="55">
        <v>0</v>
      </c>
      <c r="Y252" s="47">
        <v>0</v>
      </c>
      <c r="Z252" s="49">
        <v>0</v>
      </c>
    </row>
    <row r="253" spans="1:26" s="30" customFormat="1" ht="18" customHeight="1" x14ac:dyDescent="0.25">
      <c r="A253" s="21" t="s">
        <v>594</v>
      </c>
      <c r="B253" s="22">
        <v>4520128</v>
      </c>
      <c r="C253" s="23" t="s">
        <v>595</v>
      </c>
      <c r="D253" s="22" t="s">
        <v>615</v>
      </c>
      <c r="E253" s="47">
        <v>0</v>
      </c>
      <c r="F253" s="48">
        <v>0</v>
      </c>
      <c r="G253" s="49">
        <v>0</v>
      </c>
      <c r="H253" s="44"/>
      <c r="I253" s="45"/>
      <c r="J253" s="46"/>
      <c r="K253" s="46"/>
      <c r="L253" s="24"/>
      <c r="M253" s="25"/>
      <c r="N253" s="25"/>
      <c r="O253" s="25"/>
      <c r="P253" s="47"/>
      <c r="Q253" s="48"/>
      <c r="R253" s="49"/>
      <c r="S253" s="50">
        <v>0</v>
      </c>
      <c r="T253" s="51">
        <v>0</v>
      </c>
      <c r="U253" s="52">
        <v>0</v>
      </c>
      <c r="V253" s="53">
        <v>0</v>
      </c>
      <c r="W253" s="54">
        <v>0</v>
      </c>
      <c r="X253" s="55">
        <v>0</v>
      </c>
      <c r="Y253" s="47">
        <v>0</v>
      </c>
      <c r="Z253" s="49">
        <v>0</v>
      </c>
    </row>
    <row r="254" spans="1:26" s="30" customFormat="1" ht="18" customHeight="1" x14ac:dyDescent="0.25">
      <c r="A254" s="21" t="s">
        <v>617</v>
      </c>
      <c r="B254" s="22">
        <v>4520186</v>
      </c>
      <c r="C254" s="23" t="s">
        <v>595</v>
      </c>
      <c r="D254" s="22" t="s">
        <v>618</v>
      </c>
      <c r="E254" s="47">
        <v>0</v>
      </c>
      <c r="F254" s="48">
        <v>0</v>
      </c>
      <c r="G254" s="49">
        <v>0</v>
      </c>
      <c r="H254" s="44"/>
      <c r="I254" s="45"/>
      <c r="J254" s="46"/>
      <c r="K254" s="46"/>
      <c r="L254" s="24"/>
      <c r="M254" s="25"/>
      <c r="N254" s="25"/>
      <c r="O254" s="25"/>
      <c r="P254" s="47"/>
      <c r="Q254" s="48"/>
      <c r="R254" s="49"/>
      <c r="S254" s="50">
        <v>0</v>
      </c>
      <c r="T254" s="51">
        <v>0</v>
      </c>
      <c r="U254" s="52">
        <v>0</v>
      </c>
      <c r="V254" s="53">
        <v>0</v>
      </c>
      <c r="W254" s="54">
        <v>0</v>
      </c>
      <c r="X254" s="55">
        <v>0</v>
      </c>
      <c r="Y254" s="47">
        <v>0</v>
      </c>
      <c r="Z254" s="49">
        <v>0</v>
      </c>
    </row>
    <row r="255" spans="1:26" s="30" customFormat="1" ht="18" customHeight="1" x14ac:dyDescent="0.25">
      <c r="A255" s="21" t="s">
        <v>620</v>
      </c>
      <c r="B255" s="22">
        <v>4520252</v>
      </c>
      <c r="C255" s="23" t="s">
        <v>595</v>
      </c>
      <c r="D255" s="22" t="s">
        <v>621</v>
      </c>
      <c r="E255" s="41">
        <v>0</v>
      </c>
      <c r="F255" s="42">
        <v>0</v>
      </c>
      <c r="G255" s="43">
        <v>0</v>
      </c>
      <c r="H255" s="24"/>
      <c r="I255" s="25"/>
      <c r="J255" s="25"/>
      <c r="K255" s="25"/>
      <c r="L255" s="24"/>
      <c r="M255" s="25"/>
      <c r="N255" s="25"/>
      <c r="O255" s="25"/>
      <c r="P255" s="47"/>
      <c r="Q255" s="48"/>
      <c r="R255" s="49"/>
      <c r="S255" s="50">
        <v>0</v>
      </c>
      <c r="T255" s="51">
        <v>0</v>
      </c>
      <c r="U255" s="52">
        <v>0</v>
      </c>
      <c r="V255" s="53">
        <v>0</v>
      </c>
      <c r="W255" s="54">
        <v>0</v>
      </c>
      <c r="X255" s="55">
        <v>0</v>
      </c>
      <c r="Y255" s="56">
        <v>0</v>
      </c>
      <c r="Z255" s="57">
        <v>0</v>
      </c>
    </row>
    <row r="256" spans="1:26" s="30" customFormat="1" ht="18" customHeight="1" x14ac:dyDescent="0.25">
      <c r="A256" s="21" t="s">
        <v>620</v>
      </c>
      <c r="B256" s="22">
        <v>4520511</v>
      </c>
      <c r="C256" s="23" t="s">
        <v>595</v>
      </c>
      <c r="D256" s="22" t="s">
        <v>623</v>
      </c>
      <c r="E256" s="47">
        <v>0</v>
      </c>
      <c r="F256" s="48">
        <v>0</v>
      </c>
      <c r="G256" s="49">
        <v>0</v>
      </c>
      <c r="H256" s="44"/>
      <c r="I256" s="45"/>
      <c r="J256" s="46"/>
      <c r="K256" s="46"/>
      <c r="L256" s="24"/>
      <c r="M256" s="25"/>
      <c r="N256" s="25"/>
      <c r="O256" s="25"/>
      <c r="P256" s="47"/>
      <c r="Q256" s="48"/>
      <c r="R256" s="49"/>
      <c r="S256" s="50">
        <v>0</v>
      </c>
      <c r="T256" s="51">
        <v>0</v>
      </c>
      <c r="U256" s="52">
        <v>0</v>
      </c>
      <c r="V256" s="53">
        <v>0</v>
      </c>
      <c r="W256" s="54">
        <v>0</v>
      </c>
      <c r="X256" s="55">
        <v>0</v>
      </c>
      <c r="Y256" s="47">
        <v>0</v>
      </c>
      <c r="Z256" s="49">
        <v>0</v>
      </c>
    </row>
    <row r="257" spans="1:26" s="30" customFormat="1" ht="18" customHeight="1" x14ac:dyDescent="0.25">
      <c r="A257" s="21" t="s">
        <v>598</v>
      </c>
      <c r="B257" s="22">
        <v>4520705</v>
      </c>
      <c r="C257" s="23" t="s">
        <v>595</v>
      </c>
      <c r="D257" s="22" t="s">
        <v>625</v>
      </c>
      <c r="E257" s="41">
        <v>0</v>
      </c>
      <c r="F257" s="42">
        <v>0</v>
      </c>
      <c r="G257" s="43">
        <v>0</v>
      </c>
      <c r="H257" s="24"/>
      <c r="I257" s="25"/>
      <c r="J257" s="25"/>
      <c r="K257" s="25"/>
      <c r="L257" s="24"/>
      <c r="M257" s="25"/>
      <c r="N257" s="25"/>
      <c r="O257" s="25"/>
      <c r="P257" s="47"/>
      <c r="Q257" s="48"/>
      <c r="R257" s="49"/>
      <c r="S257" s="50">
        <v>0</v>
      </c>
      <c r="T257" s="51">
        <v>0</v>
      </c>
      <c r="U257" s="52">
        <v>0</v>
      </c>
      <c r="V257" s="53">
        <v>0</v>
      </c>
      <c r="W257" s="54">
        <v>0</v>
      </c>
      <c r="X257" s="55">
        <v>0</v>
      </c>
      <c r="Y257" s="56">
        <v>0</v>
      </c>
      <c r="Z257" s="57">
        <v>0</v>
      </c>
    </row>
    <row r="258" spans="1:26" s="30" customFormat="1" ht="18" customHeight="1" x14ac:dyDescent="0.25">
      <c r="A258" s="21" t="s">
        <v>627</v>
      </c>
      <c r="B258" s="22">
        <v>5010010</v>
      </c>
      <c r="C258" s="23" t="s">
        <v>628</v>
      </c>
      <c r="D258" s="22" t="s">
        <v>629</v>
      </c>
      <c r="E258" s="41">
        <v>0</v>
      </c>
      <c r="F258" s="42">
        <v>0</v>
      </c>
      <c r="G258" s="43">
        <v>0</v>
      </c>
      <c r="H258" s="24"/>
      <c r="I258" s="25"/>
      <c r="J258" s="25"/>
      <c r="K258" s="25"/>
      <c r="L258" s="24"/>
      <c r="M258" s="25"/>
      <c r="N258" s="25"/>
      <c r="O258" s="25"/>
      <c r="P258" s="47"/>
      <c r="Q258" s="48"/>
      <c r="R258" s="49"/>
      <c r="S258" s="50">
        <v>0</v>
      </c>
      <c r="T258" s="51">
        <v>0</v>
      </c>
      <c r="U258" s="52">
        <v>0</v>
      </c>
      <c r="V258" s="53">
        <v>0</v>
      </c>
      <c r="W258" s="54">
        <v>0</v>
      </c>
      <c r="X258" s="55">
        <v>0</v>
      </c>
      <c r="Y258" s="47">
        <v>0</v>
      </c>
      <c r="Z258" s="49">
        <v>0</v>
      </c>
    </row>
    <row r="259" spans="1:26" s="30" customFormat="1" ht="18" customHeight="1" x14ac:dyDescent="0.25">
      <c r="A259" s="21" t="s">
        <v>631</v>
      </c>
      <c r="B259" s="22">
        <v>5010020</v>
      </c>
      <c r="C259" s="23" t="s">
        <v>628</v>
      </c>
      <c r="D259" s="22" t="s">
        <v>632</v>
      </c>
      <c r="E259" s="41">
        <v>0</v>
      </c>
      <c r="F259" s="42">
        <v>0</v>
      </c>
      <c r="G259" s="43">
        <v>0</v>
      </c>
      <c r="H259" s="24"/>
      <c r="I259" s="25"/>
      <c r="J259" s="25"/>
      <c r="K259" s="25"/>
      <c r="L259" s="24"/>
      <c r="M259" s="25"/>
      <c r="N259" s="25"/>
      <c r="O259" s="25"/>
      <c r="P259" s="47"/>
      <c r="Q259" s="48"/>
      <c r="R259" s="49"/>
      <c r="S259" s="50">
        <v>0</v>
      </c>
      <c r="T259" s="51">
        <v>0</v>
      </c>
      <c r="U259" s="52">
        <v>0</v>
      </c>
      <c r="V259" s="53">
        <v>0</v>
      </c>
      <c r="W259" s="54">
        <v>0</v>
      </c>
      <c r="X259" s="55">
        <v>0</v>
      </c>
      <c r="Y259" s="47">
        <v>0</v>
      </c>
      <c r="Z259" s="49">
        <v>0</v>
      </c>
    </row>
    <row r="260" spans="1:26" s="30" customFormat="1" ht="18" customHeight="1" x14ac:dyDescent="0.25">
      <c r="A260" s="21" t="s">
        <v>627</v>
      </c>
      <c r="B260" s="22">
        <v>5010061</v>
      </c>
      <c r="C260" s="23" t="s">
        <v>628</v>
      </c>
      <c r="D260" s="22" t="s">
        <v>632</v>
      </c>
      <c r="E260" s="41">
        <v>0</v>
      </c>
      <c r="F260" s="42">
        <v>0</v>
      </c>
      <c r="G260" s="43">
        <v>0</v>
      </c>
      <c r="H260" s="24"/>
      <c r="I260" s="25"/>
      <c r="J260" s="25"/>
      <c r="K260" s="25"/>
      <c r="L260" s="24"/>
      <c r="M260" s="25"/>
      <c r="N260" s="25"/>
      <c r="O260" s="25"/>
      <c r="P260" s="47"/>
      <c r="Q260" s="48"/>
      <c r="R260" s="49"/>
      <c r="S260" s="50">
        <v>0</v>
      </c>
      <c r="T260" s="51">
        <v>0</v>
      </c>
      <c r="U260" s="52">
        <v>0</v>
      </c>
      <c r="V260" s="53">
        <v>0</v>
      </c>
      <c r="W260" s="54">
        <v>0</v>
      </c>
      <c r="X260" s="55">
        <v>0</v>
      </c>
      <c r="Y260" s="47">
        <v>0</v>
      </c>
      <c r="Z260" s="49">
        <v>0</v>
      </c>
    </row>
    <row r="261" spans="1:26" s="30" customFormat="1" ht="18" customHeight="1" x14ac:dyDescent="0.25">
      <c r="A261" s="21" t="s">
        <v>635</v>
      </c>
      <c r="B261" s="22">
        <v>5020030</v>
      </c>
      <c r="C261" s="23" t="s">
        <v>636</v>
      </c>
      <c r="D261" s="22" t="s">
        <v>637</v>
      </c>
      <c r="E261" s="41">
        <v>0</v>
      </c>
      <c r="F261" s="42">
        <v>0</v>
      </c>
      <c r="G261" s="43">
        <v>0</v>
      </c>
      <c r="H261" s="24"/>
      <c r="I261" s="25"/>
      <c r="J261" s="25"/>
      <c r="K261" s="25"/>
      <c r="L261" s="24"/>
      <c r="M261" s="25"/>
      <c r="N261" s="25"/>
      <c r="O261" s="25"/>
      <c r="P261" s="47"/>
      <c r="Q261" s="48"/>
      <c r="R261" s="49"/>
      <c r="S261" s="50">
        <v>0</v>
      </c>
      <c r="T261" s="51">
        <v>0</v>
      </c>
      <c r="U261" s="52">
        <v>0</v>
      </c>
      <c r="V261" s="58">
        <v>0</v>
      </c>
      <c r="W261" s="48">
        <v>0</v>
      </c>
      <c r="X261" s="49">
        <v>0</v>
      </c>
      <c r="Y261" s="56">
        <v>0</v>
      </c>
      <c r="Z261" s="57">
        <v>0</v>
      </c>
    </row>
    <row r="262" spans="1:26" s="30" customFormat="1" ht="18" customHeight="1" x14ac:dyDescent="0.25">
      <c r="A262" s="21" t="s">
        <v>63</v>
      </c>
      <c r="B262" s="22">
        <v>5020070</v>
      </c>
      <c r="C262" s="23" t="s">
        <v>636</v>
      </c>
      <c r="D262" s="22" t="s">
        <v>64</v>
      </c>
      <c r="E262" s="41">
        <v>0</v>
      </c>
      <c r="F262" s="42">
        <v>0</v>
      </c>
      <c r="G262" s="43">
        <v>0</v>
      </c>
      <c r="H262" s="44"/>
      <c r="I262" s="45"/>
      <c r="J262" s="46"/>
      <c r="K262" s="46"/>
      <c r="L262" s="24"/>
      <c r="M262" s="25"/>
      <c r="N262" s="25"/>
      <c r="O262" s="25"/>
      <c r="P262" s="47"/>
      <c r="Q262" s="48"/>
      <c r="R262" s="49"/>
      <c r="S262" s="50">
        <v>0</v>
      </c>
      <c r="T262" s="51">
        <v>0</v>
      </c>
      <c r="U262" s="52">
        <v>0</v>
      </c>
      <c r="V262" s="53">
        <v>0</v>
      </c>
      <c r="W262" s="54">
        <v>0</v>
      </c>
      <c r="X262" s="55">
        <v>0</v>
      </c>
      <c r="Y262" s="56">
        <v>0</v>
      </c>
      <c r="Z262" s="57">
        <v>0</v>
      </c>
    </row>
    <row r="263" spans="1:26" s="30" customFormat="1" ht="18" customHeight="1" x14ac:dyDescent="0.25">
      <c r="A263" s="21" t="s">
        <v>639</v>
      </c>
      <c r="B263" s="22">
        <v>5020091</v>
      </c>
      <c r="C263" s="23" t="s">
        <v>636</v>
      </c>
      <c r="D263" s="22" t="s">
        <v>64</v>
      </c>
      <c r="E263" s="41">
        <v>0</v>
      </c>
      <c r="F263" s="42">
        <v>0</v>
      </c>
      <c r="G263" s="43">
        <v>0</v>
      </c>
      <c r="H263" s="24"/>
      <c r="I263" s="25"/>
      <c r="J263" s="25"/>
      <c r="K263" s="25"/>
      <c r="L263" s="24"/>
      <c r="M263" s="25"/>
      <c r="N263" s="25"/>
      <c r="O263" s="25"/>
      <c r="P263" s="47"/>
      <c r="Q263" s="48"/>
      <c r="R263" s="49"/>
      <c r="S263" s="50">
        <v>0</v>
      </c>
      <c r="T263" s="51">
        <v>0</v>
      </c>
      <c r="U263" s="52">
        <v>0</v>
      </c>
      <c r="V263" s="53">
        <v>0</v>
      </c>
      <c r="W263" s="54">
        <v>0</v>
      </c>
      <c r="X263" s="55">
        <v>0</v>
      </c>
      <c r="Y263" s="47">
        <v>0</v>
      </c>
      <c r="Z263" s="49">
        <v>0</v>
      </c>
    </row>
    <row r="264" spans="1:26" s="30" customFormat="1" ht="18" customHeight="1" x14ac:dyDescent="0.25">
      <c r="A264" s="21" t="s">
        <v>641</v>
      </c>
      <c r="B264" s="22">
        <v>5020100</v>
      </c>
      <c r="C264" s="23" t="s">
        <v>636</v>
      </c>
      <c r="D264" s="22" t="s">
        <v>642</v>
      </c>
      <c r="E264" s="41">
        <v>0</v>
      </c>
      <c r="F264" s="42">
        <v>0</v>
      </c>
      <c r="G264" s="43">
        <v>0</v>
      </c>
      <c r="H264" s="44"/>
      <c r="I264" s="45"/>
      <c r="J264" s="46"/>
      <c r="K264" s="46"/>
      <c r="L264" s="24"/>
      <c r="M264" s="25"/>
      <c r="N264" s="25"/>
      <c r="O264" s="25"/>
      <c r="P264" s="47"/>
      <c r="Q264" s="48"/>
      <c r="R264" s="49"/>
      <c r="S264" s="50">
        <v>0</v>
      </c>
      <c r="T264" s="51">
        <v>0</v>
      </c>
      <c r="U264" s="52">
        <v>0</v>
      </c>
      <c r="V264" s="53">
        <v>0</v>
      </c>
      <c r="W264" s="54">
        <v>0</v>
      </c>
      <c r="X264" s="55">
        <v>0</v>
      </c>
      <c r="Y264" s="56">
        <v>0</v>
      </c>
      <c r="Z264" s="57">
        <v>0</v>
      </c>
    </row>
    <row r="265" spans="1:26" s="30" customFormat="1" ht="18" customHeight="1" x14ac:dyDescent="0.25">
      <c r="A265" s="21" t="s">
        <v>644</v>
      </c>
      <c r="B265" s="22">
        <v>502010859</v>
      </c>
      <c r="C265" s="23" t="s">
        <v>636</v>
      </c>
      <c r="D265" s="22" t="s">
        <v>645</v>
      </c>
      <c r="E265" s="47">
        <v>0</v>
      </c>
      <c r="F265" s="48">
        <v>0</v>
      </c>
      <c r="G265" s="49">
        <v>0</v>
      </c>
      <c r="H265" s="44"/>
      <c r="I265" s="45"/>
      <c r="J265" s="46"/>
      <c r="K265" s="46"/>
      <c r="L265" s="24"/>
      <c r="M265" s="25"/>
      <c r="N265" s="25"/>
      <c r="O265" s="25"/>
      <c r="P265" s="47"/>
      <c r="Q265" s="48"/>
      <c r="R265" s="49"/>
      <c r="S265" s="50">
        <v>0</v>
      </c>
      <c r="T265" s="51">
        <v>0</v>
      </c>
      <c r="U265" s="52">
        <v>0</v>
      </c>
      <c r="V265" s="53">
        <v>0</v>
      </c>
      <c r="W265" s="54">
        <v>0</v>
      </c>
      <c r="X265" s="55">
        <v>0</v>
      </c>
      <c r="Y265" s="47">
        <v>0</v>
      </c>
      <c r="Z265" s="49">
        <v>0</v>
      </c>
    </row>
    <row r="266" spans="1:26" s="30" customFormat="1" ht="18" customHeight="1" x14ac:dyDescent="0.25">
      <c r="A266" s="21" t="s">
        <v>647</v>
      </c>
      <c r="B266" s="22">
        <v>5020125</v>
      </c>
      <c r="C266" s="23" t="s">
        <v>636</v>
      </c>
      <c r="D266" s="22" t="s">
        <v>637</v>
      </c>
      <c r="E266" s="41">
        <v>0</v>
      </c>
      <c r="F266" s="42">
        <v>0</v>
      </c>
      <c r="G266" s="43">
        <v>0</v>
      </c>
      <c r="H266" s="44"/>
      <c r="I266" s="45"/>
      <c r="J266" s="46"/>
      <c r="K266" s="46"/>
      <c r="L266" s="24"/>
      <c r="M266" s="25"/>
      <c r="N266" s="25"/>
      <c r="O266" s="25"/>
      <c r="P266" s="47"/>
      <c r="Q266" s="48"/>
      <c r="R266" s="49"/>
      <c r="S266" s="50">
        <v>0</v>
      </c>
      <c r="T266" s="51">
        <v>0</v>
      </c>
      <c r="U266" s="52">
        <v>0</v>
      </c>
      <c r="V266" s="53">
        <v>0</v>
      </c>
      <c r="W266" s="54">
        <v>0</v>
      </c>
      <c r="X266" s="55">
        <v>0</v>
      </c>
      <c r="Y266" s="56">
        <v>0</v>
      </c>
      <c r="Z266" s="57">
        <v>0</v>
      </c>
    </row>
    <row r="267" spans="1:26" s="30" customFormat="1" ht="18" customHeight="1" x14ac:dyDescent="0.25">
      <c r="A267" s="21" t="s">
        <v>649</v>
      </c>
      <c r="B267" s="22">
        <v>5020150</v>
      </c>
      <c r="C267" s="23" t="s">
        <v>636</v>
      </c>
      <c r="D267" s="22" t="s">
        <v>609</v>
      </c>
      <c r="E267" s="41">
        <v>0</v>
      </c>
      <c r="F267" s="42">
        <v>0</v>
      </c>
      <c r="G267" s="43">
        <v>0</v>
      </c>
      <c r="H267" s="24"/>
      <c r="I267" s="25"/>
      <c r="J267" s="25"/>
      <c r="K267" s="25"/>
      <c r="L267" s="24"/>
      <c r="M267" s="25"/>
      <c r="N267" s="25"/>
      <c r="O267" s="25"/>
      <c r="P267" s="47"/>
      <c r="Q267" s="48"/>
      <c r="R267" s="49"/>
      <c r="S267" s="50">
        <v>0</v>
      </c>
      <c r="T267" s="51">
        <v>0</v>
      </c>
      <c r="U267" s="52">
        <v>0</v>
      </c>
      <c r="V267" s="53">
        <v>0</v>
      </c>
      <c r="W267" s="54">
        <v>0</v>
      </c>
      <c r="X267" s="55">
        <v>0</v>
      </c>
      <c r="Y267" s="56">
        <v>0</v>
      </c>
      <c r="Z267" s="57">
        <v>0</v>
      </c>
    </row>
    <row r="268" spans="1:26" s="30" customFormat="1" ht="18" customHeight="1" x14ac:dyDescent="0.25">
      <c r="A268" s="21" t="s">
        <v>651</v>
      </c>
      <c r="B268" s="22">
        <v>5020240</v>
      </c>
      <c r="C268" s="23" t="s">
        <v>636</v>
      </c>
      <c r="D268" s="22" t="s">
        <v>652</v>
      </c>
      <c r="E268" s="41">
        <v>0</v>
      </c>
      <c r="F268" s="42">
        <v>0</v>
      </c>
      <c r="G268" s="43">
        <v>0</v>
      </c>
      <c r="H268" s="24"/>
      <c r="I268" s="25"/>
      <c r="J268" s="25"/>
      <c r="K268" s="25"/>
      <c r="L268" s="24"/>
      <c r="M268" s="25"/>
      <c r="N268" s="25"/>
      <c r="O268" s="25"/>
      <c r="P268" s="47"/>
      <c r="Q268" s="48"/>
      <c r="R268" s="49"/>
      <c r="S268" s="50">
        <v>0</v>
      </c>
      <c r="T268" s="51">
        <v>0</v>
      </c>
      <c r="U268" s="52">
        <v>0</v>
      </c>
      <c r="V268" s="53">
        <v>0</v>
      </c>
      <c r="W268" s="54">
        <v>0</v>
      </c>
      <c r="X268" s="55">
        <v>0</v>
      </c>
      <c r="Y268" s="47">
        <v>0</v>
      </c>
      <c r="Z268" s="49">
        <v>0</v>
      </c>
    </row>
    <row r="269" spans="1:26" s="30" customFormat="1" ht="18" customHeight="1" x14ac:dyDescent="0.25">
      <c r="A269" s="21" t="s">
        <v>654</v>
      </c>
      <c r="B269" s="22">
        <v>50203416</v>
      </c>
      <c r="C269" s="23" t="s">
        <v>636</v>
      </c>
      <c r="D269" s="22" t="s">
        <v>655</v>
      </c>
      <c r="E269" s="41">
        <v>0</v>
      </c>
      <c r="F269" s="42">
        <v>0</v>
      </c>
      <c r="G269" s="43">
        <v>0</v>
      </c>
      <c r="H269" s="24"/>
      <c r="I269" s="25"/>
      <c r="J269" s="25"/>
      <c r="K269" s="25"/>
      <c r="L269" s="24"/>
      <c r="M269" s="25"/>
      <c r="N269" s="25"/>
      <c r="O269" s="25"/>
      <c r="P269" s="47"/>
      <c r="Q269" s="48"/>
      <c r="R269" s="49"/>
      <c r="S269" s="50">
        <v>0</v>
      </c>
      <c r="T269" s="51">
        <v>0</v>
      </c>
      <c r="U269" s="52">
        <v>0</v>
      </c>
      <c r="V269" s="53">
        <v>0</v>
      </c>
      <c r="W269" s="54">
        <v>0</v>
      </c>
      <c r="X269" s="55">
        <v>0</v>
      </c>
      <c r="Y269" s="47">
        <v>0</v>
      </c>
      <c r="Z269" s="49">
        <v>0</v>
      </c>
    </row>
    <row r="270" spans="1:26" s="30" customFormat="1" ht="18" customHeight="1" x14ac:dyDescent="0.25">
      <c r="A270" s="21" t="s">
        <v>657</v>
      </c>
      <c r="B270" s="22">
        <v>50203931</v>
      </c>
      <c r="C270" s="23" t="s">
        <v>636</v>
      </c>
      <c r="D270" s="22" t="s">
        <v>415</v>
      </c>
      <c r="E270" s="41">
        <v>0</v>
      </c>
      <c r="F270" s="42">
        <v>0</v>
      </c>
      <c r="G270" s="43">
        <v>0</v>
      </c>
      <c r="H270" s="24"/>
      <c r="I270" s="25"/>
      <c r="J270" s="25"/>
      <c r="K270" s="25"/>
      <c r="L270" s="24"/>
      <c r="M270" s="25"/>
      <c r="N270" s="25"/>
      <c r="O270" s="25"/>
      <c r="P270" s="47"/>
      <c r="Q270" s="48"/>
      <c r="R270" s="49"/>
      <c r="S270" s="50">
        <v>0</v>
      </c>
      <c r="T270" s="51">
        <v>0</v>
      </c>
      <c r="U270" s="52">
        <v>0</v>
      </c>
      <c r="V270" s="53">
        <v>0</v>
      </c>
      <c r="W270" s="54">
        <v>0</v>
      </c>
      <c r="X270" s="55">
        <v>0</v>
      </c>
      <c r="Y270" s="47">
        <v>0</v>
      </c>
      <c r="Z270" s="49">
        <v>0</v>
      </c>
    </row>
    <row r="271" spans="1:26" s="30" customFormat="1" ht="18" customHeight="1" x14ac:dyDescent="0.25">
      <c r="A271" s="21" t="s">
        <v>66</v>
      </c>
      <c r="B271" s="22">
        <v>50205931</v>
      </c>
      <c r="C271" s="23" t="s">
        <v>636</v>
      </c>
      <c r="D271" s="22" t="s">
        <v>67</v>
      </c>
      <c r="E271" s="41">
        <v>0</v>
      </c>
      <c r="F271" s="42">
        <v>0</v>
      </c>
      <c r="G271" s="43">
        <v>0</v>
      </c>
      <c r="H271" s="24"/>
      <c r="I271" s="25"/>
      <c r="J271" s="25"/>
      <c r="K271" s="25"/>
      <c r="L271" s="24"/>
      <c r="M271" s="25"/>
      <c r="N271" s="25"/>
      <c r="O271" s="25"/>
      <c r="P271" s="47"/>
      <c r="Q271" s="48"/>
      <c r="R271" s="49"/>
      <c r="S271" s="50">
        <v>0</v>
      </c>
      <c r="T271" s="51">
        <v>0</v>
      </c>
      <c r="U271" s="52">
        <v>0</v>
      </c>
      <c r="V271" s="53">
        <v>0</v>
      </c>
      <c r="W271" s="54">
        <v>0</v>
      </c>
      <c r="X271" s="55">
        <v>0</v>
      </c>
      <c r="Y271" s="56">
        <v>0</v>
      </c>
      <c r="Z271" s="57">
        <v>0</v>
      </c>
    </row>
    <row r="272" spans="1:26" s="30" customFormat="1" ht="18" customHeight="1" x14ac:dyDescent="0.25">
      <c r="A272" s="21" t="s">
        <v>659</v>
      </c>
      <c r="B272" s="22">
        <v>5020700</v>
      </c>
      <c r="C272" s="23" t="s">
        <v>636</v>
      </c>
      <c r="D272" s="22" t="s">
        <v>660</v>
      </c>
      <c r="E272" s="41">
        <v>0</v>
      </c>
      <c r="F272" s="42">
        <v>0</v>
      </c>
      <c r="G272" s="43">
        <v>0</v>
      </c>
      <c r="H272" s="24"/>
      <c r="I272" s="25"/>
      <c r="J272" s="25"/>
      <c r="K272" s="25"/>
      <c r="L272" s="24"/>
      <c r="M272" s="25"/>
      <c r="N272" s="25"/>
      <c r="O272" s="25"/>
      <c r="P272" s="47"/>
      <c r="Q272" s="48"/>
      <c r="R272" s="49"/>
      <c r="S272" s="50">
        <v>0</v>
      </c>
      <c r="T272" s="51">
        <v>0</v>
      </c>
      <c r="U272" s="52">
        <v>0</v>
      </c>
      <c r="V272" s="53">
        <v>0</v>
      </c>
      <c r="W272" s="54">
        <v>0</v>
      </c>
      <c r="X272" s="55">
        <v>0</v>
      </c>
      <c r="Y272" s="56">
        <v>0</v>
      </c>
      <c r="Z272" s="57">
        <v>0</v>
      </c>
    </row>
    <row r="273" spans="1:26" s="30" customFormat="1" ht="18" customHeight="1" x14ac:dyDescent="0.25">
      <c r="A273" s="21" t="s">
        <v>662</v>
      </c>
      <c r="B273" s="22">
        <v>5020702</v>
      </c>
      <c r="C273" s="23" t="s">
        <v>636</v>
      </c>
      <c r="D273" s="22" t="s">
        <v>632</v>
      </c>
      <c r="E273" s="41">
        <v>0</v>
      </c>
      <c r="F273" s="42">
        <v>0</v>
      </c>
      <c r="G273" s="43">
        <v>0</v>
      </c>
      <c r="H273" s="24"/>
      <c r="I273" s="25"/>
      <c r="J273" s="25"/>
      <c r="K273" s="25"/>
      <c r="L273" s="24"/>
      <c r="M273" s="25"/>
      <c r="N273" s="25"/>
      <c r="O273" s="25"/>
      <c r="P273" s="47"/>
      <c r="Q273" s="48"/>
      <c r="R273" s="49"/>
      <c r="S273" s="50">
        <v>0</v>
      </c>
      <c r="T273" s="51">
        <v>0</v>
      </c>
      <c r="U273" s="52">
        <v>0</v>
      </c>
      <c r="V273" s="53">
        <v>0</v>
      </c>
      <c r="W273" s="54">
        <v>0</v>
      </c>
      <c r="X273" s="55">
        <v>0</v>
      </c>
      <c r="Y273" s="56">
        <v>0</v>
      </c>
      <c r="Z273" s="57">
        <v>0</v>
      </c>
    </row>
    <row r="274" spans="1:26" s="30" customFormat="1" ht="18" customHeight="1" x14ac:dyDescent="0.25">
      <c r="A274" s="21" t="s">
        <v>664</v>
      </c>
      <c r="B274" s="22">
        <v>5020717</v>
      </c>
      <c r="C274" s="23" t="s">
        <v>636</v>
      </c>
      <c r="D274" s="22" t="s">
        <v>665</v>
      </c>
      <c r="E274" s="41">
        <v>0</v>
      </c>
      <c r="F274" s="42">
        <v>0</v>
      </c>
      <c r="G274" s="43">
        <v>0</v>
      </c>
      <c r="H274" s="44"/>
      <c r="I274" s="45"/>
      <c r="J274" s="46"/>
      <c r="K274" s="46"/>
      <c r="L274" s="24"/>
      <c r="M274" s="25"/>
      <c r="N274" s="25"/>
      <c r="O274" s="25"/>
      <c r="P274" s="47"/>
      <c r="Q274" s="48"/>
      <c r="R274" s="49"/>
      <c r="S274" s="50">
        <v>0</v>
      </c>
      <c r="T274" s="51">
        <v>0</v>
      </c>
      <c r="U274" s="52">
        <v>0</v>
      </c>
      <c r="V274" s="53">
        <v>0</v>
      </c>
      <c r="W274" s="54">
        <v>0</v>
      </c>
      <c r="X274" s="55">
        <v>0</v>
      </c>
      <c r="Y274" s="56">
        <v>0</v>
      </c>
      <c r="Z274" s="57">
        <v>0</v>
      </c>
    </row>
    <row r="275" spans="1:26" s="30" customFormat="1" ht="18" customHeight="1" x14ac:dyDescent="0.25">
      <c r="A275" s="21" t="s">
        <v>667</v>
      </c>
      <c r="B275" s="22">
        <v>5020740</v>
      </c>
      <c r="C275" s="23" t="s">
        <v>636</v>
      </c>
      <c r="D275" s="22" t="s">
        <v>668</v>
      </c>
      <c r="E275" s="41">
        <v>0</v>
      </c>
      <c r="F275" s="42">
        <v>0</v>
      </c>
      <c r="G275" s="43">
        <v>0</v>
      </c>
      <c r="H275" s="44"/>
      <c r="I275" s="45"/>
      <c r="J275" s="46"/>
      <c r="K275" s="46"/>
      <c r="L275" s="24"/>
      <c r="M275" s="25"/>
      <c r="N275" s="25"/>
      <c r="O275" s="25"/>
      <c r="P275" s="47"/>
      <c r="Q275" s="48"/>
      <c r="R275" s="49"/>
      <c r="S275" s="50">
        <v>0</v>
      </c>
      <c r="T275" s="51">
        <v>0</v>
      </c>
      <c r="U275" s="52">
        <v>0</v>
      </c>
      <c r="V275" s="53">
        <v>0</v>
      </c>
      <c r="W275" s="54">
        <v>0</v>
      </c>
      <c r="X275" s="55">
        <v>0</v>
      </c>
      <c r="Y275" s="47">
        <v>0</v>
      </c>
      <c r="Z275" s="49">
        <v>0</v>
      </c>
    </row>
    <row r="276" spans="1:26" s="30" customFormat="1" ht="18" customHeight="1" x14ac:dyDescent="0.25">
      <c r="A276" s="21" t="s">
        <v>670</v>
      </c>
      <c r="B276" s="22">
        <v>5020765</v>
      </c>
      <c r="C276" s="23" t="s">
        <v>636</v>
      </c>
      <c r="D276" s="22" t="s">
        <v>652</v>
      </c>
      <c r="E276" s="41">
        <v>0</v>
      </c>
      <c r="F276" s="42">
        <v>0</v>
      </c>
      <c r="G276" s="43">
        <v>0</v>
      </c>
      <c r="H276" s="24"/>
      <c r="I276" s="25"/>
      <c r="J276" s="25"/>
      <c r="K276" s="25"/>
      <c r="L276" s="24"/>
      <c r="M276" s="25"/>
      <c r="N276" s="25"/>
      <c r="O276" s="25"/>
      <c r="P276" s="47"/>
      <c r="Q276" s="48"/>
      <c r="R276" s="49"/>
      <c r="S276" s="50">
        <v>0</v>
      </c>
      <c r="T276" s="51">
        <v>0</v>
      </c>
      <c r="U276" s="52">
        <v>0</v>
      </c>
      <c r="V276" s="58">
        <v>0</v>
      </c>
      <c r="W276" s="48">
        <v>0</v>
      </c>
      <c r="X276" s="49">
        <v>0</v>
      </c>
      <c r="Y276" s="56">
        <v>0</v>
      </c>
      <c r="Z276" s="57">
        <v>0</v>
      </c>
    </row>
    <row r="277" spans="1:26" s="30" customFormat="1" ht="18" customHeight="1" x14ac:dyDescent="0.25">
      <c r="A277" s="21" t="s">
        <v>670</v>
      </c>
      <c r="B277" s="22">
        <v>5020783</v>
      </c>
      <c r="C277" s="23" t="s">
        <v>636</v>
      </c>
      <c r="D277" s="22" t="s">
        <v>609</v>
      </c>
      <c r="E277" s="47">
        <v>0</v>
      </c>
      <c r="F277" s="48">
        <v>0</v>
      </c>
      <c r="G277" s="49">
        <v>0</v>
      </c>
      <c r="H277" s="44"/>
      <c r="I277" s="45"/>
      <c r="J277" s="46"/>
      <c r="K277" s="46"/>
      <c r="L277" s="24"/>
      <c r="M277" s="25"/>
      <c r="N277" s="25"/>
      <c r="O277" s="25"/>
      <c r="P277" s="47"/>
      <c r="Q277" s="48"/>
      <c r="R277" s="49"/>
      <c r="S277" s="50">
        <v>0</v>
      </c>
      <c r="T277" s="51">
        <v>0</v>
      </c>
      <c r="U277" s="52">
        <v>0</v>
      </c>
      <c r="V277" s="53">
        <v>0</v>
      </c>
      <c r="W277" s="54">
        <v>0</v>
      </c>
      <c r="X277" s="55">
        <v>0</v>
      </c>
      <c r="Y277" s="47">
        <v>0</v>
      </c>
      <c r="Z277" s="49">
        <v>0</v>
      </c>
    </row>
    <row r="278" spans="1:26" s="30" customFormat="1" ht="18" customHeight="1" x14ac:dyDescent="0.25">
      <c r="A278" s="21" t="s">
        <v>673</v>
      </c>
      <c r="B278" s="22">
        <v>5020800</v>
      </c>
      <c r="C278" s="23" t="s">
        <v>636</v>
      </c>
      <c r="D278" s="22" t="s">
        <v>674</v>
      </c>
      <c r="E278" s="41">
        <v>0</v>
      </c>
      <c r="F278" s="42">
        <v>0</v>
      </c>
      <c r="G278" s="43">
        <v>0</v>
      </c>
      <c r="H278" s="24"/>
      <c r="I278" s="25"/>
      <c r="J278" s="25"/>
      <c r="K278" s="25"/>
      <c r="L278" s="24"/>
      <c r="M278" s="25"/>
      <c r="N278" s="25"/>
      <c r="O278" s="25"/>
      <c r="P278" s="47"/>
      <c r="Q278" s="48"/>
      <c r="R278" s="49"/>
      <c r="S278" s="50">
        <v>0</v>
      </c>
      <c r="T278" s="51">
        <v>0</v>
      </c>
      <c r="U278" s="52">
        <v>0</v>
      </c>
      <c r="V278" s="53">
        <v>0</v>
      </c>
      <c r="W278" s="54">
        <v>0</v>
      </c>
      <c r="X278" s="55">
        <v>0</v>
      </c>
      <c r="Y278" s="47">
        <v>0</v>
      </c>
      <c r="Z278" s="49">
        <v>0</v>
      </c>
    </row>
    <row r="279" spans="1:26" s="30" customFormat="1" ht="18" customHeight="1" x14ac:dyDescent="0.25">
      <c r="A279" s="21" t="s">
        <v>676</v>
      </c>
      <c r="B279" s="22">
        <v>50208280</v>
      </c>
      <c r="C279" s="23" t="s">
        <v>636</v>
      </c>
      <c r="D279" s="22" t="s">
        <v>677</v>
      </c>
      <c r="E279" s="41">
        <v>0</v>
      </c>
      <c r="F279" s="42">
        <v>0</v>
      </c>
      <c r="G279" s="43">
        <v>0</v>
      </c>
      <c r="H279" s="24"/>
      <c r="I279" s="25"/>
      <c r="J279" s="25"/>
      <c r="K279" s="25"/>
      <c r="L279" s="24"/>
      <c r="M279" s="25"/>
      <c r="N279" s="25"/>
      <c r="O279" s="25"/>
      <c r="P279" s="47"/>
      <c r="Q279" s="48"/>
      <c r="R279" s="49"/>
      <c r="S279" s="50">
        <v>0</v>
      </c>
      <c r="T279" s="51">
        <v>0</v>
      </c>
      <c r="U279" s="52">
        <v>0</v>
      </c>
      <c r="V279" s="58">
        <v>0</v>
      </c>
      <c r="W279" s="48">
        <v>0</v>
      </c>
      <c r="X279" s="49">
        <v>0</v>
      </c>
      <c r="Y279" s="56">
        <v>0</v>
      </c>
      <c r="Z279" s="57">
        <v>0</v>
      </c>
    </row>
    <row r="280" spans="1:26" s="30" customFormat="1" ht="18" customHeight="1" x14ac:dyDescent="0.25">
      <c r="A280" s="21" t="s">
        <v>679</v>
      </c>
      <c r="B280" s="22">
        <v>5020833</v>
      </c>
      <c r="C280" s="23" t="s">
        <v>636</v>
      </c>
      <c r="D280" s="22" t="s">
        <v>680</v>
      </c>
      <c r="E280" s="41">
        <v>0</v>
      </c>
      <c r="F280" s="42">
        <v>0</v>
      </c>
      <c r="G280" s="43">
        <v>0</v>
      </c>
      <c r="H280" s="44"/>
      <c r="I280" s="45"/>
      <c r="J280" s="46"/>
      <c r="K280" s="46"/>
      <c r="L280" s="24"/>
      <c r="M280" s="25"/>
      <c r="N280" s="25"/>
      <c r="O280" s="25"/>
      <c r="P280" s="47"/>
      <c r="Q280" s="48"/>
      <c r="R280" s="49"/>
      <c r="S280" s="50">
        <v>0</v>
      </c>
      <c r="T280" s="51">
        <v>0</v>
      </c>
      <c r="U280" s="52">
        <v>0</v>
      </c>
      <c r="V280" s="53">
        <v>0</v>
      </c>
      <c r="W280" s="54">
        <v>0</v>
      </c>
      <c r="X280" s="55">
        <v>0</v>
      </c>
      <c r="Y280" s="56">
        <v>0</v>
      </c>
      <c r="Z280" s="57">
        <v>0</v>
      </c>
    </row>
    <row r="281" spans="1:26" s="30" customFormat="1" ht="18" customHeight="1" x14ac:dyDescent="0.25">
      <c r="A281" s="21" t="s">
        <v>682</v>
      </c>
      <c r="B281" s="22">
        <v>5020924</v>
      </c>
      <c r="C281" s="23" t="s">
        <v>636</v>
      </c>
      <c r="D281" s="22" t="s">
        <v>683</v>
      </c>
      <c r="E281" s="41">
        <v>0</v>
      </c>
      <c r="F281" s="42">
        <v>0</v>
      </c>
      <c r="G281" s="43">
        <v>0</v>
      </c>
      <c r="H281" s="44"/>
      <c r="I281" s="45"/>
      <c r="J281" s="46"/>
      <c r="K281" s="46"/>
      <c r="L281" s="24"/>
      <c r="M281" s="25"/>
      <c r="N281" s="25"/>
      <c r="O281" s="25"/>
      <c r="P281" s="47"/>
      <c r="Q281" s="48"/>
      <c r="R281" s="49"/>
      <c r="S281" s="50">
        <v>0</v>
      </c>
      <c r="T281" s="51">
        <v>0</v>
      </c>
      <c r="U281" s="52">
        <v>0</v>
      </c>
      <c r="V281" s="53">
        <v>0</v>
      </c>
      <c r="W281" s="54">
        <v>0</v>
      </c>
      <c r="X281" s="55">
        <v>0</v>
      </c>
      <c r="Y281" s="56">
        <v>0</v>
      </c>
      <c r="Z281" s="57">
        <v>0</v>
      </c>
    </row>
    <row r="282" spans="1:26" s="30" customFormat="1" ht="18" customHeight="1" x14ac:dyDescent="0.25">
      <c r="A282" s="21" t="s">
        <v>685</v>
      </c>
      <c r="B282" s="22">
        <v>50209892</v>
      </c>
      <c r="C282" s="23" t="s">
        <v>636</v>
      </c>
      <c r="D282" s="22" t="s">
        <v>686</v>
      </c>
      <c r="E282" s="41">
        <v>0</v>
      </c>
      <c r="F282" s="42">
        <v>0</v>
      </c>
      <c r="G282" s="43">
        <v>0</v>
      </c>
      <c r="H282" s="24"/>
      <c r="I282" s="25"/>
      <c r="J282" s="25"/>
      <c r="K282" s="25"/>
      <c r="L282" s="24"/>
      <c r="M282" s="25"/>
      <c r="N282" s="25"/>
      <c r="O282" s="25"/>
      <c r="P282" s="47"/>
      <c r="Q282" s="48"/>
      <c r="R282" s="49"/>
      <c r="S282" s="50">
        <v>0</v>
      </c>
      <c r="T282" s="51">
        <v>0</v>
      </c>
      <c r="U282" s="52">
        <v>0</v>
      </c>
      <c r="V282" s="53">
        <v>0</v>
      </c>
      <c r="W282" s="54">
        <v>0</v>
      </c>
      <c r="X282" s="55">
        <v>0</v>
      </c>
      <c r="Y282" s="47">
        <v>0</v>
      </c>
      <c r="Z282" s="49">
        <v>0</v>
      </c>
    </row>
    <row r="283" spans="1:26" s="30" customFormat="1" ht="18" customHeight="1" x14ac:dyDescent="0.25">
      <c r="A283" s="21" t="s">
        <v>635</v>
      </c>
      <c r="B283" s="22">
        <v>5021004</v>
      </c>
      <c r="C283" s="23" t="s">
        <v>636</v>
      </c>
      <c r="D283" s="22" t="s">
        <v>645</v>
      </c>
      <c r="E283" s="41">
        <v>0</v>
      </c>
      <c r="F283" s="42">
        <v>0</v>
      </c>
      <c r="G283" s="43">
        <v>0</v>
      </c>
      <c r="H283" s="24"/>
      <c r="I283" s="25"/>
      <c r="J283" s="25"/>
      <c r="K283" s="25"/>
      <c r="L283" s="24"/>
      <c r="M283" s="25"/>
      <c r="N283" s="25"/>
      <c r="O283" s="25"/>
      <c r="P283" s="47"/>
      <c r="Q283" s="48"/>
      <c r="R283" s="49"/>
      <c r="S283" s="50">
        <v>0</v>
      </c>
      <c r="T283" s="51">
        <v>0</v>
      </c>
      <c r="U283" s="52">
        <v>0</v>
      </c>
      <c r="V283" s="53">
        <v>0</v>
      </c>
      <c r="W283" s="54">
        <v>0</v>
      </c>
      <c r="X283" s="55">
        <v>0</v>
      </c>
      <c r="Y283" s="47">
        <v>0</v>
      </c>
      <c r="Z283" s="49">
        <v>0</v>
      </c>
    </row>
    <row r="284" spans="1:26" s="30" customFormat="1" ht="18" customHeight="1" x14ac:dyDescent="0.25">
      <c r="A284" s="21" t="s">
        <v>689</v>
      </c>
      <c r="B284" s="22">
        <v>5021721</v>
      </c>
      <c r="C284" s="23" t="s">
        <v>636</v>
      </c>
      <c r="D284" s="22" t="s">
        <v>690</v>
      </c>
      <c r="E284" s="41">
        <v>0</v>
      </c>
      <c r="F284" s="42">
        <v>0</v>
      </c>
      <c r="G284" s="43">
        <v>0</v>
      </c>
      <c r="H284" s="44"/>
      <c r="I284" s="45"/>
      <c r="J284" s="46"/>
      <c r="K284" s="46"/>
      <c r="L284" s="24"/>
      <c r="M284" s="25"/>
      <c r="N284" s="25"/>
      <c r="O284" s="25"/>
      <c r="P284" s="47"/>
      <c r="Q284" s="48"/>
      <c r="R284" s="49"/>
      <c r="S284" s="50">
        <v>0</v>
      </c>
      <c r="T284" s="51">
        <v>0</v>
      </c>
      <c r="U284" s="52">
        <v>0</v>
      </c>
      <c r="V284" s="53">
        <v>0</v>
      </c>
      <c r="W284" s="54">
        <v>0</v>
      </c>
      <c r="X284" s="55">
        <v>0</v>
      </c>
      <c r="Y284" s="56">
        <v>0</v>
      </c>
      <c r="Z284" s="57">
        <v>0</v>
      </c>
    </row>
    <row r="285" spans="1:26" s="30" customFormat="1" ht="18" customHeight="1" x14ac:dyDescent="0.25">
      <c r="A285" s="21" t="s">
        <v>635</v>
      </c>
      <c r="B285" s="22">
        <v>5021864</v>
      </c>
      <c r="C285" s="23" t="s">
        <v>636</v>
      </c>
      <c r="D285" s="22" t="s">
        <v>692</v>
      </c>
      <c r="E285" s="41">
        <v>0</v>
      </c>
      <c r="F285" s="42">
        <v>0</v>
      </c>
      <c r="G285" s="43">
        <v>0</v>
      </c>
      <c r="H285" s="24"/>
      <c r="I285" s="25"/>
      <c r="J285" s="25"/>
      <c r="K285" s="25"/>
      <c r="L285" s="24"/>
      <c r="M285" s="25"/>
      <c r="N285" s="25"/>
      <c r="O285" s="25"/>
      <c r="P285" s="47"/>
      <c r="Q285" s="48"/>
      <c r="R285" s="49"/>
      <c r="S285" s="50">
        <v>0</v>
      </c>
      <c r="T285" s="51">
        <v>0</v>
      </c>
      <c r="U285" s="52">
        <v>0</v>
      </c>
      <c r="V285" s="58">
        <v>0</v>
      </c>
      <c r="W285" s="48">
        <v>0</v>
      </c>
      <c r="X285" s="49">
        <v>0</v>
      </c>
      <c r="Y285" s="56">
        <v>0</v>
      </c>
      <c r="Z285" s="57">
        <v>0</v>
      </c>
    </row>
    <row r="286" spans="1:26" s="30" customFormat="1" ht="18" customHeight="1" x14ac:dyDescent="0.25">
      <c r="A286" s="21" t="s">
        <v>694</v>
      </c>
      <c r="B286" s="22">
        <v>5030010</v>
      </c>
      <c r="C286" s="23" t="s">
        <v>695</v>
      </c>
      <c r="D286" s="22" t="s">
        <v>479</v>
      </c>
      <c r="E286" s="41">
        <v>0</v>
      </c>
      <c r="F286" s="42">
        <v>0</v>
      </c>
      <c r="G286" s="43">
        <v>0</v>
      </c>
      <c r="H286" s="24"/>
      <c r="I286" s="25"/>
      <c r="J286" s="25"/>
      <c r="K286" s="25"/>
      <c r="L286" s="24"/>
      <c r="M286" s="25"/>
      <c r="N286" s="25"/>
      <c r="O286" s="25"/>
      <c r="P286" s="47"/>
      <c r="Q286" s="48"/>
      <c r="R286" s="49"/>
      <c r="S286" s="50">
        <v>0</v>
      </c>
      <c r="T286" s="51">
        <v>0</v>
      </c>
      <c r="U286" s="52">
        <v>0</v>
      </c>
      <c r="V286" s="58">
        <v>0</v>
      </c>
      <c r="W286" s="48">
        <v>0</v>
      </c>
      <c r="X286" s="49">
        <v>0</v>
      </c>
      <c r="Y286" s="56">
        <v>0</v>
      </c>
      <c r="Z286" s="57">
        <v>0</v>
      </c>
    </row>
    <row r="287" spans="1:26" s="30" customFormat="1" ht="18" customHeight="1" x14ac:dyDescent="0.25">
      <c r="A287" s="21" t="s">
        <v>697</v>
      </c>
      <c r="B287" s="22">
        <v>5030020</v>
      </c>
      <c r="C287" s="23" t="s">
        <v>695</v>
      </c>
      <c r="D287" s="22" t="s">
        <v>479</v>
      </c>
      <c r="E287" s="41">
        <v>0</v>
      </c>
      <c r="F287" s="42">
        <v>0</v>
      </c>
      <c r="G287" s="43">
        <v>0</v>
      </c>
      <c r="H287" s="44"/>
      <c r="I287" s="45"/>
      <c r="J287" s="46"/>
      <c r="K287" s="46"/>
      <c r="L287" s="24"/>
      <c r="M287" s="25"/>
      <c r="N287" s="25"/>
      <c r="O287" s="25"/>
      <c r="P287" s="47"/>
      <c r="Q287" s="48"/>
      <c r="R287" s="49"/>
      <c r="S287" s="50">
        <v>0</v>
      </c>
      <c r="T287" s="51">
        <v>0</v>
      </c>
      <c r="U287" s="52">
        <v>0</v>
      </c>
      <c r="V287" s="53">
        <v>0</v>
      </c>
      <c r="W287" s="54">
        <v>0</v>
      </c>
      <c r="X287" s="55">
        <v>0</v>
      </c>
      <c r="Y287" s="56">
        <v>0</v>
      </c>
      <c r="Z287" s="57">
        <v>0</v>
      </c>
    </row>
    <row r="288" spans="1:26" s="30" customFormat="1" ht="18" customHeight="1" x14ac:dyDescent="0.25">
      <c r="A288" s="21" t="s">
        <v>694</v>
      </c>
      <c r="B288" s="22">
        <v>5030122</v>
      </c>
      <c r="C288" s="23" t="s">
        <v>695</v>
      </c>
      <c r="D288" s="22" t="s">
        <v>333</v>
      </c>
      <c r="E288" s="41">
        <v>0</v>
      </c>
      <c r="F288" s="42">
        <v>0</v>
      </c>
      <c r="G288" s="43">
        <v>0</v>
      </c>
      <c r="H288" s="44"/>
      <c r="I288" s="45"/>
      <c r="J288" s="46"/>
      <c r="K288" s="46"/>
      <c r="L288" s="24"/>
      <c r="M288" s="25"/>
      <c r="N288" s="25"/>
      <c r="O288" s="25"/>
      <c r="P288" s="47"/>
      <c r="Q288" s="48"/>
      <c r="R288" s="49"/>
      <c r="S288" s="50">
        <v>0</v>
      </c>
      <c r="T288" s="51">
        <v>0</v>
      </c>
      <c r="U288" s="52">
        <v>0</v>
      </c>
      <c r="V288" s="53">
        <v>0</v>
      </c>
      <c r="W288" s="54">
        <v>0</v>
      </c>
      <c r="X288" s="55">
        <v>0</v>
      </c>
      <c r="Y288" s="56">
        <v>0</v>
      </c>
      <c r="Z288" s="57">
        <v>0</v>
      </c>
    </row>
    <row r="289" spans="1:26" s="30" customFormat="1" ht="18" customHeight="1" x14ac:dyDescent="0.25">
      <c r="A289" s="21" t="s">
        <v>697</v>
      </c>
      <c r="B289" s="22">
        <v>5031232</v>
      </c>
      <c r="C289" s="23" t="s">
        <v>695</v>
      </c>
      <c r="D289" s="22" t="s">
        <v>700</v>
      </c>
      <c r="E289" s="41">
        <v>0</v>
      </c>
      <c r="F289" s="42">
        <v>0</v>
      </c>
      <c r="G289" s="43">
        <v>0</v>
      </c>
      <c r="H289" s="24"/>
      <c r="I289" s="25"/>
      <c r="J289" s="25"/>
      <c r="K289" s="25"/>
      <c r="L289" s="24"/>
      <c r="M289" s="25"/>
      <c r="N289" s="25"/>
      <c r="O289" s="25"/>
      <c r="P289" s="47"/>
      <c r="Q289" s="48"/>
      <c r="R289" s="49"/>
      <c r="S289" s="50">
        <v>0</v>
      </c>
      <c r="T289" s="51">
        <v>0</v>
      </c>
      <c r="U289" s="52">
        <v>0</v>
      </c>
      <c r="V289" s="53">
        <v>0</v>
      </c>
      <c r="W289" s="54">
        <v>0</v>
      </c>
      <c r="X289" s="55">
        <v>0</v>
      </c>
      <c r="Y289" s="47">
        <v>0</v>
      </c>
      <c r="Z289" s="49">
        <v>0</v>
      </c>
    </row>
    <row r="290" spans="1:26" s="30" customFormat="1" ht="18" customHeight="1" x14ac:dyDescent="0.25">
      <c r="A290" s="21" t="s">
        <v>702</v>
      </c>
      <c r="B290" s="22">
        <v>5040067</v>
      </c>
      <c r="C290" s="23" t="s">
        <v>703</v>
      </c>
      <c r="D290" s="22" t="s">
        <v>314</v>
      </c>
      <c r="E290" s="41">
        <v>0</v>
      </c>
      <c r="F290" s="42">
        <v>0</v>
      </c>
      <c r="G290" s="43">
        <v>0</v>
      </c>
      <c r="H290" s="44"/>
      <c r="I290" s="45"/>
      <c r="J290" s="46"/>
      <c r="K290" s="46"/>
      <c r="L290" s="24"/>
      <c r="M290" s="25"/>
      <c r="N290" s="25"/>
      <c r="O290" s="25"/>
      <c r="P290" s="47"/>
      <c r="Q290" s="48"/>
      <c r="R290" s="49"/>
      <c r="S290" s="50">
        <v>0</v>
      </c>
      <c r="T290" s="51">
        <v>0</v>
      </c>
      <c r="U290" s="52">
        <v>0</v>
      </c>
      <c r="V290" s="53">
        <v>0</v>
      </c>
      <c r="W290" s="54">
        <v>0</v>
      </c>
      <c r="X290" s="55">
        <v>0</v>
      </c>
      <c r="Y290" s="56">
        <v>0</v>
      </c>
      <c r="Z290" s="57">
        <v>0</v>
      </c>
    </row>
    <row r="291" spans="1:26" s="30" customFormat="1" ht="18" customHeight="1" x14ac:dyDescent="0.25">
      <c r="A291" s="21" t="s">
        <v>705</v>
      </c>
      <c r="B291" s="22">
        <v>5040082</v>
      </c>
      <c r="C291" s="23" t="s">
        <v>703</v>
      </c>
      <c r="D291" s="22" t="s">
        <v>314</v>
      </c>
      <c r="E291" s="41">
        <v>0</v>
      </c>
      <c r="F291" s="42">
        <v>0</v>
      </c>
      <c r="G291" s="43">
        <v>0</v>
      </c>
      <c r="H291" s="44"/>
      <c r="I291" s="45"/>
      <c r="J291" s="46"/>
      <c r="K291" s="46"/>
      <c r="L291" s="24"/>
      <c r="M291" s="25"/>
      <c r="N291" s="25"/>
      <c r="O291" s="25"/>
      <c r="P291" s="47"/>
      <c r="Q291" s="48"/>
      <c r="R291" s="49"/>
      <c r="S291" s="50">
        <v>0</v>
      </c>
      <c r="T291" s="51">
        <v>0</v>
      </c>
      <c r="U291" s="52">
        <v>0</v>
      </c>
      <c r="V291" s="53">
        <v>0</v>
      </c>
      <c r="W291" s="54">
        <v>0</v>
      </c>
      <c r="X291" s="55">
        <v>0</v>
      </c>
      <c r="Y291" s="56">
        <v>0</v>
      </c>
      <c r="Z291" s="57">
        <v>0</v>
      </c>
    </row>
    <row r="292" spans="1:26" s="30" customFormat="1" ht="18" customHeight="1" x14ac:dyDescent="0.25">
      <c r="A292" s="21" t="s">
        <v>707</v>
      </c>
      <c r="B292" s="22">
        <v>5040102</v>
      </c>
      <c r="C292" s="23" t="s">
        <v>703</v>
      </c>
      <c r="D292" s="22" t="s">
        <v>708</v>
      </c>
      <c r="E292" s="41">
        <v>0</v>
      </c>
      <c r="F292" s="42">
        <v>0</v>
      </c>
      <c r="G292" s="43">
        <v>0</v>
      </c>
      <c r="H292" s="24"/>
      <c r="I292" s="25"/>
      <c r="J292" s="25"/>
      <c r="K292" s="25"/>
      <c r="L292" s="24"/>
      <c r="M292" s="25"/>
      <c r="N292" s="25"/>
      <c r="O292" s="25"/>
      <c r="P292" s="47"/>
      <c r="Q292" s="48"/>
      <c r="R292" s="49"/>
      <c r="S292" s="50">
        <v>0</v>
      </c>
      <c r="T292" s="51">
        <v>0</v>
      </c>
      <c r="U292" s="52">
        <v>0</v>
      </c>
      <c r="V292" s="53">
        <v>0</v>
      </c>
      <c r="W292" s="54">
        <v>0</v>
      </c>
      <c r="X292" s="55">
        <v>0</v>
      </c>
      <c r="Y292" s="47">
        <v>0</v>
      </c>
      <c r="Z292" s="49">
        <v>0</v>
      </c>
    </row>
    <row r="293" spans="1:26" s="30" customFormat="1" ht="18" customHeight="1" x14ac:dyDescent="0.25">
      <c r="A293" s="21" t="s">
        <v>710</v>
      </c>
      <c r="B293" s="22">
        <v>5510030</v>
      </c>
      <c r="C293" s="23" t="s">
        <v>711</v>
      </c>
      <c r="D293" s="22" t="s">
        <v>479</v>
      </c>
      <c r="E293" s="41">
        <v>0</v>
      </c>
      <c r="F293" s="42">
        <v>0</v>
      </c>
      <c r="G293" s="43">
        <v>0</v>
      </c>
      <c r="H293" s="24"/>
      <c r="I293" s="25"/>
      <c r="J293" s="25"/>
      <c r="K293" s="25"/>
      <c r="L293" s="24"/>
      <c r="M293" s="25"/>
      <c r="N293" s="25"/>
      <c r="O293" s="25"/>
      <c r="P293" s="47"/>
      <c r="Q293" s="48"/>
      <c r="R293" s="49"/>
      <c r="S293" s="50">
        <v>0</v>
      </c>
      <c r="T293" s="51">
        <v>0</v>
      </c>
      <c r="U293" s="52">
        <v>0</v>
      </c>
      <c r="V293" s="53">
        <v>0</v>
      </c>
      <c r="W293" s="54">
        <v>0</v>
      </c>
      <c r="X293" s="55">
        <v>0</v>
      </c>
      <c r="Y293" s="47">
        <v>0</v>
      </c>
      <c r="Z293" s="49">
        <v>0</v>
      </c>
    </row>
    <row r="294" spans="1:26" s="30" customFormat="1" ht="18" customHeight="1" x14ac:dyDescent="0.25">
      <c r="A294" s="21" t="s">
        <v>713</v>
      </c>
      <c r="B294" s="22">
        <v>551011013</v>
      </c>
      <c r="C294" s="23" t="s">
        <v>711</v>
      </c>
      <c r="D294" s="22" t="s">
        <v>333</v>
      </c>
      <c r="E294" s="41">
        <v>0</v>
      </c>
      <c r="F294" s="42">
        <v>0</v>
      </c>
      <c r="G294" s="43">
        <v>0</v>
      </c>
      <c r="H294" s="24"/>
      <c r="I294" s="25"/>
      <c r="J294" s="25"/>
      <c r="K294" s="25"/>
      <c r="L294" s="24"/>
      <c r="M294" s="25"/>
      <c r="N294" s="25"/>
      <c r="O294" s="25"/>
      <c r="P294" s="47"/>
      <c r="Q294" s="48"/>
      <c r="R294" s="49"/>
      <c r="S294" s="50">
        <v>0</v>
      </c>
      <c r="T294" s="51">
        <v>0</v>
      </c>
      <c r="U294" s="52">
        <v>0</v>
      </c>
      <c r="V294" s="53">
        <v>0</v>
      </c>
      <c r="W294" s="54">
        <v>0</v>
      </c>
      <c r="X294" s="55">
        <v>0</v>
      </c>
      <c r="Y294" s="47">
        <v>0</v>
      </c>
      <c r="Z294" s="49">
        <v>0</v>
      </c>
    </row>
    <row r="295" spans="1:26" s="30" customFormat="1" ht="18" customHeight="1" x14ac:dyDescent="0.25">
      <c r="A295" s="21" t="s">
        <v>715</v>
      </c>
      <c r="B295" s="22">
        <v>551011806</v>
      </c>
      <c r="C295" s="23" t="s">
        <v>711</v>
      </c>
      <c r="D295" s="22" t="s">
        <v>716</v>
      </c>
      <c r="E295" s="41">
        <v>0</v>
      </c>
      <c r="F295" s="42">
        <v>0</v>
      </c>
      <c r="G295" s="43">
        <v>0</v>
      </c>
      <c r="H295" s="24"/>
      <c r="I295" s="25"/>
      <c r="J295" s="25"/>
      <c r="K295" s="25"/>
      <c r="L295" s="24"/>
      <c r="M295" s="25"/>
      <c r="N295" s="25"/>
      <c r="O295" s="25"/>
      <c r="P295" s="47"/>
      <c r="Q295" s="48"/>
      <c r="R295" s="49"/>
      <c r="S295" s="50">
        <v>0</v>
      </c>
      <c r="T295" s="51">
        <v>0</v>
      </c>
      <c r="U295" s="52">
        <v>0</v>
      </c>
      <c r="V295" s="58">
        <v>0</v>
      </c>
      <c r="W295" s="48">
        <v>0</v>
      </c>
      <c r="X295" s="49">
        <v>0</v>
      </c>
      <c r="Y295" s="56">
        <v>0</v>
      </c>
      <c r="Z295" s="57">
        <v>0</v>
      </c>
    </row>
    <row r="296" spans="1:26" s="30" customFormat="1" ht="18" customHeight="1" x14ac:dyDescent="0.25">
      <c r="A296" s="21" t="s">
        <v>718</v>
      </c>
      <c r="B296" s="22">
        <v>551011807</v>
      </c>
      <c r="C296" s="23" t="s">
        <v>711</v>
      </c>
      <c r="D296" s="22" t="s">
        <v>719</v>
      </c>
      <c r="E296" s="41">
        <v>0</v>
      </c>
      <c r="F296" s="42">
        <v>0</v>
      </c>
      <c r="G296" s="43">
        <v>0</v>
      </c>
      <c r="H296" s="24"/>
      <c r="I296" s="25"/>
      <c r="J296" s="25"/>
      <c r="K296" s="25"/>
      <c r="L296" s="24"/>
      <c r="M296" s="25"/>
      <c r="N296" s="25"/>
      <c r="O296" s="25"/>
      <c r="P296" s="47"/>
      <c r="Q296" s="48"/>
      <c r="R296" s="49"/>
      <c r="S296" s="50">
        <v>0</v>
      </c>
      <c r="T296" s="51">
        <v>0</v>
      </c>
      <c r="U296" s="52">
        <v>0</v>
      </c>
      <c r="V296" s="53">
        <v>0</v>
      </c>
      <c r="W296" s="54">
        <v>0</v>
      </c>
      <c r="X296" s="55">
        <v>0</v>
      </c>
      <c r="Y296" s="47">
        <v>0</v>
      </c>
      <c r="Z296" s="49">
        <v>0</v>
      </c>
    </row>
    <row r="297" spans="1:26" s="30" customFormat="1" ht="18" customHeight="1" x14ac:dyDescent="0.25">
      <c r="A297" s="21" t="s">
        <v>721</v>
      </c>
      <c r="B297" s="22">
        <v>551011928</v>
      </c>
      <c r="C297" s="23" t="s">
        <v>711</v>
      </c>
      <c r="D297" s="22" t="s">
        <v>722</v>
      </c>
      <c r="E297" s="41">
        <v>0</v>
      </c>
      <c r="F297" s="42">
        <v>0</v>
      </c>
      <c r="G297" s="43">
        <v>0</v>
      </c>
      <c r="H297" s="24"/>
      <c r="I297" s="25"/>
      <c r="J297" s="25"/>
      <c r="K297" s="25"/>
      <c r="L297" s="24"/>
      <c r="M297" s="25"/>
      <c r="N297" s="25"/>
      <c r="O297" s="25"/>
      <c r="P297" s="47"/>
      <c r="Q297" s="48"/>
      <c r="R297" s="49"/>
      <c r="S297" s="50">
        <v>0</v>
      </c>
      <c r="T297" s="51">
        <v>0</v>
      </c>
      <c r="U297" s="52">
        <v>0</v>
      </c>
      <c r="V297" s="53">
        <v>0</v>
      </c>
      <c r="W297" s="54">
        <v>0</v>
      </c>
      <c r="X297" s="55">
        <v>0</v>
      </c>
      <c r="Y297" s="47">
        <v>0</v>
      </c>
      <c r="Z297" s="49">
        <v>0</v>
      </c>
    </row>
    <row r="298" spans="1:26" s="30" customFormat="1" ht="18" customHeight="1" x14ac:dyDescent="0.25">
      <c r="A298" s="21" t="s">
        <v>724</v>
      </c>
      <c r="B298" s="22">
        <v>551011963</v>
      </c>
      <c r="C298" s="23" t="s">
        <v>711</v>
      </c>
      <c r="D298" s="22" t="s">
        <v>725</v>
      </c>
      <c r="E298" s="41">
        <v>0</v>
      </c>
      <c r="F298" s="42">
        <v>0</v>
      </c>
      <c r="G298" s="43">
        <v>0</v>
      </c>
      <c r="H298" s="24"/>
      <c r="I298" s="25"/>
      <c r="J298" s="25"/>
      <c r="K298" s="25"/>
      <c r="L298" s="24"/>
      <c r="M298" s="25"/>
      <c r="N298" s="25"/>
      <c r="O298" s="25"/>
      <c r="P298" s="47"/>
      <c r="Q298" s="48"/>
      <c r="R298" s="49"/>
      <c r="S298" s="50">
        <v>0</v>
      </c>
      <c r="T298" s="51">
        <v>0</v>
      </c>
      <c r="U298" s="52">
        <v>0</v>
      </c>
      <c r="V298" s="53">
        <v>0</v>
      </c>
      <c r="W298" s="54">
        <v>0</v>
      </c>
      <c r="X298" s="55">
        <v>0</v>
      </c>
      <c r="Y298" s="47">
        <v>0</v>
      </c>
      <c r="Z298" s="49">
        <v>0</v>
      </c>
    </row>
    <row r="299" spans="1:26" s="30" customFormat="1" ht="18" customHeight="1" x14ac:dyDescent="0.25">
      <c r="A299" s="21" t="s">
        <v>727</v>
      </c>
      <c r="B299" s="22">
        <v>551012017</v>
      </c>
      <c r="C299" s="23" t="s">
        <v>711</v>
      </c>
      <c r="D299" s="22" t="s">
        <v>61</v>
      </c>
      <c r="E299" s="41">
        <v>0</v>
      </c>
      <c r="F299" s="42">
        <v>0</v>
      </c>
      <c r="G299" s="43">
        <v>0</v>
      </c>
      <c r="H299" s="24"/>
      <c r="I299" s="25"/>
      <c r="J299" s="25"/>
      <c r="K299" s="25"/>
      <c r="L299" s="24"/>
      <c r="M299" s="25"/>
      <c r="N299" s="25"/>
      <c r="O299" s="25"/>
      <c r="P299" s="47"/>
      <c r="Q299" s="48"/>
      <c r="R299" s="49"/>
      <c r="S299" s="50">
        <v>0</v>
      </c>
      <c r="T299" s="51">
        <v>0</v>
      </c>
      <c r="U299" s="52">
        <v>0</v>
      </c>
      <c r="V299" s="58">
        <v>0</v>
      </c>
      <c r="W299" s="48">
        <v>0</v>
      </c>
      <c r="X299" s="49">
        <v>0</v>
      </c>
      <c r="Y299" s="56">
        <v>0</v>
      </c>
      <c r="Z299" s="57">
        <v>0</v>
      </c>
    </row>
    <row r="300" spans="1:26" s="30" customFormat="1" ht="18" customHeight="1" x14ac:dyDescent="0.25">
      <c r="A300" s="21" t="s">
        <v>710</v>
      </c>
      <c r="B300" s="22">
        <v>551012603</v>
      </c>
      <c r="C300" s="23" t="s">
        <v>711</v>
      </c>
      <c r="D300" s="22" t="s">
        <v>722</v>
      </c>
      <c r="E300" s="41">
        <v>0</v>
      </c>
      <c r="F300" s="42">
        <v>0</v>
      </c>
      <c r="G300" s="43">
        <v>0</v>
      </c>
      <c r="H300" s="44"/>
      <c r="I300" s="45"/>
      <c r="J300" s="46"/>
      <c r="K300" s="46"/>
      <c r="L300" s="24"/>
      <c r="M300" s="25"/>
      <c r="N300" s="25"/>
      <c r="O300" s="25"/>
      <c r="P300" s="47"/>
      <c r="Q300" s="48"/>
      <c r="R300" s="49"/>
      <c r="S300" s="50">
        <v>0</v>
      </c>
      <c r="T300" s="51">
        <v>0</v>
      </c>
      <c r="U300" s="52">
        <v>0</v>
      </c>
      <c r="V300" s="53">
        <v>0</v>
      </c>
      <c r="W300" s="54">
        <v>0</v>
      </c>
      <c r="X300" s="55">
        <v>0</v>
      </c>
      <c r="Y300" s="56">
        <v>0</v>
      </c>
      <c r="Z300" s="57">
        <v>0</v>
      </c>
    </row>
    <row r="301" spans="1:26" s="30" customFormat="1" ht="18" customHeight="1" x14ac:dyDescent="0.25">
      <c r="A301" s="21" t="s">
        <v>730</v>
      </c>
      <c r="B301" s="22">
        <v>5510240</v>
      </c>
      <c r="C301" s="23" t="s">
        <v>711</v>
      </c>
      <c r="D301" s="22" t="s">
        <v>415</v>
      </c>
      <c r="E301" s="41">
        <v>0</v>
      </c>
      <c r="F301" s="42">
        <v>0</v>
      </c>
      <c r="G301" s="43">
        <v>0</v>
      </c>
      <c r="H301" s="24"/>
      <c r="I301" s="25"/>
      <c r="J301" s="25"/>
      <c r="K301" s="25"/>
      <c r="L301" s="24"/>
      <c r="M301" s="25"/>
      <c r="N301" s="25"/>
      <c r="O301" s="25"/>
      <c r="P301" s="47"/>
      <c r="Q301" s="48"/>
      <c r="R301" s="49"/>
      <c r="S301" s="50">
        <v>0</v>
      </c>
      <c r="T301" s="51">
        <v>0</v>
      </c>
      <c r="U301" s="52">
        <v>0</v>
      </c>
      <c r="V301" s="53">
        <v>0</v>
      </c>
      <c r="W301" s="54">
        <v>0</v>
      </c>
      <c r="X301" s="55">
        <v>0</v>
      </c>
      <c r="Y301" s="47">
        <v>0</v>
      </c>
      <c r="Z301" s="49">
        <v>0</v>
      </c>
    </row>
    <row r="302" spans="1:26" s="30" customFormat="1" ht="18" customHeight="1" x14ac:dyDescent="0.25">
      <c r="A302" s="21" t="s">
        <v>727</v>
      </c>
      <c r="B302" s="22">
        <v>5510270</v>
      </c>
      <c r="C302" s="23" t="s">
        <v>711</v>
      </c>
      <c r="D302" s="22" t="s">
        <v>35</v>
      </c>
      <c r="E302" s="47">
        <v>0</v>
      </c>
      <c r="F302" s="48">
        <v>0</v>
      </c>
      <c r="G302" s="49">
        <v>0</v>
      </c>
      <c r="H302" s="44"/>
      <c r="I302" s="45"/>
      <c r="J302" s="46"/>
      <c r="K302" s="46"/>
      <c r="L302" s="24"/>
      <c r="M302" s="25"/>
      <c r="N302" s="25"/>
      <c r="O302" s="25"/>
      <c r="P302" s="47"/>
      <c r="Q302" s="48"/>
      <c r="R302" s="49"/>
      <c r="S302" s="50">
        <v>0</v>
      </c>
      <c r="T302" s="51">
        <v>0</v>
      </c>
      <c r="U302" s="52">
        <v>0</v>
      </c>
      <c r="V302" s="53">
        <v>0</v>
      </c>
      <c r="W302" s="54">
        <v>0</v>
      </c>
      <c r="X302" s="55">
        <v>0</v>
      </c>
      <c r="Y302" s="56">
        <v>0</v>
      </c>
      <c r="Z302" s="57">
        <v>0</v>
      </c>
    </row>
    <row r="303" spans="1:26" s="30" customFormat="1" ht="18" customHeight="1" x14ac:dyDescent="0.25">
      <c r="A303" s="21" t="s">
        <v>715</v>
      </c>
      <c r="B303" s="22">
        <v>55109645</v>
      </c>
      <c r="C303" s="23" t="s">
        <v>711</v>
      </c>
      <c r="D303" s="22" t="s">
        <v>733</v>
      </c>
      <c r="E303" s="41">
        <v>0</v>
      </c>
      <c r="F303" s="42">
        <v>0</v>
      </c>
      <c r="G303" s="43">
        <v>0</v>
      </c>
      <c r="H303" s="44"/>
      <c r="I303" s="45"/>
      <c r="J303" s="46"/>
      <c r="K303" s="46"/>
      <c r="L303" s="24"/>
      <c r="M303" s="25"/>
      <c r="N303" s="25"/>
      <c r="O303" s="25"/>
      <c r="P303" s="47"/>
      <c r="Q303" s="48"/>
      <c r="R303" s="49"/>
      <c r="S303" s="50">
        <v>0</v>
      </c>
      <c r="T303" s="51">
        <v>0</v>
      </c>
      <c r="U303" s="52">
        <v>0</v>
      </c>
      <c r="V303" s="53">
        <v>0</v>
      </c>
      <c r="W303" s="54">
        <v>0</v>
      </c>
      <c r="X303" s="55">
        <v>0</v>
      </c>
      <c r="Y303" s="56">
        <v>0</v>
      </c>
      <c r="Z303" s="57">
        <v>0</v>
      </c>
    </row>
    <row r="304" spans="1:26" s="30" customFormat="1" ht="18" customHeight="1" x14ac:dyDescent="0.25">
      <c r="A304" s="21" t="s">
        <v>735</v>
      </c>
      <c r="B304" s="22">
        <v>55109692</v>
      </c>
      <c r="C304" s="23" t="s">
        <v>711</v>
      </c>
      <c r="D304" s="22" t="s">
        <v>458</v>
      </c>
      <c r="E304" s="41">
        <v>0</v>
      </c>
      <c r="F304" s="42">
        <v>0</v>
      </c>
      <c r="G304" s="43">
        <v>0</v>
      </c>
      <c r="H304" s="44"/>
      <c r="I304" s="45"/>
      <c r="J304" s="46"/>
      <c r="K304" s="46"/>
      <c r="L304" s="24"/>
      <c r="M304" s="25"/>
      <c r="N304" s="25"/>
      <c r="O304" s="25"/>
      <c r="P304" s="47"/>
      <c r="Q304" s="48"/>
      <c r="R304" s="49"/>
      <c r="S304" s="50">
        <v>0</v>
      </c>
      <c r="T304" s="51">
        <v>0</v>
      </c>
      <c r="U304" s="52">
        <v>0</v>
      </c>
      <c r="V304" s="53">
        <v>0</v>
      </c>
      <c r="W304" s="54">
        <v>0</v>
      </c>
      <c r="X304" s="55">
        <v>0</v>
      </c>
      <c r="Y304" s="56">
        <v>0</v>
      </c>
      <c r="Z304" s="57">
        <v>0</v>
      </c>
    </row>
    <row r="305" spans="1:26" s="30" customFormat="1" ht="18" customHeight="1" x14ac:dyDescent="0.25">
      <c r="A305" s="21" t="s">
        <v>737</v>
      </c>
      <c r="B305" s="22">
        <v>5520313</v>
      </c>
      <c r="C305" s="23" t="s">
        <v>738</v>
      </c>
      <c r="D305" s="22" t="s">
        <v>35</v>
      </c>
      <c r="E305" s="41">
        <v>0</v>
      </c>
      <c r="F305" s="42">
        <v>0</v>
      </c>
      <c r="G305" s="43">
        <v>0</v>
      </c>
      <c r="H305" s="44"/>
      <c r="I305" s="45"/>
      <c r="J305" s="46"/>
      <c r="K305" s="46"/>
      <c r="L305" s="24"/>
      <c r="M305" s="25"/>
      <c r="N305" s="25"/>
      <c r="O305" s="25"/>
      <c r="P305" s="47"/>
      <c r="Q305" s="48"/>
      <c r="R305" s="49"/>
      <c r="S305" s="50">
        <v>0</v>
      </c>
      <c r="T305" s="51">
        <v>0</v>
      </c>
      <c r="U305" s="52">
        <v>0</v>
      </c>
      <c r="V305" s="53">
        <v>0</v>
      </c>
      <c r="W305" s="54">
        <v>0</v>
      </c>
      <c r="X305" s="55">
        <v>0</v>
      </c>
      <c r="Y305" s="56">
        <v>0</v>
      </c>
      <c r="Z305" s="57">
        <v>0</v>
      </c>
    </row>
    <row r="306" spans="1:26" s="30" customFormat="1" ht="18" customHeight="1" x14ac:dyDescent="0.25">
      <c r="A306" s="21" t="s">
        <v>740</v>
      </c>
      <c r="B306" s="22">
        <v>6010010</v>
      </c>
      <c r="C306" s="23" t="s">
        <v>741</v>
      </c>
      <c r="D306" s="22" t="s">
        <v>415</v>
      </c>
      <c r="E306" s="41">
        <v>0</v>
      </c>
      <c r="F306" s="42">
        <v>0</v>
      </c>
      <c r="G306" s="43">
        <v>0</v>
      </c>
      <c r="H306" s="24"/>
      <c r="I306" s="25"/>
      <c r="J306" s="25"/>
      <c r="K306" s="25"/>
      <c r="L306" s="24"/>
      <c r="M306" s="25"/>
      <c r="N306" s="25"/>
      <c r="O306" s="25"/>
      <c r="P306" s="47"/>
      <c r="Q306" s="48"/>
      <c r="R306" s="49"/>
      <c r="S306" s="50">
        <v>0</v>
      </c>
      <c r="T306" s="51">
        <v>0</v>
      </c>
      <c r="U306" s="52">
        <v>0</v>
      </c>
      <c r="V306" s="58">
        <v>0</v>
      </c>
      <c r="W306" s="48">
        <v>0</v>
      </c>
      <c r="X306" s="49">
        <v>0</v>
      </c>
      <c r="Y306" s="56">
        <v>0</v>
      </c>
      <c r="Z306" s="57">
        <v>0</v>
      </c>
    </row>
    <row r="307" spans="1:26" s="30" customFormat="1" ht="18" customHeight="1" x14ac:dyDescent="0.25">
      <c r="A307" s="21" t="s">
        <v>743</v>
      </c>
      <c r="B307" s="22">
        <v>6010049</v>
      </c>
      <c r="C307" s="23" t="s">
        <v>741</v>
      </c>
      <c r="D307" s="22" t="s">
        <v>415</v>
      </c>
      <c r="E307" s="41">
        <v>0</v>
      </c>
      <c r="F307" s="42">
        <v>0</v>
      </c>
      <c r="G307" s="43">
        <v>0</v>
      </c>
      <c r="H307" s="24"/>
      <c r="I307" s="25"/>
      <c r="J307" s="25"/>
      <c r="K307" s="25"/>
      <c r="L307" s="24"/>
      <c r="M307" s="25"/>
      <c r="N307" s="25"/>
      <c r="O307" s="25"/>
      <c r="P307" s="47"/>
      <c r="Q307" s="48"/>
      <c r="R307" s="49"/>
      <c r="S307" s="50">
        <v>0</v>
      </c>
      <c r="T307" s="51">
        <v>0</v>
      </c>
      <c r="U307" s="52">
        <v>0</v>
      </c>
      <c r="V307" s="53">
        <v>0</v>
      </c>
      <c r="W307" s="54">
        <v>0</v>
      </c>
      <c r="X307" s="55">
        <v>0</v>
      </c>
      <c r="Y307" s="47">
        <v>0</v>
      </c>
      <c r="Z307" s="49">
        <v>0</v>
      </c>
    </row>
    <row r="308" spans="1:26" s="30" customFormat="1" ht="18" customHeight="1" x14ac:dyDescent="0.25">
      <c r="A308" s="21" t="s">
        <v>745</v>
      </c>
      <c r="B308" s="22">
        <v>60100917</v>
      </c>
      <c r="C308" s="23" t="s">
        <v>741</v>
      </c>
      <c r="D308" s="22" t="s">
        <v>680</v>
      </c>
      <c r="E308" s="41">
        <v>0</v>
      </c>
      <c r="F308" s="42">
        <v>0</v>
      </c>
      <c r="G308" s="43">
        <v>0</v>
      </c>
      <c r="H308" s="24"/>
      <c r="I308" s="25"/>
      <c r="J308" s="25"/>
      <c r="K308" s="25"/>
      <c r="L308" s="24"/>
      <c r="M308" s="25"/>
      <c r="N308" s="25"/>
      <c r="O308" s="25"/>
      <c r="P308" s="47"/>
      <c r="Q308" s="48"/>
      <c r="R308" s="49"/>
      <c r="S308" s="50">
        <v>0</v>
      </c>
      <c r="T308" s="51">
        <v>0</v>
      </c>
      <c r="U308" s="52">
        <v>0</v>
      </c>
      <c r="V308" s="53">
        <v>0</v>
      </c>
      <c r="W308" s="54">
        <v>0</v>
      </c>
      <c r="X308" s="55">
        <v>0</v>
      </c>
      <c r="Y308" s="47">
        <v>0</v>
      </c>
      <c r="Z308" s="49">
        <v>0</v>
      </c>
    </row>
    <row r="309" spans="1:26" s="30" customFormat="1" ht="18" customHeight="1" x14ac:dyDescent="0.25">
      <c r="A309" s="21" t="s">
        <v>747</v>
      </c>
      <c r="B309" s="22">
        <v>60101053</v>
      </c>
      <c r="C309" s="23" t="s">
        <v>741</v>
      </c>
      <c r="D309" s="22" t="s">
        <v>314</v>
      </c>
      <c r="E309" s="41">
        <v>0</v>
      </c>
      <c r="F309" s="42">
        <v>0</v>
      </c>
      <c r="G309" s="43">
        <v>0</v>
      </c>
      <c r="H309" s="24"/>
      <c r="I309" s="25"/>
      <c r="J309" s="25"/>
      <c r="K309" s="25"/>
      <c r="L309" s="24"/>
      <c r="M309" s="25"/>
      <c r="N309" s="25"/>
      <c r="O309" s="25"/>
      <c r="P309" s="47"/>
      <c r="Q309" s="48"/>
      <c r="R309" s="49"/>
      <c r="S309" s="50">
        <v>0</v>
      </c>
      <c r="T309" s="51">
        <v>0</v>
      </c>
      <c r="U309" s="52">
        <v>0</v>
      </c>
      <c r="V309" s="53">
        <v>0</v>
      </c>
      <c r="W309" s="54">
        <v>0</v>
      </c>
      <c r="X309" s="55">
        <v>0</v>
      </c>
      <c r="Y309" s="47">
        <v>0</v>
      </c>
      <c r="Z309" s="49">
        <v>0</v>
      </c>
    </row>
    <row r="310" spans="1:26" s="30" customFormat="1" ht="18" customHeight="1" x14ac:dyDescent="0.25">
      <c r="A310" s="21" t="s">
        <v>749</v>
      </c>
      <c r="B310" s="22">
        <v>6010230</v>
      </c>
      <c r="C310" s="23" t="s">
        <v>741</v>
      </c>
      <c r="D310" s="22" t="s">
        <v>35</v>
      </c>
      <c r="E310" s="41">
        <v>0</v>
      </c>
      <c r="F310" s="42">
        <v>0</v>
      </c>
      <c r="G310" s="43">
        <v>0</v>
      </c>
      <c r="H310" s="24"/>
      <c r="I310" s="25"/>
      <c r="J310" s="25"/>
      <c r="K310" s="25"/>
      <c r="L310" s="24"/>
      <c r="M310" s="25"/>
      <c r="N310" s="25"/>
      <c r="O310" s="25"/>
      <c r="P310" s="47"/>
      <c r="Q310" s="48"/>
      <c r="R310" s="49"/>
      <c r="S310" s="50">
        <v>0</v>
      </c>
      <c r="T310" s="51">
        <v>0</v>
      </c>
      <c r="U310" s="52">
        <v>0</v>
      </c>
      <c r="V310" s="53">
        <v>0</v>
      </c>
      <c r="W310" s="54">
        <v>0</v>
      </c>
      <c r="X310" s="55">
        <v>0</v>
      </c>
      <c r="Y310" s="47">
        <v>0</v>
      </c>
      <c r="Z310" s="49">
        <v>0</v>
      </c>
    </row>
    <row r="311" spans="1:26" s="30" customFormat="1" ht="18" customHeight="1" x14ac:dyDescent="0.25">
      <c r="A311" s="21" t="s">
        <v>751</v>
      </c>
      <c r="B311" s="22">
        <v>6010270</v>
      </c>
      <c r="C311" s="23" t="s">
        <v>741</v>
      </c>
      <c r="D311" s="22" t="s">
        <v>415</v>
      </c>
      <c r="E311" s="41">
        <v>0</v>
      </c>
      <c r="F311" s="42">
        <v>0</v>
      </c>
      <c r="G311" s="43">
        <v>0</v>
      </c>
      <c r="H311" s="24"/>
      <c r="I311" s="25"/>
      <c r="J311" s="25"/>
      <c r="K311" s="25"/>
      <c r="L311" s="24"/>
      <c r="M311" s="25"/>
      <c r="N311" s="25"/>
      <c r="O311" s="25"/>
      <c r="P311" s="47"/>
      <c r="Q311" s="48"/>
      <c r="R311" s="49"/>
      <c r="S311" s="50">
        <v>0</v>
      </c>
      <c r="T311" s="51">
        <v>0</v>
      </c>
      <c r="U311" s="52">
        <v>0</v>
      </c>
      <c r="V311" s="53">
        <v>0</v>
      </c>
      <c r="W311" s="54">
        <v>0</v>
      </c>
      <c r="X311" s="55">
        <v>0</v>
      </c>
      <c r="Y311" s="56">
        <v>0</v>
      </c>
      <c r="Z311" s="57">
        <v>0</v>
      </c>
    </row>
    <row r="312" spans="1:26" s="30" customFormat="1" ht="18" customHeight="1" x14ac:dyDescent="0.25">
      <c r="A312" s="21" t="s">
        <v>753</v>
      </c>
      <c r="B312" s="22">
        <v>601043075</v>
      </c>
      <c r="C312" s="23" t="s">
        <v>741</v>
      </c>
      <c r="D312" s="22" t="s">
        <v>754</v>
      </c>
      <c r="E312" s="41">
        <v>0</v>
      </c>
      <c r="F312" s="42">
        <v>0</v>
      </c>
      <c r="G312" s="43">
        <v>0</v>
      </c>
      <c r="H312" s="24"/>
      <c r="I312" s="25"/>
      <c r="J312" s="25"/>
      <c r="K312" s="25"/>
      <c r="L312" s="24"/>
      <c r="M312" s="25"/>
      <c r="N312" s="25"/>
      <c r="O312" s="25"/>
      <c r="P312" s="47"/>
      <c r="Q312" s="48"/>
      <c r="R312" s="49"/>
      <c r="S312" s="50">
        <v>0</v>
      </c>
      <c r="T312" s="51">
        <v>0</v>
      </c>
      <c r="U312" s="52">
        <v>0</v>
      </c>
      <c r="V312" s="58">
        <v>0</v>
      </c>
      <c r="W312" s="48">
        <v>0</v>
      </c>
      <c r="X312" s="49">
        <v>0</v>
      </c>
      <c r="Y312" s="56">
        <v>0</v>
      </c>
      <c r="Z312" s="57">
        <v>0</v>
      </c>
    </row>
    <row r="313" spans="1:26" s="30" customFormat="1" ht="18" customHeight="1" x14ac:dyDescent="0.25">
      <c r="A313" s="21" t="s">
        <v>753</v>
      </c>
      <c r="B313" s="22">
        <v>6011029</v>
      </c>
      <c r="C313" s="23" t="s">
        <v>741</v>
      </c>
      <c r="D313" s="22" t="s">
        <v>464</v>
      </c>
      <c r="E313" s="47">
        <v>0</v>
      </c>
      <c r="F313" s="48">
        <v>0</v>
      </c>
      <c r="G313" s="49">
        <v>0</v>
      </c>
      <c r="H313" s="44"/>
      <c r="I313" s="45"/>
      <c r="J313" s="46"/>
      <c r="K313" s="46"/>
      <c r="L313" s="24"/>
      <c r="M313" s="25"/>
      <c r="N313" s="25"/>
      <c r="O313" s="25"/>
      <c r="P313" s="47"/>
      <c r="Q313" s="48"/>
      <c r="R313" s="49"/>
      <c r="S313" s="50">
        <v>0</v>
      </c>
      <c r="T313" s="51">
        <v>0</v>
      </c>
      <c r="U313" s="52">
        <v>0</v>
      </c>
      <c r="V313" s="53">
        <v>0</v>
      </c>
      <c r="W313" s="54">
        <v>0</v>
      </c>
      <c r="X313" s="55">
        <v>0</v>
      </c>
      <c r="Y313" s="47">
        <v>0</v>
      </c>
      <c r="Z313" s="49">
        <v>0</v>
      </c>
    </row>
    <row r="314" spans="1:26" s="30" customFormat="1" ht="18" customHeight="1" x14ac:dyDescent="0.25">
      <c r="A314" s="21" t="s">
        <v>757</v>
      </c>
      <c r="B314" s="22">
        <v>6011114</v>
      </c>
      <c r="C314" s="23" t="s">
        <v>741</v>
      </c>
      <c r="D314" s="22" t="s">
        <v>314</v>
      </c>
      <c r="E314" s="41">
        <v>0</v>
      </c>
      <c r="F314" s="42">
        <v>0</v>
      </c>
      <c r="G314" s="43">
        <v>0</v>
      </c>
      <c r="H314" s="24"/>
      <c r="I314" s="25"/>
      <c r="J314" s="25"/>
      <c r="K314" s="25"/>
      <c r="L314" s="24"/>
      <c r="M314" s="25"/>
      <c r="N314" s="25"/>
      <c r="O314" s="25"/>
      <c r="P314" s="47"/>
      <c r="Q314" s="48"/>
      <c r="R314" s="49"/>
      <c r="S314" s="50">
        <v>0</v>
      </c>
      <c r="T314" s="51">
        <v>0</v>
      </c>
      <c r="U314" s="52">
        <v>0</v>
      </c>
      <c r="V314" s="53">
        <v>0</v>
      </c>
      <c r="W314" s="54">
        <v>0</v>
      </c>
      <c r="X314" s="55">
        <v>0</v>
      </c>
      <c r="Y314" s="47">
        <v>0</v>
      </c>
      <c r="Z314" s="49">
        <v>0</v>
      </c>
    </row>
    <row r="315" spans="1:26" s="30" customFormat="1" ht="18" customHeight="1" x14ac:dyDescent="0.25">
      <c r="A315" s="21" t="s">
        <v>759</v>
      </c>
      <c r="B315" s="22">
        <v>6011427</v>
      </c>
      <c r="C315" s="23" t="s">
        <v>741</v>
      </c>
      <c r="D315" s="22" t="s">
        <v>314</v>
      </c>
      <c r="E315" s="41">
        <v>0</v>
      </c>
      <c r="F315" s="42">
        <v>0</v>
      </c>
      <c r="G315" s="43">
        <v>0</v>
      </c>
      <c r="H315" s="24"/>
      <c r="I315" s="25"/>
      <c r="J315" s="25"/>
      <c r="K315" s="25"/>
      <c r="L315" s="24"/>
      <c r="M315" s="25"/>
      <c r="N315" s="25"/>
      <c r="O315" s="25"/>
      <c r="P315" s="47"/>
      <c r="Q315" s="48"/>
      <c r="R315" s="49"/>
      <c r="S315" s="50">
        <v>0</v>
      </c>
      <c r="T315" s="51">
        <v>0</v>
      </c>
      <c r="U315" s="52">
        <v>0</v>
      </c>
      <c r="V315" s="53">
        <v>0</v>
      </c>
      <c r="W315" s="54">
        <v>0</v>
      </c>
      <c r="X315" s="55">
        <v>0</v>
      </c>
      <c r="Y315" s="47">
        <v>0</v>
      </c>
      <c r="Z315" s="49">
        <v>0</v>
      </c>
    </row>
    <row r="316" spans="1:26" s="30" customFormat="1" ht="18" customHeight="1" x14ac:dyDescent="0.25">
      <c r="A316" s="21" t="s">
        <v>740</v>
      </c>
      <c r="B316" s="22">
        <v>6011557</v>
      </c>
      <c r="C316" s="23" t="s">
        <v>741</v>
      </c>
      <c r="D316" s="22" t="s">
        <v>761</v>
      </c>
      <c r="E316" s="47">
        <v>0</v>
      </c>
      <c r="F316" s="48">
        <v>0</v>
      </c>
      <c r="G316" s="49">
        <v>0</v>
      </c>
      <c r="H316" s="44"/>
      <c r="I316" s="45"/>
      <c r="J316" s="46"/>
      <c r="K316" s="46"/>
      <c r="L316" s="24"/>
      <c r="M316" s="25"/>
      <c r="N316" s="25"/>
      <c r="O316" s="25"/>
      <c r="P316" s="47"/>
      <c r="Q316" s="48"/>
      <c r="R316" s="49"/>
      <c r="S316" s="50">
        <v>0</v>
      </c>
      <c r="T316" s="51">
        <v>0</v>
      </c>
      <c r="U316" s="52">
        <v>0</v>
      </c>
      <c r="V316" s="53">
        <v>0</v>
      </c>
      <c r="W316" s="54">
        <v>0</v>
      </c>
      <c r="X316" s="55">
        <v>0</v>
      </c>
      <c r="Y316" s="47">
        <v>0</v>
      </c>
      <c r="Z316" s="49">
        <v>0</v>
      </c>
    </row>
    <row r="317" spans="1:26" s="30" customFormat="1" ht="18" customHeight="1" x14ac:dyDescent="0.25">
      <c r="A317" s="21" t="s">
        <v>763</v>
      </c>
      <c r="B317" s="22">
        <v>6020010</v>
      </c>
      <c r="C317" s="23" t="s">
        <v>764</v>
      </c>
      <c r="D317" s="22" t="s">
        <v>70</v>
      </c>
      <c r="E317" s="41">
        <v>0</v>
      </c>
      <c r="F317" s="42">
        <v>0</v>
      </c>
      <c r="G317" s="43">
        <v>0</v>
      </c>
      <c r="H317" s="24"/>
      <c r="I317" s="25"/>
      <c r="J317" s="25"/>
      <c r="K317" s="25"/>
      <c r="L317" s="24"/>
      <c r="M317" s="25"/>
      <c r="N317" s="25"/>
      <c r="O317" s="25"/>
      <c r="P317" s="47"/>
      <c r="Q317" s="48"/>
      <c r="R317" s="49"/>
      <c r="S317" s="50">
        <v>0</v>
      </c>
      <c r="T317" s="51">
        <v>0</v>
      </c>
      <c r="U317" s="52">
        <v>0</v>
      </c>
      <c r="V317" s="53">
        <v>0</v>
      </c>
      <c r="W317" s="54">
        <v>0</v>
      </c>
      <c r="X317" s="55">
        <v>0</v>
      </c>
      <c r="Y317" s="47">
        <v>0</v>
      </c>
      <c r="Z317" s="49">
        <v>0</v>
      </c>
    </row>
    <row r="318" spans="1:26" s="30" customFormat="1" ht="18" customHeight="1" x14ac:dyDescent="0.25">
      <c r="A318" s="21" t="s">
        <v>766</v>
      </c>
      <c r="B318" s="22">
        <v>6020021</v>
      </c>
      <c r="C318" s="23" t="s">
        <v>764</v>
      </c>
      <c r="D318" s="22" t="s">
        <v>767</v>
      </c>
      <c r="E318" s="41">
        <v>0</v>
      </c>
      <c r="F318" s="42">
        <v>0</v>
      </c>
      <c r="G318" s="43">
        <v>0</v>
      </c>
      <c r="H318" s="24"/>
      <c r="I318" s="25"/>
      <c r="J318" s="25"/>
      <c r="K318" s="25"/>
      <c r="L318" s="24"/>
      <c r="M318" s="25"/>
      <c r="N318" s="25"/>
      <c r="O318" s="25"/>
      <c r="P318" s="47"/>
      <c r="Q318" s="48"/>
      <c r="R318" s="49"/>
      <c r="S318" s="50">
        <v>0</v>
      </c>
      <c r="T318" s="51">
        <v>0</v>
      </c>
      <c r="U318" s="52">
        <v>0</v>
      </c>
      <c r="V318" s="53">
        <v>0</v>
      </c>
      <c r="W318" s="54">
        <v>0</v>
      </c>
      <c r="X318" s="55">
        <v>0</v>
      </c>
      <c r="Y318" s="56">
        <v>0</v>
      </c>
      <c r="Z318" s="57">
        <v>0</v>
      </c>
    </row>
    <row r="319" spans="1:26" s="30" customFormat="1" ht="18" customHeight="1" x14ac:dyDescent="0.25">
      <c r="A319" s="21" t="s">
        <v>769</v>
      </c>
      <c r="B319" s="22">
        <v>6020024</v>
      </c>
      <c r="C319" s="23" t="s">
        <v>764</v>
      </c>
      <c r="D319" s="22" t="s">
        <v>767</v>
      </c>
      <c r="E319" s="41">
        <v>0</v>
      </c>
      <c r="F319" s="42">
        <v>0</v>
      </c>
      <c r="G319" s="43">
        <v>0</v>
      </c>
      <c r="H319" s="24"/>
      <c r="I319" s="25"/>
      <c r="J319" s="25"/>
      <c r="K319" s="25"/>
      <c r="L319" s="24"/>
      <c r="M319" s="25"/>
      <c r="N319" s="25"/>
      <c r="O319" s="25"/>
      <c r="P319" s="47"/>
      <c r="Q319" s="48"/>
      <c r="R319" s="49"/>
      <c r="S319" s="50">
        <v>0</v>
      </c>
      <c r="T319" s="51">
        <v>0</v>
      </c>
      <c r="U319" s="52">
        <v>0</v>
      </c>
      <c r="V319" s="53">
        <v>0</v>
      </c>
      <c r="W319" s="54">
        <v>0</v>
      </c>
      <c r="X319" s="55">
        <v>0</v>
      </c>
      <c r="Y319" s="47">
        <v>0</v>
      </c>
      <c r="Z319" s="49">
        <v>0</v>
      </c>
    </row>
    <row r="320" spans="1:26" s="30" customFormat="1" ht="18" customHeight="1" x14ac:dyDescent="0.25">
      <c r="A320" s="21" t="s">
        <v>771</v>
      </c>
      <c r="B320" s="22">
        <v>6020030</v>
      </c>
      <c r="C320" s="23" t="s">
        <v>764</v>
      </c>
      <c r="D320" s="22" t="s">
        <v>767</v>
      </c>
      <c r="E320" s="41">
        <v>0</v>
      </c>
      <c r="F320" s="42">
        <v>0</v>
      </c>
      <c r="G320" s="43">
        <v>0</v>
      </c>
      <c r="H320" s="24"/>
      <c r="I320" s="25"/>
      <c r="J320" s="25"/>
      <c r="K320" s="25"/>
      <c r="L320" s="24"/>
      <c r="M320" s="25"/>
      <c r="N320" s="25"/>
      <c r="O320" s="25"/>
      <c r="P320" s="47"/>
      <c r="Q320" s="48"/>
      <c r="R320" s="49"/>
      <c r="S320" s="50">
        <v>0</v>
      </c>
      <c r="T320" s="51">
        <v>0</v>
      </c>
      <c r="U320" s="52">
        <v>0</v>
      </c>
      <c r="V320" s="53">
        <v>0</v>
      </c>
      <c r="W320" s="54">
        <v>0</v>
      </c>
      <c r="X320" s="55">
        <v>0</v>
      </c>
      <c r="Y320" s="47">
        <v>0</v>
      </c>
      <c r="Z320" s="49">
        <v>0</v>
      </c>
    </row>
    <row r="321" spans="1:26" s="30" customFormat="1" ht="18" customHeight="1" x14ac:dyDescent="0.25">
      <c r="A321" s="21" t="s">
        <v>769</v>
      </c>
      <c r="B321" s="22">
        <v>60201071</v>
      </c>
      <c r="C321" s="23" t="s">
        <v>764</v>
      </c>
      <c r="D321" s="22" t="s">
        <v>773</v>
      </c>
      <c r="E321" s="41">
        <v>0</v>
      </c>
      <c r="F321" s="42">
        <v>0</v>
      </c>
      <c r="G321" s="43">
        <v>0</v>
      </c>
      <c r="H321" s="24"/>
      <c r="I321" s="25"/>
      <c r="J321" s="25"/>
      <c r="K321" s="25"/>
      <c r="L321" s="24"/>
      <c r="M321" s="25"/>
      <c r="N321" s="25"/>
      <c r="O321" s="25"/>
      <c r="P321" s="47"/>
      <c r="Q321" s="48"/>
      <c r="R321" s="49"/>
      <c r="S321" s="50">
        <v>0</v>
      </c>
      <c r="T321" s="51">
        <v>0</v>
      </c>
      <c r="U321" s="52">
        <v>0</v>
      </c>
      <c r="V321" s="53">
        <v>0</v>
      </c>
      <c r="W321" s="54">
        <v>0</v>
      </c>
      <c r="X321" s="55">
        <v>0</v>
      </c>
      <c r="Y321" s="47">
        <v>0</v>
      </c>
      <c r="Z321" s="49">
        <v>0</v>
      </c>
    </row>
    <row r="322" spans="1:26" s="30" customFormat="1" ht="18" customHeight="1" x14ac:dyDescent="0.25">
      <c r="A322" s="21" t="s">
        <v>775</v>
      </c>
      <c r="B322" s="22">
        <v>60201119</v>
      </c>
      <c r="C322" s="23" t="s">
        <v>764</v>
      </c>
      <c r="D322" s="22" t="s">
        <v>623</v>
      </c>
      <c r="E322" s="47">
        <v>0</v>
      </c>
      <c r="F322" s="48">
        <v>0</v>
      </c>
      <c r="G322" s="49">
        <v>0</v>
      </c>
      <c r="H322" s="44"/>
      <c r="I322" s="45"/>
      <c r="J322" s="46"/>
      <c r="K322" s="46"/>
      <c r="L322" s="24"/>
      <c r="M322" s="25"/>
      <c r="N322" s="25"/>
      <c r="O322" s="25"/>
      <c r="P322" s="47"/>
      <c r="Q322" s="48"/>
      <c r="R322" s="49"/>
      <c r="S322" s="50">
        <v>0</v>
      </c>
      <c r="T322" s="51">
        <v>0</v>
      </c>
      <c r="U322" s="52">
        <v>0</v>
      </c>
      <c r="V322" s="53">
        <v>0</v>
      </c>
      <c r="W322" s="54">
        <v>0</v>
      </c>
      <c r="X322" s="55">
        <v>0</v>
      </c>
      <c r="Y322" s="47">
        <v>0</v>
      </c>
      <c r="Z322" s="49">
        <v>0</v>
      </c>
    </row>
    <row r="323" spans="1:26" s="30" customFormat="1" ht="18" customHeight="1" x14ac:dyDescent="0.25">
      <c r="A323" s="21" t="s">
        <v>763</v>
      </c>
      <c r="B323" s="22">
        <v>60201573</v>
      </c>
      <c r="C323" s="23" t="s">
        <v>764</v>
      </c>
      <c r="D323" s="22" t="s">
        <v>777</v>
      </c>
      <c r="E323" s="41">
        <v>0</v>
      </c>
      <c r="F323" s="42">
        <v>0</v>
      </c>
      <c r="G323" s="43">
        <v>0</v>
      </c>
      <c r="H323" s="44"/>
      <c r="I323" s="45"/>
      <c r="J323" s="46"/>
      <c r="K323" s="46"/>
      <c r="L323" s="24"/>
      <c r="M323" s="25"/>
      <c r="N323" s="25"/>
      <c r="O323" s="25"/>
      <c r="P323" s="47"/>
      <c r="Q323" s="48"/>
      <c r="R323" s="49"/>
      <c r="S323" s="50">
        <v>0</v>
      </c>
      <c r="T323" s="51">
        <v>0</v>
      </c>
      <c r="U323" s="52">
        <v>0</v>
      </c>
      <c r="V323" s="53">
        <v>0</v>
      </c>
      <c r="W323" s="54">
        <v>0</v>
      </c>
      <c r="X323" s="55">
        <v>0</v>
      </c>
      <c r="Y323" s="56">
        <v>0</v>
      </c>
      <c r="Z323" s="57">
        <v>0</v>
      </c>
    </row>
    <row r="324" spans="1:26" s="30" customFormat="1" ht="18" customHeight="1" x14ac:dyDescent="0.25">
      <c r="A324" s="21" t="s">
        <v>779</v>
      </c>
      <c r="B324" s="22">
        <v>6020232</v>
      </c>
      <c r="C324" s="23" t="s">
        <v>764</v>
      </c>
      <c r="D324" s="22" t="s">
        <v>780</v>
      </c>
      <c r="E324" s="41">
        <v>0</v>
      </c>
      <c r="F324" s="42">
        <v>0</v>
      </c>
      <c r="G324" s="43">
        <v>0</v>
      </c>
      <c r="H324" s="24"/>
      <c r="I324" s="25"/>
      <c r="J324" s="25"/>
      <c r="K324" s="25"/>
      <c r="L324" s="24"/>
      <c r="M324" s="25"/>
      <c r="N324" s="25"/>
      <c r="O324" s="25"/>
      <c r="P324" s="47"/>
      <c r="Q324" s="48"/>
      <c r="R324" s="49"/>
      <c r="S324" s="50">
        <v>0</v>
      </c>
      <c r="T324" s="51">
        <v>0</v>
      </c>
      <c r="U324" s="52">
        <v>0</v>
      </c>
      <c r="V324" s="53">
        <v>0</v>
      </c>
      <c r="W324" s="54">
        <v>0</v>
      </c>
      <c r="X324" s="55">
        <v>0</v>
      </c>
      <c r="Y324" s="47">
        <v>0</v>
      </c>
      <c r="Z324" s="49">
        <v>0</v>
      </c>
    </row>
    <row r="325" spans="1:26" s="30" customFormat="1" ht="18" customHeight="1" x14ac:dyDescent="0.25">
      <c r="A325" s="21" t="s">
        <v>69</v>
      </c>
      <c r="B325" s="22">
        <v>6020235</v>
      </c>
      <c r="C325" s="23" t="s">
        <v>764</v>
      </c>
      <c r="D325" s="22" t="s">
        <v>70</v>
      </c>
      <c r="E325" s="41">
        <v>0</v>
      </c>
      <c r="F325" s="42">
        <v>0</v>
      </c>
      <c r="G325" s="43">
        <v>0</v>
      </c>
      <c r="H325" s="44"/>
      <c r="I325" s="45"/>
      <c r="J325" s="46"/>
      <c r="K325" s="46"/>
      <c r="L325" s="24"/>
      <c r="M325" s="25"/>
      <c r="N325" s="25"/>
      <c r="O325" s="25"/>
      <c r="P325" s="47"/>
      <c r="Q325" s="48"/>
      <c r="R325" s="49"/>
      <c r="S325" s="50">
        <v>0</v>
      </c>
      <c r="T325" s="51">
        <v>0</v>
      </c>
      <c r="U325" s="52">
        <v>0</v>
      </c>
      <c r="V325" s="53">
        <v>0</v>
      </c>
      <c r="W325" s="54">
        <v>0</v>
      </c>
      <c r="X325" s="55">
        <v>0</v>
      </c>
      <c r="Y325" s="56">
        <v>0</v>
      </c>
      <c r="Z325" s="57">
        <v>0</v>
      </c>
    </row>
    <row r="326" spans="1:26" s="30" customFormat="1" ht="18" customHeight="1" x14ac:dyDescent="0.25">
      <c r="A326" s="21" t="s">
        <v>782</v>
      </c>
      <c r="B326" s="22">
        <v>6020249</v>
      </c>
      <c r="C326" s="23" t="s">
        <v>764</v>
      </c>
      <c r="D326" s="22" t="s">
        <v>780</v>
      </c>
      <c r="E326" s="41">
        <v>0</v>
      </c>
      <c r="F326" s="42">
        <v>0</v>
      </c>
      <c r="G326" s="43">
        <v>0</v>
      </c>
      <c r="H326" s="24"/>
      <c r="I326" s="25"/>
      <c r="J326" s="25"/>
      <c r="K326" s="25"/>
      <c r="L326" s="24"/>
      <c r="M326" s="25"/>
      <c r="N326" s="25"/>
      <c r="O326" s="25"/>
      <c r="P326" s="47"/>
      <c r="Q326" s="48"/>
      <c r="R326" s="49"/>
      <c r="S326" s="50">
        <v>0</v>
      </c>
      <c r="T326" s="51">
        <v>0</v>
      </c>
      <c r="U326" s="52">
        <v>0</v>
      </c>
      <c r="V326" s="58">
        <v>0</v>
      </c>
      <c r="W326" s="48">
        <v>0</v>
      </c>
      <c r="X326" s="49">
        <v>0</v>
      </c>
      <c r="Y326" s="56">
        <v>0</v>
      </c>
      <c r="Z326" s="57">
        <v>0</v>
      </c>
    </row>
    <row r="327" spans="1:26" s="30" customFormat="1" ht="18" customHeight="1" x14ac:dyDescent="0.25">
      <c r="A327" s="21" t="s">
        <v>779</v>
      </c>
      <c r="B327" s="22">
        <v>60202495</v>
      </c>
      <c r="C327" s="23" t="s">
        <v>764</v>
      </c>
      <c r="D327" s="22" t="s">
        <v>623</v>
      </c>
      <c r="E327" s="41">
        <v>0</v>
      </c>
      <c r="F327" s="42">
        <v>0</v>
      </c>
      <c r="G327" s="43">
        <v>0</v>
      </c>
      <c r="H327" s="24"/>
      <c r="I327" s="25"/>
      <c r="J327" s="25"/>
      <c r="K327" s="25"/>
      <c r="L327" s="24"/>
      <c r="M327" s="25"/>
      <c r="N327" s="25"/>
      <c r="O327" s="25"/>
      <c r="P327" s="47"/>
      <c r="Q327" s="48"/>
      <c r="R327" s="49"/>
      <c r="S327" s="50">
        <v>0</v>
      </c>
      <c r="T327" s="51">
        <v>0</v>
      </c>
      <c r="U327" s="52">
        <v>0</v>
      </c>
      <c r="V327" s="53">
        <v>0</v>
      </c>
      <c r="W327" s="54">
        <v>0</v>
      </c>
      <c r="X327" s="55">
        <v>0</v>
      </c>
      <c r="Y327" s="47">
        <v>0</v>
      </c>
      <c r="Z327" s="49">
        <v>0</v>
      </c>
    </row>
    <row r="328" spans="1:26" s="30" customFormat="1" ht="18" customHeight="1" x14ac:dyDescent="0.25">
      <c r="A328" s="21" t="s">
        <v>69</v>
      </c>
      <c r="B328" s="22">
        <v>6020276</v>
      </c>
      <c r="C328" s="23" t="s">
        <v>764</v>
      </c>
      <c r="D328" s="22" t="s">
        <v>785</v>
      </c>
      <c r="E328" s="47">
        <v>0</v>
      </c>
      <c r="F328" s="48">
        <v>0</v>
      </c>
      <c r="G328" s="49">
        <v>0</v>
      </c>
      <c r="H328" s="24"/>
      <c r="I328" s="25"/>
      <c r="J328" s="25"/>
      <c r="K328" s="25"/>
      <c r="L328" s="44"/>
      <c r="M328" s="45"/>
      <c r="N328" s="46"/>
      <c r="O328" s="46"/>
      <c r="P328" s="47"/>
      <c r="Q328" s="48"/>
      <c r="R328" s="49"/>
      <c r="S328" s="50">
        <v>0</v>
      </c>
      <c r="T328" s="51">
        <v>0</v>
      </c>
      <c r="U328" s="52">
        <v>0</v>
      </c>
      <c r="V328" s="53">
        <v>0</v>
      </c>
      <c r="W328" s="54">
        <v>0</v>
      </c>
      <c r="X328" s="55">
        <v>0</v>
      </c>
      <c r="Y328" s="56">
        <v>0</v>
      </c>
      <c r="Z328" s="57">
        <v>0</v>
      </c>
    </row>
    <row r="329" spans="1:26" s="30" customFormat="1" ht="18" customHeight="1" x14ac:dyDescent="0.25">
      <c r="A329" s="21" t="s">
        <v>782</v>
      </c>
      <c r="B329" s="22">
        <v>6020658</v>
      </c>
      <c r="C329" s="23" t="s">
        <v>764</v>
      </c>
      <c r="D329" s="22" t="s">
        <v>787</v>
      </c>
      <c r="E329" s="41">
        <v>0</v>
      </c>
      <c r="F329" s="42">
        <v>0</v>
      </c>
      <c r="G329" s="43">
        <v>0</v>
      </c>
      <c r="H329" s="24"/>
      <c r="I329" s="25"/>
      <c r="J329" s="25"/>
      <c r="K329" s="25"/>
      <c r="L329" s="24"/>
      <c r="M329" s="25"/>
      <c r="N329" s="25"/>
      <c r="O329" s="25"/>
      <c r="P329" s="47"/>
      <c r="Q329" s="48"/>
      <c r="R329" s="49"/>
      <c r="S329" s="50">
        <v>0</v>
      </c>
      <c r="T329" s="51">
        <v>0</v>
      </c>
      <c r="U329" s="52">
        <v>0</v>
      </c>
      <c r="V329" s="53">
        <v>0</v>
      </c>
      <c r="W329" s="54">
        <v>0</v>
      </c>
      <c r="X329" s="55">
        <v>0</v>
      </c>
      <c r="Y329" s="47">
        <v>0</v>
      </c>
      <c r="Z329" s="49">
        <v>0</v>
      </c>
    </row>
    <row r="330" spans="1:26" s="30" customFormat="1" ht="18" customHeight="1" x14ac:dyDescent="0.25">
      <c r="A330" s="21" t="s">
        <v>789</v>
      </c>
      <c r="B330" s="22">
        <v>6030012</v>
      </c>
      <c r="C330" s="23" t="s">
        <v>790</v>
      </c>
      <c r="D330" s="22" t="s">
        <v>35</v>
      </c>
      <c r="E330" s="41">
        <v>0</v>
      </c>
      <c r="F330" s="42">
        <v>0</v>
      </c>
      <c r="G330" s="43">
        <v>0</v>
      </c>
      <c r="H330" s="24"/>
      <c r="I330" s="25"/>
      <c r="J330" s="25"/>
      <c r="K330" s="25"/>
      <c r="L330" s="24"/>
      <c r="M330" s="25"/>
      <c r="N330" s="25"/>
      <c r="O330" s="25"/>
      <c r="P330" s="47"/>
      <c r="Q330" s="48"/>
      <c r="R330" s="49"/>
      <c r="S330" s="50">
        <v>0</v>
      </c>
      <c r="T330" s="51">
        <v>0</v>
      </c>
      <c r="U330" s="52">
        <v>0</v>
      </c>
      <c r="V330" s="53">
        <v>0</v>
      </c>
      <c r="W330" s="54">
        <v>0</v>
      </c>
      <c r="X330" s="55">
        <v>0</v>
      </c>
      <c r="Y330" s="56">
        <v>0</v>
      </c>
      <c r="Z330" s="57">
        <v>0</v>
      </c>
    </row>
    <row r="331" spans="1:26" s="30" customFormat="1" ht="18" customHeight="1" x14ac:dyDescent="0.25">
      <c r="A331" s="21" t="s">
        <v>792</v>
      </c>
      <c r="B331" s="22">
        <v>6030020</v>
      </c>
      <c r="C331" s="23" t="s">
        <v>790</v>
      </c>
      <c r="D331" s="22" t="s">
        <v>35</v>
      </c>
      <c r="E331" s="41">
        <v>0</v>
      </c>
      <c r="F331" s="42">
        <v>0</v>
      </c>
      <c r="G331" s="43">
        <v>0</v>
      </c>
      <c r="H331" s="24"/>
      <c r="I331" s="25"/>
      <c r="J331" s="25"/>
      <c r="K331" s="25"/>
      <c r="L331" s="24"/>
      <c r="M331" s="25"/>
      <c r="N331" s="25"/>
      <c r="O331" s="25"/>
      <c r="P331" s="47"/>
      <c r="Q331" s="48"/>
      <c r="R331" s="49"/>
      <c r="S331" s="50">
        <v>0</v>
      </c>
      <c r="T331" s="51">
        <v>0</v>
      </c>
      <c r="U331" s="52">
        <v>0</v>
      </c>
      <c r="V331" s="53">
        <v>0</v>
      </c>
      <c r="W331" s="54">
        <v>0</v>
      </c>
      <c r="X331" s="55">
        <v>0</v>
      </c>
      <c r="Y331" s="47">
        <v>0</v>
      </c>
      <c r="Z331" s="49">
        <v>0</v>
      </c>
    </row>
    <row r="332" spans="1:26" s="30" customFormat="1" ht="18" customHeight="1" x14ac:dyDescent="0.25">
      <c r="A332" s="21" t="s">
        <v>794</v>
      </c>
      <c r="B332" s="22">
        <v>6030030</v>
      </c>
      <c r="C332" s="23" t="s">
        <v>790</v>
      </c>
      <c r="D332" s="22" t="s">
        <v>35</v>
      </c>
      <c r="E332" s="41">
        <v>0</v>
      </c>
      <c r="F332" s="42">
        <v>0</v>
      </c>
      <c r="G332" s="43">
        <v>0</v>
      </c>
      <c r="H332" s="24"/>
      <c r="I332" s="25"/>
      <c r="J332" s="25"/>
      <c r="K332" s="25"/>
      <c r="L332" s="24"/>
      <c r="M332" s="25"/>
      <c r="N332" s="25"/>
      <c r="O332" s="25"/>
      <c r="P332" s="47"/>
      <c r="Q332" s="48"/>
      <c r="R332" s="49"/>
      <c r="S332" s="50">
        <v>0</v>
      </c>
      <c r="T332" s="51">
        <v>0</v>
      </c>
      <c r="U332" s="52">
        <v>0</v>
      </c>
      <c r="V332" s="53">
        <v>0</v>
      </c>
      <c r="W332" s="54">
        <v>0</v>
      </c>
      <c r="X332" s="55">
        <v>0</v>
      </c>
      <c r="Y332" s="47">
        <v>0</v>
      </c>
      <c r="Z332" s="49">
        <v>0</v>
      </c>
    </row>
    <row r="333" spans="1:26" s="30" customFormat="1" ht="18" customHeight="1" x14ac:dyDescent="0.25">
      <c r="A333" s="21" t="s">
        <v>796</v>
      </c>
      <c r="B333" s="22">
        <v>6040085</v>
      </c>
      <c r="C333" s="23" t="s">
        <v>797</v>
      </c>
      <c r="D333" s="22" t="s">
        <v>609</v>
      </c>
      <c r="E333" s="41">
        <v>0</v>
      </c>
      <c r="F333" s="42">
        <v>0</v>
      </c>
      <c r="G333" s="43">
        <v>0</v>
      </c>
      <c r="H333" s="24"/>
      <c r="I333" s="25"/>
      <c r="J333" s="25"/>
      <c r="K333" s="25"/>
      <c r="L333" s="24"/>
      <c r="M333" s="25"/>
      <c r="N333" s="25"/>
      <c r="O333" s="25"/>
      <c r="P333" s="47"/>
      <c r="Q333" s="48"/>
      <c r="R333" s="49"/>
      <c r="S333" s="50">
        <v>0</v>
      </c>
      <c r="T333" s="51">
        <v>0</v>
      </c>
      <c r="U333" s="52">
        <v>0</v>
      </c>
      <c r="V333" s="53">
        <v>0</v>
      </c>
      <c r="W333" s="54">
        <v>0</v>
      </c>
      <c r="X333" s="55">
        <v>0</v>
      </c>
      <c r="Y333" s="47">
        <v>0</v>
      </c>
      <c r="Z333" s="49">
        <v>0</v>
      </c>
    </row>
    <row r="334" spans="1:26" s="30" customFormat="1" ht="18" customHeight="1" x14ac:dyDescent="0.25">
      <c r="A334" s="21" t="s">
        <v>799</v>
      </c>
      <c r="B334" s="22">
        <v>6040088</v>
      </c>
      <c r="C334" s="23" t="s">
        <v>797</v>
      </c>
      <c r="D334" s="22" t="s">
        <v>609</v>
      </c>
      <c r="E334" s="41">
        <v>0</v>
      </c>
      <c r="F334" s="42">
        <v>0</v>
      </c>
      <c r="G334" s="43">
        <v>0</v>
      </c>
      <c r="H334" s="24"/>
      <c r="I334" s="25"/>
      <c r="J334" s="25"/>
      <c r="K334" s="25"/>
      <c r="L334" s="24"/>
      <c r="M334" s="25"/>
      <c r="N334" s="25"/>
      <c r="O334" s="25"/>
      <c r="P334" s="47"/>
      <c r="Q334" s="48"/>
      <c r="R334" s="49"/>
      <c r="S334" s="50">
        <v>0</v>
      </c>
      <c r="T334" s="51">
        <v>0</v>
      </c>
      <c r="U334" s="52">
        <v>0</v>
      </c>
      <c r="V334" s="53">
        <v>0</v>
      </c>
      <c r="W334" s="54">
        <v>0</v>
      </c>
      <c r="X334" s="55">
        <v>0</v>
      </c>
      <c r="Y334" s="47">
        <v>0</v>
      </c>
      <c r="Z334" s="49">
        <v>0</v>
      </c>
    </row>
    <row r="335" spans="1:26" s="30" customFormat="1" ht="18" customHeight="1" x14ac:dyDescent="0.25">
      <c r="A335" s="21" t="s">
        <v>801</v>
      </c>
      <c r="B335" s="22">
        <v>6111955</v>
      </c>
      <c r="C335" s="23" t="s">
        <v>802</v>
      </c>
      <c r="D335" s="22" t="s">
        <v>803</v>
      </c>
      <c r="E335" s="47">
        <v>0</v>
      </c>
      <c r="F335" s="48">
        <v>0</v>
      </c>
      <c r="G335" s="49">
        <v>0</v>
      </c>
      <c r="H335" s="44"/>
      <c r="I335" s="45"/>
      <c r="J335" s="46"/>
      <c r="K335" s="46"/>
      <c r="L335" s="24"/>
      <c r="M335" s="25"/>
      <c r="N335" s="25"/>
      <c r="O335" s="25"/>
      <c r="P335" s="47"/>
      <c r="Q335" s="48"/>
      <c r="R335" s="49"/>
      <c r="S335" s="50">
        <v>0</v>
      </c>
      <c r="T335" s="51">
        <v>0</v>
      </c>
      <c r="U335" s="52">
        <v>0</v>
      </c>
      <c r="V335" s="53">
        <v>0</v>
      </c>
      <c r="W335" s="54">
        <v>0</v>
      </c>
      <c r="X335" s="55">
        <v>0</v>
      </c>
      <c r="Y335" s="47">
        <v>0</v>
      </c>
      <c r="Z335" s="49">
        <v>0</v>
      </c>
    </row>
    <row r="336" spans="1:26" s="30" customFormat="1" ht="18" customHeight="1" x14ac:dyDescent="0.25">
      <c r="A336" s="21" t="s">
        <v>805</v>
      </c>
      <c r="B336" s="22">
        <v>6510110</v>
      </c>
      <c r="C336" s="23" t="s">
        <v>806</v>
      </c>
      <c r="D336" s="22" t="s">
        <v>531</v>
      </c>
      <c r="E336" s="41">
        <v>0</v>
      </c>
      <c r="F336" s="42">
        <v>0</v>
      </c>
      <c r="G336" s="43">
        <v>0</v>
      </c>
      <c r="H336" s="24"/>
      <c r="I336" s="25"/>
      <c r="J336" s="25"/>
      <c r="K336" s="25"/>
      <c r="L336" s="24"/>
      <c r="M336" s="25"/>
      <c r="N336" s="25"/>
      <c r="O336" s="25"/>
      <c r="P336" s="47"/>
      <c r="Q336" s="48"/>
      <c r="R336" s="49"/>
      <c r="S336" s="50">
        <v>0</v>
      </c>
      <c r="T336" s="51">
        <v>0</v>
      </c>
      <c r="U336" s="52">
        <v>0</v>
      </c>
      <c r="V336" s="53">
        <v>0</v>
      </c>
      <c r="W336" s="54">
        <v>0</v>
      </c>
      <c r="X336" s="55">
        <v>0</v>
      </c>
      <c r="Y336" s="47">
        <v>0</v>
      </c>
      <c r="Z336" s="49">
        <v>0</v>
      </c>
    </row>
    <row r="337" spans="1:26" s="30" customFormat="1" ht="18" customHeight="1" x14ac:dyDescent="0.25">
      <c r="A337" s="21" t="s">
        <v>808</v>
      </c>
      <c r="B337" s="22">
        <v>6510130</v>
      </c>
      <c r="C337" s="23" t="s">
        <v>806</v>
      </c>
      <c r="D337" s="22" t="s">
        <v>531</v>
      </c>
      <c r="E337" s="41">
        <v>0</v>
      </c>
      <c r="F337" s="42">
        <v>0</v>
      </c>
      <c r="G337" s="43">
        <v>0</v>
      </c>
      <c r="H337" s="24"/>
      <c r="I337" s="25"/>
      <c r="J337" s="25"/>
      <c r="K337" s="25"/>
      <c r="L337" s="24"/>
      <c r="M337" s="25"/>
      <c r="N337" s="25"/>
      <c r="O337" s="25"/>
      <c r="P337" s="47"/>
      <c r="Q337" s="48"/>
      <c r="R337" s="49"/>
      <c r="S337" s="50">
        <v>0</v>
      </c>
      <c r="T337" s="51">
        <v>0</v>
      </c>
      <c r="U337" s="52">
        <v>0</v>
      </c>
      <c r="V337" s="53">
        <v>0</v>
      </c>
      <c r="W337" s="54">
        <v>0</v>
      </c>
      <c r="X337" s="55">
        <v>0</v>
      </c>
      <c r="Y337" s="47">
        <v>0</v>
      </c>
      <c r="Z337" s="49">
        <v>0</v>
      </c>
    </row>
    <row r="338" spans="1:26" s="30" customFormat="1" ht="18" customHeight="1" x14ac:dyDescent="0.25">
      <c r="A338" s="21" t="s">
        <v>810</v>
      </c>
      <c r="B338" s="22">
        <v>6510140</v>
      </c>
      <c r="C338" s="23" t="s">
        <v>806</v>
      </c>
      <c r="D338" s="22" t="s">
        <v>531</v>
      </c>
      <c r="E338" s="41">
        <v>0</v>
      </c>
      <c r="F338" s="42">
        <v>0</v>
      </c>
      <c r="G338" s="43">
        <v>0</v>
      </c>
      <c r="H338" s="24"/>
      <c r="I338" s="25"/>
      <c r="J338" s="25"/>
      <c r="K338" s="25"/>
      <c r="L338" s="24"/>
      <c r="M338" s="25"/>
      <c r="N338" s="25"/>
      <c r="O338" s="25"/>
      <c r="P338" s="47"/>
      <c r="Q338" s="48"/>
      <c r="R338" s="49"/>
      <c r="S338" s="50">
        <v>0</v>
      </c>
      <c r="T338" s="51">
        <v>0</v>
      </c>
      <c r="U338" s="52">
        <v>0</v>
      </c>
      <c r="V338" s="53">
        <v>0</v>
      </c>
      <c r="W338" s="54">
        <v>0</v>
      </c>
      <c r="X338" s="55">
        <v>0</v>
      </c>
      <c r="Y338" s="56">
        <v>0</v>
      </c>
      <c r="Z338" s="57">
        <v>0</v>
      </c>
    </row>
    <row r="339" spans="1:26" s="30" customFormat="1" ht="18" customHeight="1" x14ac:dyDescent="0.25">
      <c r="A339" s="21" t="s">
        <v>812</v>
      </c>
      <c r="B339" s="22">
        <v>6510150</v>
      </c>
      <c r="C339" s="23" t="s">
        <v>806</v>
      </c>
      <c r="D339" s="22" t="s">
        <v>531</v>
      </c>
      <c r="E339" s="41">
        <v>0</v>
      </c>
      <c r="F339" s="42">
        <v>0</v>
      </c>
      <c r="G339" s="43">
        <v>0</v>
      </c>
      <c r="H339" s="24"/>
      <c r="I339" s="25"/>
      <c r="J339" s="25"/>
      <c r="K339" s="25"/>
      <c r="L339" s="24"/>
      <c r="M339" s="25"/>
      <c r="N339" s="25"/>
      <c r="O339" s="25"/>
      <c r="P339" s="47"/>
      <c r="Q339" s="48"/>
      <c r="R339" s="49"/>
      <c r="S339" s="50">
        <v>0</v>
      </c>
      <c r="T339" s="51">
        <v>0</v>
      </c>
      <c r="U339" s="52">
        <v>0</v>
      </c>
      <c r="V339" s="53">
        <v>0</v>
      </c>
      <c r="W339" s="54">
        <v>0</v>
      </c>
      <c r="X339" s="55">
        <v>0</v>
      </c>
      <c r="Y339" s="56">
        <v>0</v>
      </c>
      <c r="Z339" s="57">
        <v>0</v>
      </c>
    </row>
    <row r="340" spans="1:26" s="30" customFormat="1" ht="18" customHeight="1" x14ac:dyDescent="0.25">
      <c r="A340" s="21" t="s">
        <v>47</v>
      </c>
      <c r="B340" s="22">
        <v>6510160</v>
      </c>
      <c r="C340" s="23" t="s">
        <v>806</v>
      </c>
      <c r="D340" s="22" t="s">
        <v>531</v>
      </c>
      <c r="E340" s="41">
        <v>0</v>
      </c>
      <c r="F340" s="42">
        <v>0</v>
      </c>
      <c r="G340" s="43">
        <v>0</v>
      </c>
      <c r="H340" s="24"/>
      <c r="I340" s="25"/>
      <c r="J340" s="25"/>
      <c r="K340" s="25"/>
      <c r="L340" s="24"/>
      <c r="M340" s="25"/>
      <c r="N340" s="25"/>
      <c r="O340" s="25"/>
      <c r="P340" s="47"/>
      <c r="Q340" s="48"/>
      <c r="R340" s="49"/>
      <c r="S340" s="50">
        <v>0</v>
      </c>
      <c r="T340" s="51">
        <v>0</v>
      </c>
      <c r="U340" s="52">
        <v>0</v>
      </c>
      <c r="V340" s="53">
        <v>0</v>
      </c>
      <c r="W340" s="54">
        <v>0</v>
      </c>
      <c r="X340" s="55">
        <v>0</v>
      </c>
      <c r="Y340" s="56">
        <v>0</v>
      </c>
      <c r="Z340" s="57">
        <v>0</v>
      </c>
    </row>
    <row r="341" spans="1:26" s="30" customFormat="1" ht="18" customHeight="1" x14ac:dyDescent="0.25">
      <c r="A341" s="21" t="s">
        <v>815</v>
      </c>
      <c r="B341" s="22">
        <v>6510170</v>
      </c>
      <c r="C341" s="23" t="s">
        <v>806</v>
      </c>
      <c r="D341" s="22" t="s">
        <v>531</v>
      </c>
      <c r="E341" s="41">
        <v>0</v>
      </c>
      <c r="F341" s="42">
        <v>0</v>
      </c>
      <c r="G341" s="43">
        <v>0</v>
      </c>
      <c r="H341" s="24"/>
      <c r="I341" s="25"/>
      <c r="J341" s="25"/>
      <c r="K341" s="25"/>
      <c r="L341" s="24"/>
      <c r="M341" s="25"/>
      <c r="N341" s="25"/>
      <c r="O341" s="25"/>
      <c r="P341" s="47"/>
      <c r="Q341" s="48"/>
      <c r="R341" s="49"/>
      <c r="S341" s="50">
        <v>0</v>
      </c>
      <c r="T341" s="51">
        <v>0</v>
      </c>
      <c r="U341" s="52">
        <v>0</v>
      </c>
      <c r="V341" s="53">
        <v>0</v>
      </c>
      <c r="W341" s="54">
        <v>0</v>
      </c>
      <c r="X341" s="55">
        <v>0</v>
      </c>
      <c r="Y341" s="47">
        <v>0</v>
      </c>
      <c r="Z341" s="49">
        <v>0</v>
      </c>
    </row>
    <row r="342" spans="1:26" s="30" customFormat="1" ht="18" customHeight="1" x14ac:dyDescent="0.25">
      <c r="A342" s="21" t="s">
        <v>817</v>
      </c>
      <c r="B342" s="22">
        <v>6510200</v>
      </c>
      <c r="C342" s="23" t="s">
        <v>806</v>
      </c>
      <c r="D342" s="22" t="s">
        <v>531</v>
      </c>
      <c r="E342" s="41">
        <v>0</v>
      </c>
      <c r="F342" s="42">
        <v>0</v>
      </c>
      <c r="G342" s="43">
        <v>0</v>
      </c>
      <c r="H342" s="24"/>
      <c r="I342" s="25"/>
      <c r="J342" s="25"/>
      <c r="K342" s="25"/>
      <c r="L342" s="24"/>
      <c r="M342" s="25"/>
      <c r="N342" s="25"/>
      <c r="O342" s="25"/>
      <c r="P342" s="47"/>
      <c r="Q342" s="48"/>
      <c r="R342" s="49"/>
      <c r="S342" s="50">
        <v>0</v>
      </c>
      <c r="T342" s="51">
        <v>0</v>
      </c>
      <c r="U342" s="52">
        <v>0</v>
      </c>
      <c r="V342" s="53">
        <v>0</v>
      </c>
      <c r="W342" s="54">
        <v>0</v>
      </c>
      <c r="X342" s="55">
        <v>0</v>
      </c>
      <c r="Y342" s="56">
        <v>0</v>
      </c>
      <c r="Z342" s="57">
        <v>0</v>
      </c>
    </row>
    <row r="343" spans="1:26" s="30" customFormat="1" ht="18" customHeight="1" x14ac:dyDescent="0.25">
      <c r="A343" s="21" t="s">
        <v>819</v>
      </c>
      <c r="B343" s="22">
        <v>6530030</v>
      </c>
      <c r="C343" s="23" t="s">
        <v>820</v>
      </c>
      <c r="D343" s="22" t="s">
        <v>505</v>
      </c>
      <c r="E343" s="41">
        <v>0</v>
      </c>
      <c r="F343" s="42">
        <v>0</v>
      </c>
      <c r="G343" s="43">
        <v>0</v>
      </c>
      <c r="H343" s="24"/>
      <c r="I343" s="25"/>
      <c r="J343" s="25"/>
      <c r="K343" s="25"/>
      <c r="L343" s="24"/>
      <c r="M343" s="25"/>
      <c r="N343" s="25"/>
      <c r="O343" s="25"/>
      <c r="P343" s="47"/>
      <c r="Q343" s="48"/>
      <c r="R343" s="49"/>
      <c r="S343" s="50">
        <v>0</v>
      </c>
      <c r="T343" s="51">
        <v>0</v>
      </c>
      <c r="U343" s="52">
        <v>0</v>
      </c>
      <c r="V343" s="53">
        <v>0</v>
      </c>
      <c r="W343" s="54">
        <v>0</v>
      </c>
      <c r="X343" s="55">
        <v>0</v>
      </c>
      <c r="Y343" s="47">
        <v>0</v>
      </c>
      <c r="Z343" s="49">
        <v>0</v>
      </c>
    </row>
    <row r="344" spans="1:26" s="30" customFormat="1" ht="18" customHeight="1" x14ac:dyDescent="0.25">
      <c r="A344" s="21" t="s">
        <v>822</v>
      </c>
      <c r="B344" s="22">
        <v>6530050</v>
      </c>
      <c r="C344" s="23" t="s">
        <v>820</v>
      </c>
      <c r="D344" s="22" t="s">
        <v>505</v>
      </c>
      <c r="E344" s="41">
        <v>0</v>
      </c>
      <c r="F344" s="42">
        <v>0</v>
      </c>
      <c r="G344" s="43">
        <v>0</v>
      </c>
      <c r="H344" s="24"/>
      <c r="I344" s="25"/>
      <c r="J344" s="25"/>
      <c r="K344" s="25"/>
      <c r="L344" s="24"/>
      <c r="M344" s="25"/>
      <c r="N344" s="25"/>
      <c r="O344" s="25"/>
      <c r="P344" s="47"/>
      <c r="Q344" s="48"/>
      <c r="R344" s="49"/>
      <c r="S344" s="50">
        <v>0</v>
      </c>
      <c r="T344" s="51">
        <v>0</v>
      </c>
      <c r="U344" s="52">
        <v>0</v>
      </c>
      <c r="V344" s="53">
        <v>0</v>
      </c>
      <c r="W344" s="54">
        <v>0</v>
      </c>
      <c r="X344" s="55">
        <v>0</v>
      </c>
      <c r="Y344" s="47">
        <v>0</v>
      </c>
      <c r="Z344" s="49">
        <v>0</v>
      </c>
    </row>
    <row r="345" spans="1:26" s="30" customFormat="1" ht="18" customHeight="1" x14ac:dyDescent="0.25">
      <c r="A345" s="21" t="s">
        <v>824</v>
      </c>
      <c r="B345" s="22">
        <v>6530070</v>
      </c>
      <c r="C345" s="23" t="s">
        <v>820</v>
      </c>
      <c r="D345" s="22" t="s">
        <v>825</v>
      </c>
      <c r="E345" s="41">
        <v>0</v>
      </c>
      <c r="F345" s="42">
        <v>0</v>
      </c>
      <c r="G345" s="43">
        <v>0</v>
      </c>
      <c r="H345" s="44"/>
      <c r="I345" s="45"/>
      <c r="J345" s="46"/>
      <c r="K345" s="46"/>
      <c r="L345" s="24"/>
      <c r="M345" s="25"/>
      <c r="N345" s="25"/>
      <c r="O345" s="25"/>
      <c r="P345" s="47"/>
      <c r="Q345" s="48"/>
      <c r="R345" s="49"/>
      <c r="S345" s="50">
        <v>0</v>
      </c>
      <c r="T345" s="51">
        <v>0</v>
      </c>
      <c r="U345" s="52">
        <v>0</v>
      </c>
      <c r="V345" s="53">
        <v>0</v>
      </c>
      <c r="W345" s="54">
        <v>0</v>
      </c>
      <c r="X345" s="55">
        <v>0</v>
      </c>
      <c r="Y345" s="56">
        <v>0</v>
      </c>
      <c r="Z345" s="57">
        <v>0</v>
      </c>
    </row>
    <row r="346" spans="1:26" s="30" customFormat="1" ht="18" customHeight="1" x14ac:dyDescent="0.25">
      <c r="A346" s="21" t="s">
        <v>819</v>
      </c>
      <c r="B346" s="22">
        <v>6530236</v>
      </c>
      <c r="C346" s="23" t="s">
        <v>820</v>
      </c>
      <c r="D346" s="22" t="s">
        <v>827</v>
      </c>
      <c r="E346" s="41">
        <v>0</v>
      </c>
      <c r="F346" s="42">
        <v>0</v>
      </c>
      <c r="G346" s="43">
        <v>0</v>
      </c>
      <c r="H346" s="24"/>
      <c r="I346" s="25"/>
      <c r="J346" s="25"/>
      <c r="K346" s="25"/>
      <c r="L346" s="24"/>
      <c r="M346" s="25"/>
      <c r="N346" s="25"/>
      <c r="O346" s="25"/>
      <c r="P346" s="47"/>
      <c r="Q346" s="48"/>
      <c r="R346" s="49"/>
      <c r="S346" s="50">
        <v>0</v>
      </c>
      <c r="T346" s="51">
        <v>0</v>
      </c>
      <c r="U346" s="52">
        <v>0</v>
      </c>
      <c r="V346" s="53">
        <v>0</v>
      </c>
      <c r="W346" s="54">
        <v>0</v>
      </c>
      <c r="X346" s="55">
        <v>0</v>
      </c>
      <c r="Y346" s="47">
        <v>0</v>
      </c>
      <c r="Z346" s="49">
        <v>0</v>
      </c>
    </row>
    <row r="347" spans="1:26" s="30" customFormat="1" ht="18" customHeight="1" x14ac:dyDescent="0.25">
      <c r="A347" s="21" t="s">
        <v>829</v>
      </c>
      <c r="B347" s="22">
        <v>6530279</v>
      </c>
      <c r="C347" s="23" t="s">
        <v>820</v>
      </c>
      <c r="D347" s="22" t="s">
        <v>830</v>
      </c>
      <c r="E347" s="41">
        <v>0</v>
      </c>
      <c r="F347" s="42">
        <v>0</v>
      </c>
      <c r="G347" s="43">
        <v>0</v>
      </c>
      <c r="H347" s="24"/>
      <c r="I347" s="25"/>
      <c r="J347" s="25"/>
      <c r="K347" s="25"/>
      <c r="L347" s="24"/>
      <c r="M347" s="25"/>
      <c r="N347" s="25"/>
      <c r="O347" s="25"/>
      <c r="P347" s="47"/>
      <c r="Q347" s="48"/>
      <c r="R347" s="49"/>
      <c r="S347" s="50">
        <v>0</v>
      </c>
      <c r="T347" s="51">
        <v>0</v>
      </c>
      <c r="U347" s="52">
        <v>0</v>
      </c>
      <c r="V347" s="53">
        <v>0</v>
      </c>
      <c r="W347" s="54">
        <v>0</v>
      </c>
      <c r="X347" s="55">
        <v>0</v>
      </c>
      <c r="Y347" s="47">
        <v>0</v>
      </c>
      <c r="Z347" s="49">
        <v>0</v>
      </c>
    </row>
    <row r="348" spans="1:26" s="30" customFormat="1" ht="18" customHeight="1" x14ac:dyDescent="0.25">
      <c r="A348" s="21" t="s">
        <v>822</v>
      </c>
      <c r="B348" s="22">
        <v>6530286</v>
      </c>
      <c r="C348" s="23" t="s">
        <v>820</v>
      </c>
      <c r="D348" s="22" t="s">
        <v>827</v>
      </c>
      <c r="E348" s="41">
        <v>0</v>
      </c>
      <c r="F348" s="42">
        <v>0</v>
      </c>
      <c r="G348" s="43">
        <v>0</v>
      </c>
      <c r="H348" s="24"/>
      <c r="I348" s="25"/>
      <c r="J348" s="25"/>
      <c r="K348" s="25"/>
      <c r="L348" s="24"/>
      <c r="M348" s="25"/>
      <c r="N348" s="25"/>
      <c r="O348" s="25"/>
      <c r="P348" s="47"/>
      <c r="Q348" s="48"/>
      <c r="R348" s="49"/>
      <c r="S348" s="50">
        <v>0</v>
      </c>
      <c r="T348" s="51">
        <v>0</v>
      </c>
      <c r="U348" s="52">
        <v>0</v>
      </c>
      <c r="V348" s="53">
        <v>0</v>
      </c>
      <c r="W348" s="54">
        <v>0</v>
      </c>
      <c r="X348" s="55">
        <v>0</v>
      </c>
      <c r="Y348" s="47">
        <v>0</v>
      </c>
      <c r="Z348" s="49">
        <v>0</v>
      </c>
    </row>
    <row r="349" spans="1:26" s="30" customFormat="1" ht="18" customHeight="1" x14ac:dyDescent="0.25">
      <c r="A349" s="21" t="s">
        <v>833</v>
      </c>
      <c r="B349" s="22">
        <v>6540090</v>
      </c>
      <c r="C349" s="23" t="s">
        <v>834</v>
      </c>
      <c r="D349" s="22" t="s">
        <v>53</v>
      </c>
      <c r="E349" s="47">
        <v>0</v>
      </c>
      <c r="F349" s="48">
        <v>0</v>
      </c>
      <c r="G349" s="49">
        <v>0</v>
      </c>
      <c r="H349" s="44"/>
      <c r="I349" s="45"/>
      <c r="J349" s="46"/>
      <c r="K349" s="46"/>
      <c r="L349" s="44"/>
      <c r="M349" s="45"/>
      <c r="N349" s="46"/>
      <c r="O349" s="46"/>
      <c r="P349" s="47"/>
      <c r="Q349" s="48"/>
      <c r="R349" s="49"/>
      <c r="S349" s="50">
        <v>0</v>
      </c>
      <c r="T349" s="51">
        <v>0</v>
      </c>
      <c r="U349" s="52">
        <v>0</v>
      </c>
      <c r="V349" s="53">
        <v>0</v>
      </c>
      <c r="W349" s="54">
        <v>0</v>
      </c>
      <c r="X349" s="55">
        <v>0</v>
      </c>
      <c r="Y349" s="56">
        <v>0</v>
      </c>
      <c r="Z349" s="57">
        <v>0</v>
      </c>
    </row>
    <row r="350" spans="1:26" s="30" customFormat="1" ht="18" customHeight="1" x14ac:dyDescent="0.25">
      <c r="A350" s="21" t="s">
        <v>836</v>
      </c>
      <c r="B350" s="22">
        <v>65401475</v>
      </c>
      <c r="C350" s="23" t="s">
        <v>834</v>
      </c>
      <c r="D350" s="22" t="s">
        <v>837</v>
      </c>
      <c r="E350" s="41">
        <v>0</v>
      </c>
      <c r="F350" s="42">
        <v>0</v>
      </c>
      <c r="G350" s="43">
        <v>0</v>
      </c>
      <c r="H350" s="44"/>
      <c r="I350" s="45"/>
      <c r="J350" s="46"/>
      <c r="K350" s="46"/>
      <c r="L350" s="44"/>
      <c r="M350" s="45"/>
      <c r="N350" s="46"/>
      <c r="O350" s="46"/>
      <c r="P350" s="47"/>
      <c r="Q350" s="48"/>
      <c r="R350" s="49"/>
      <c r="S350" s="50">
        <v>0</v>
      </c>
      <c r="T350" s="51">
        <v>0</v>
      </c>
      <c r="U350" s="52">
        <v>0</v>
      </c>
      <c r="V350" s="53">
        <v>0</v>
      </c>
      <c r="W350" s="54">
        <v>0</v>
      </c>
      <c r="X350" s="55">
        <v>0</v>
      </c>
      <c r="Y350" s="56">
        <v>0</v>
      </c>
      <c r="Z350" s="57">
        <v>0</v>
      </c>
    </row>
    <row r="351" spans="1:26" s="30" customFormat="1" ht="18" customHeight="1" x14ac:dyDescent="0.25">
      <c r="A351" s="21" t="s">
        <v>839</v>
      </c>
      <c r="B351" s="22">
        <v>65401555</v>
      </c>
      <c r="C351" s="23" t="s">
        <v>834</v>
      </c>
      <c r="D351" s="22" t="s">
        <v>840</v>
      </c>
      <c r="E351" s="41">
        <v>0</v>
      </c>
      <c r="F351" s="42">
        <v>0</v>
      </c>
      <c r="G351" s="43">
        <v>0</v>
      </c>
      <c r="H351" s="24"/>
      <c r="I351" s="25"/>
      <c r="J351" s="25"/>
      <c r="K351" s="25"/>
      <c r="L351" s="24"/>
      <c r="M351" s="25"/>
      <c r="N351" s="25"/>
      <c r="O351" s="25"/>
      <c r="P351" s="47"/>
      <c r="Q351" s="48"/>
      <c r="R351" s="49"/>
      <c r="S351" s="50">
        <v>0</v>
      </c>
      <c r="T351" s="51">
        <v>0</v>
      </c>
      <c r="U351" s="52">
        <v>0</v>
      </c>
      <c r="V351" s="58">
        <v>0</v>
      </c>
      <c r="W351" s="48">
        <v>0</v>
      </c>
      <c r="X351" s="49">
        <v>0</v>
      </c>
      <c r="Y351" s="56">
        <v>0</v>
      </c>
      <c r="Z351" s="57">
        <v>0</v>
      </c>
    </row>
    <row r="352" spans="1:26" s="30" customFormat="1" ht="18" customHeight="1" x14ac:dyDescent="0.25">
      <c r="A352" s="21" t="s">
        <v>842</v>
      </c>
      <c r="B352" s="22">
        <v>65401686</v>
      </c>
      <c r="C352" s="23" t="s">
        <v>834</v>
      </c>
      <c r="D352" s="22" t="s">
        <v>415</v>
      </c>
      <c r="E352" s="41">
        <v>0</v>
      </c>
      <c r="F352" s="42">
        <v>0</v>
      </c>
      <c r="G352" s="43">
        <v>0</v>
      </c>
      <c r="H352" s="24"/>
      <c r="I352" s="25"/>
      <c r="J352" s="25"/>
      <c r="K352" s="25"/>
      <c r="L352" s="24"/>
      <c r="M352" s="25"/>
      <c r="N352" s="25"/>
      <c r="O352" s="25"/>
      <c r="P352" s="47"/>
      <c r="Q352" s="48"/>
      <c r="R352" s="49"/>
      <c r="S352" s="50">
        <v>0</v>
      </c>
      <c r="T352" s="51">
        <v>0</v>
      </c>
      <c r="U352" s="52">
        <v>0</v>
      </c>
      <c r="V352" s="53">
        <v>0</v>
      </c>
      <c r="W352" s="54">
        <v>0</v>
      </c>
      <c r="X352" s="55">
        <v>0</v>
      </c>
      <c r="Y352" s="56">
        <v>0</v>
      </c>
      <c r="Z352" s="57">
        <v>0</v>
      </c>
    </row>
    <row r="353" spans="1:26" s="30" customFormat="1" ht="18" customHeight="1" x14ac:dyDescent="0.25">
      <c r="A353" s="21" t="s">
        <v>844</v>
      </c>
      <c r="B353" s="22">
        <v>6540232</v>
      </c>
      <c r="C353" s="23" t="s">
        <v>834</v>
      </c>
      <c r="D353" s="22" t="s">
        <v>53</v>
      </c>
      <c r="E353" s="41">
        <v>0</v>
      </c>
      <c r="F353" s="42">
        <v>0</v>
      </c>
      <c r="G353" s="43">
        <v>0</v>
      </c>
      <c r="H353" s="24"/>
      <c r="I353" s="25"/>
      <c r="J353" s="25"/>
      <c r="K353" s="25"/>
      <c r="L353" s="24"/>
      <c r="M353" s="25"/>
      <c r="N353" s="25"/>
      <c r="O353" s="25"/>
      <c r="P353" s="47"/>
      <c r="Q353" s="48"/>
      <c r="R353" s="49"/>
      <c r="S353" s="50">
        <v>0</v>
      </c>
      <c r="T353" s="51">
        <v>0</v>
      </c>
      <c r="U353" s="52">
        <v>0</v>
      </c>
      <c r="V353" s="53">
        <v>0</v>
      </c>
      <c r="W353" s="54">
        <v>0</v>
      </c>
      <c r="X353" s="55">
        <v>0</v>
      </c>
      <c r="Y353" s="47">
        <v>0</v>
      </c>
      <c r="Z353" s="49">
        <v>0</v>
      </c>
    </row>
    <row r="354" spans="1:26" s="30" customFormat="1" ht="18" customHeight="1" x14ac:dyDescent="0.25">
      <c r="A354" s="21" t="s">
        <v>846</v>
      </c>
      <c r="B354" s="22">
        <v>74101428</v>
      </c>
      <c r="C354" s="23" t="s">
        <v>193</v>
      </c>
      <c r="D354" s="22" t="s">
        <v>847</v>
      </c>
      <c r="E354" s="41">
        <v>0</v>
      </c>
      <c r="F354" s="42">
        <v>0</v>
      </c>
      <c r="G354" s="43">
        <v>0</v>
      </c>
      <c r="H354" s="24"/>
      <c r="I354" s="25"/>
      <c r="J354" s="25"/>
      <c r="K354" s="25"/>
      <c r="L354" s="24"/>
      <c r="M354" s="25"/>
      <c r="N354" s="25"/>
      <c r="O354" s="25"/>
      <c r="P354" s="47"/>
      <c r="Q354" s="48"/>
      <c r="R354" s="49"/>
      <c r="S354" s="50">
        <v>0</v>
      </c>
      <c r="T354" s="51">
        <v>0</v>
      </c>
      <c r="U354" s="52">
        <v>0</v>
      </c>
      <c r="V354" s="53">
        <v>0</v>
      </c>
      <c r="W354" s="54">
        <v>0</v>
      </c>
      <c r="X354" s="55">
        <v>0</v>
      </c>
      <c r="Y354" s="56">
        <v>0</v>
      </c>
      <c r="Z354" s="57">
        <v>0</v>
      </c>
    </row>
    <row r="355" spans="1:26" s="30" customFormat="1" ht="18" customHeight="1" x14ac:dyDescent="0.25">
      <c r="A355" s="21" t="s">
        <v>849</v>
      </c>
      <c r="B355" s="22">
        <v>7417010</v>
      </c>
      <c r="C355" s="23" t="s">
        <v>636</v>
      </c>
      <c r="D355" s="22" t="s">
        <v>850</v>
      </c>
      <c r="E355" s="47">
        <v>0</v>
      </c>
      <c r="F355" s="48">
        <v>0</v>
      </c>
      <c r="G355" s="49">
        <v>0</v>
      </c>
      <c r="H355" s="44"/>
      <c r="I355" s="45"/>
      <c r="J355" s="46"/>
      <c r="K355" s="46"/>
      <c r="L355" s="24"/>
      <c r="M355" s="25"/>
      <c r="N355" s="25"/>
      <c r="O355" s="25"/>
      <c r="P355" s="47"/>
      <c r="Q355" s="48"/>
      <c r="R355" s="49"/>
      <c r="S355" s="50">
        <v>0</v>
      </c>
      <c r="T355" s="51">
        <v>0</v>
      </c>
      <c r="U355" s="52">
        <v>0</v>
      </c>
      <c r="V355" s="53">
        <v>0</v>
      </c>
      <c r="W355" s="54">
        <v>0</v>
      </c>
      <c r="X355" s="55">
        <v>0</v>
      </c>
      <c r="Y355" s="56">
        <v>0</v>
      </c>
      <c r="Z355" s="57">
        <v>0</v>
      </c>
    </row>
    <row r="356" spans="1:26" s="30" customFormat="1" ht="18" customHeight="1" x14ac:dyDescent="0.25">
      <c r="A356" s="21" t="s">
        <v>676</v>
      </c>
      <c r="B356" s="22">
        <v>7417191</v>
      </c>
      <c r="C356" s="23" t="s">
        <v>636</v>
      </c>
      <c r="D356" s="22" t="s">
        <v>660</v>
      </c>
      <c r="E356" s="41">
        <v>0</v>
      </c>
      <c r="F356" s="42">
        <v>0</v>
      </c>
      <c r="G356" s="43">
        <v>0</v>
      </c>
      <c r="H356" s="44"/>
      <c r="I356" s="45"/>
      <c r="J356" s="46"/>
      <c r="K356" s="46"/>
      <c r="L356" s="24"/>
      <c r="M356" s="25"/>
      <c r="N356" s="25"/>
      <c r="O356" s="25"/>
      <c r="P356" s="47"/>
      <c r="Q356" s="48"/>
      <c r="R356" s="49"/>
      <c r="S356" s="50">
        <v>0</v>
      </c>
      <c r="T356" s="51">
        <v>0</v>
      </c>
      <c r="U356" s="52">
        <v>0</v>
      </c>
      <c r="V356" s="53">
        <v>0</v>
      </c>
      <c r="W356" s="54">
        <v>0</v>
      </c>
      <c r="X356" s="55">
        <v>0</v>
      </c>
      <c r="Y356" s="56">
        <v>0</v>
      </c>
      <c r="Z356" s="57">
        <v>0</v>
      </c>
    </row>
    <row r="357" spans="1:26" s="30" customFormat="1" ht="18" customHeight="1" x14ac:dyDescent="0.25">
      <c r="A357" s="21" t="s">
        <v>853</v>
      </c>
      <c r="B357" s="22">
        <v>7417920</v>
      </c>
      <c r="C357" s="23" t="s">
        <v>636</v>
      </c>
      <c r="D357" s="22" t="s">
        <v>854</v>
      </c>
      <c r="E357" s="41">
        <v>0</v>
      </c>
      <c r="F357" s="42">
        <v>0</v>
      </c>
      <c r="G357" s="43">
        <v>0</v>
      </c>
      <c r="H357" s="24"/>
      <c r="I357" s="25"/>
      <c r="J357" s="25"/>
      <c r="K357" s="25"/>
      <c r="L357" s="24"/>
      <c r="M357" s="25"/>
      <c r="N357" s="25"/>
      <c r="O357" s="25"/>
      <c r="P357" s="47"/>
      <c r="Q357" s="48"/>
      <c r="R357" s="49"/>
      <c r="S357" s="50">
        <v>0</v>
      </c>
      <c r="T357" s="51">
        <v>0</v>
      </c>
      <c r="U357" s="52">
        <v>0</v>
      </c>
      <c r="V357" s="53">
        <v>0</v>
      </c>
      <c r="W357" s="54">
        <v>0</v>
      </c>
      <c r="X357" s="55">
        <v>0</v>
      </c>
      <c r="Y357" s="47">
        <v>0</v>
      </c>
      <c r="Z357" s="49">
        <v>0</v>
      </c>
    </row>
    <row r="358" spans="1:26" s="30" customFormat="1" ht="18" customHeight="1" x14ac:dyDescent="0.25">
      <c r="A358" s="21" t="s">
        <v>856</v>
      </c>
      <c r="B358" s="22">
        <v>7492966</v>
      </c>
      <c r="C358" s="23" t="s">
        <v>193</v>
      </c>
      <c r="D358" s="22" t="s">
        <v>803</v>
      </c>
      <c r="E358" s="41">
        <v>0</v>
      </c>
      <c r="F358" s="42">
        <v>0</v>
      </c>
      <c r="G358" s="43">
        <v>0</v>
      </c>
      <c r="H358" s="24"/>
      <c r="I358" s="25"/>
      <c r="J358" s="25"/>
      <c r="K358" s="25"/>
      <c r="L358" s="24"/>
      <c r="M358" s="25"/>
      <c r="N358" s="25"/>
      <c r="O358" s="25"/>
      <c r="P358" s="47"/>
      <c r="Q358" s="48"/>
      <c r="R358" s="49"/>
      <c r="S358" s="50">
        <v>0</v>
      </c>
      <c r="T358" s="51">
        <v>0</v>
      </c>
      <c r="U358" s="52">
        <v>0</v>
      </c>
      <c r="V358" s="53">
        <v>0</v>
      </c>
      <c r="W358" s="54">
        <v>0</v>
      </c>
      <c r="X358" s="55">
        <v>0</v>
      </c>
      <c r="Y358" s="47">
        <v>0</v>
      </c>
      <c r="Z358" s="49">
        <v>0</v>
      </c>
    </row>
    <row r="359" spans="1:26" s="30" customFormat="1" ht="18" customHeight="1" x14ac:dyDescent="0.25">
      <c r="A359" s="21" t="s">
        <v>858</v>
      </c>
      <c r="B359" s="22">
        <v>7510040</v>
      </c>
      <c r="C359" s="23" t="s">
        <v>859</v>
      </c>
      <c r="D359" s="22" t="s">
        <v>35</v>
      </c>
      <c r="E359" s="41">
        <v>0</v>
      </c>
      <c r="F359" s="42">
        <v>0</v>
      </c>
      <c r="G359" s="43">
        <v>0</v>
      </c>
      <c r="H359" s="44"/>
      <c r="I359" s="45"/>
      <c r="J359" s="46"/>
      <c r="K359" s="46"/>
      <c r="L359" s="24"/>
      <c r="M359" s="25"/>
      <c r="N359" s="25"/>
      <c r="O359" s="25"/>
      <c r="P359" s="47"/>
      <c r="Q359" s="48"/>
      <c r="R359" s="49"/>
      <c r="S359" s="50">
        <v>0</v>
      </c>
      <c r="T359" s="51">
        <v>0</v>
      </c>
      <c r="U359" s="52">
        <v>0</v>
      </c>
      <c r="V359" s="53">
        <v>0</v>
      </c>
      <c r="W359" s="54">
        <v>0</v>
      </c>
      <c r="X359" s="55">
        <v>0</v>
      </c>
      <c r="Y359" s="56">
        <v>0</v>
      </c>
      <c r="Z359" s="57">
        <v>0</v>
      </c>
    </row>
    <row r="360" spans="1:26" s="30" customFormat="1" ht="18" customHeight="1" x14ac:dyDescent="0.25">
      <c r="A360" s="21" t="s">
        <v>861</v>
      </c>
      <c r="B360" s="22">
        <v>7510060</v>
      </c>
      <c r="C360" s="23" t="s">
        <v>859</v>
      </c>
      <c r="D360" s="22" t="s">
        <v>35</v>
      </c>
      <c r="E360" s="41">
        <v>0</v>
      </c>
      <c r="F360" s="42">
        <v>0</v>
      </c>
      <c r="G360" s="43">
        <v>0</v>
      </c>
      <c r="H360" s="24"/>
      <c r="I360" s="25"/>
      <c r="J360" s="25"/>
      <c r="K360" s="25"/>
      <c r="L360" s="24"/>
      <c r="M360" s="25"/>
      <c r="N360" s="25"/>
      <c r="O360" s="25"/>
      <c r="P360" s="47"/>
      <c r="Q360" s="48"/>
      <c r="R360" s="49"/>
      <c r="S360" s="50">
        <v>0</v>
      </c>
      <c r="T360" s="51">
        <v>0</v>
      </c>
      <c r="U360" s="52">
        <v>0</v>
      </c>
      <c r="V360" s="53">
        <v>0</v>
      </c>
      <c r="W360" s="54">
        <v>0</v>
      </c>
      <c r="X360" s="55">
        <v>0</v>
      </c>
      <c r="Y360" s="47">
        <v>0</v>
      </c>
      <c r="Z360" s="49">
        <v>0</v>
      </c>
    </row>
    <row r="361" spans="1:26" s="30" customFormat="1" ht="18" customHeight="1" x14ac:dyDescent="0.25">
      <c r="A361" s="21" t="s">
        <v>863</v>
      </c>
      <c r="B361" s="22">
        <v>7520035</v>
      </c>
      <c r="C361" s="23" t="s">
        <v>864</v>
      </c>
      <c r="D361" s="22" t="s">
        <v>194</v>
      </c>
      <c r="E361" s="41">
        <v>0</v>
      </c>
      <c r="F361" s="42">
        <v>0</v>
      </c>
      <c r="G361" s="43">
        <v>0</v>
      </c>
      <c r="H361" s="44"/>
      <c r="I361" s="45"/>
      <c r="J361" s="46"/>
      <c r="K361" s="46"/>
      <c r="L361" s="24"/>
      <c r="M361" s="25"/>
      <c r="N361" s="25"/>
      <c r="O361" s="25"/>
      <c r="P361" s="47"/>
      <c r="Q361" s="48"/>
      <c r="R361" s="49"/>
      <c r="S361" s="50">
        <v>0</v>
      </c>
      <c r="T361" s="51">
        <v>0</v>
      </c>
      <c r="U361" s="52">
        <v>0</v>
      </c>
      <c r="V361" s="53">
        <v>0</v>
      </c>
      <c r="W361" s="54">
        <v>0</v>
      </c>
      <c r="X361" s="55">
        <v>0</v>
      </c>
      <c r="Y361" s="56">
        <v>0</v>
      </c>
      <c r="Z361" s="57">
        <v>0</v>
      </c>
    </row>
    <row r="362" spans="1:26" s="30" customFormat="1" ht="18" customHeight="1" x14ac:dyDescent="0.25">
      <c r="A362" s="21" t="s">
        <v>866</v>
      </c>
      <c r="B362" s="22">
        <v>7530114</v>
      </c>
      <c r="C362" s="23" t="s">
        <v>867</v>
      </c>
      <c r="D362" s="22" t="s">
        <v>464</v>
      </c>
      <c r="E362" s="41">
        <v>0</v>
      </c>
      <c r="F362" s="42">
        <v>0</v>
      </c>
      <c r="G362" s="43">
        <v>0</v>
      </c>
      <c r="H362" s="24"/>
      <c r="I362" s="25"/>
      <c r="J362" s="25"/>
      <c r="K362" s="25"/>
      <c r="L362" s="24"/>
      <c r="M362" s="25"/>
      <c r="N362" s="25"/>
      <c r="O362" s="25"/>
      <c r="P362" s="47"/>
      <c r="Q362" s="48"/>
      <c r="R362" s="49"/>
      <c r="S362" s="50">
        <v>0</v>
      </c>
      <c r="T362" s="51">
        <v>0</v>
      </c>
      <c r="U362" s="52">
        <v>0</v>
      </c>
      <c r="V362" s="53">
        <v>0</v>
      </c>
      <c r="W362" s="54">
        <v>0</v>
      </c>
      <c r="X362" s="55">
        <v>0</v>
      </c>
      <c r="Y362" s="47">
        <v>0</v>
      </c>
      <c r="Z362" s="49">
        <v>0</v>
      </c>
    </row>
    <row r="363" spans="1:26" s="30" customFormat="1" ht="18" customHeight="1" x14ac:dyDescent="0.25">
      <c r="A363" s="21" t="s">
        <v>869</v>
      </c>
      <c r="B363" s="22">
        <v>7540175</v>
      </c>
      <c r="C363" s="23" t="s">
        <v>870</v>
      </c>
      <c r="D363" s="22" t="s">
        <v>479</v>
      </c>
      <c r="E363" s="41">
        <v>0</v>
      </c>
      <c r="F363" s="42">
        <v>0</v>
      </c>
      <c r="G363" s="43">
        <v>0</v>
      </c>
      <c r="H363" s="44"/>
      <c r="I363" s="45"/>
      <c r="J363" s="46"/>
      <c r="K363" s="46"/>
      <c r="L363" s="24"/>
      <c r="M363" s="25"/>
      <c r="N363" s="25"/>
      <c r="O363" s="25"/>
      <c r="P363" s="47"/>
      <c r="Q363" s="48"/>
      <c r="R363" s="49"/>
      <c r="S363" s="50">
        <v>0</v>
      </c>
      <c r="T363" s="51">
        <v>0</v>
      </c>
      <c r="U363" s="52">
        <v>0</v>
      </c>
      <c r="V363" s="53">
        <v>0</v>
      </c>
      <c r="W363" s="54">
        <v>0</v>
      </c>
      <c r="X363" s="55">
        <v>0</v>
      </c>
      <c r="Y363" s="56">
        <v>0</v>
      </c>
      <c r="Z363" s="57">
        <v>0</v>
      </c>
    </row>
    <row r="364" spans="1:26" s="30" customFormat="1" ht="18" customHeight="1" x14ac:dyDescent="0.25">
      <c r="A364" s="21" t="s">
        <v>872</v>
      </c>
      <c r="B364" s="22">
        <v>7550010</v>
      </c>
      <c r="C364" s="23" t="s">
        <v>873</v>
      </c>
      <c r="D364" s="22" t="s">
        <v>780</v>
      </c>
      <c r="E364" s="41">
        <v>0</v>
      </c>
      <c r="F364" s="42">
        <v>0</v>
      </c>
      <c r="G364" s="43">
        <v>0</v>
      </c>
      <c r="H364" s="24"/>
      <c r="I364" s="25"/>
      <c r="J364" s="25"/>
      <c r="K364" s="25"/>
      <c r="L364" s="24"/>
      <c r="M364" s="25"/>
      <c r="N364" s="25"/>
      <c r="O364" s="25"/>
      <c r="P364" s="47"/>
      <c r="Q364" s="48"/>
      <c r="R364" s="49"/>
      <c r="S364" s="50">
        <v>0</v>
      </c>
      <c r="T364" s="51">
        <v>0</v>
      </c>
      <c r="U364" s="52">
        <v>0</v>
      </c>
      <c r="V364" s="58">
        <v>0</v>
      </c>
      <c r="W364" s="48">
        <v>0</v>
      </c>
      <c r="X364" s="49">
        <v>0</v>
      </c>
      <c r="Y364" s="56">
        <v>0</v>
      </c>
      <c r="Z364" s="57">
        <v>0</v>
      </c>
    </row>
    <row r="365" spans="1:26" s="30" customFormat="1" ht="18" customHeight="1" x14ac:dyDescent="0.25">
      <c r="A365" s="21" t="s">
        <v>875</v>
      </c>
      <c r="B365" s="22">
        <v>7550050</v>
      </c>
      <c r="C365" s="23" t="s">
        <v>873</v>
      </c>
      <c r="D365" s="22" t="s">
        <v>780</v>
      </c>
      <c r="E365" s="41">
        <v>0</v>
      </c>
      <c r="F365" s="42">
        <v>0</v>
      </c>
      <c r="G365" s="43">
        <v>0</v>
      </c>
      <c r="H365" s="24"/>
      <c r="I365" s="25"/>
      <c r="J365" s="25"/>
      <c r="K365" s="25"/>
      <c r="L365" s="24"/>
      <c r="M365" s="25"/>
      <c r="N365" s="25"/>
      <c r="O365" s="25"/>
      <c r="P365" s="47"/>
      <c r="Q365" s="48"/>
      <c r="R365" s="49"/>
      <c r="S365" s="50">
        <v>0</v>
      </c>
      <c r="T365" s="51">
        <v>0</v>
      </c>
      <c r="U365" s="52">
        <v>0</v>
      </c>
      <c r="V365" s="58">
        <v>0</v>
      </c>
      <c r="W365" s="48">
        <v>0</v>
      </c>
      <c r="X365" s="49">
        <v>0</v>
      </c>
      <c r="Y365" s="56">
        <v>0</v>
      </c>
      <c r="Z365" s="57">
        <v>0</v>
      </c>
    </row>
    <row r="366" spans="1:26" s="30" customFormat="1" ht="18" customHeight="1" x14ac:dyDescent="0.25">
      <c r="A366" s="21" t="s">
        <v>877</v>
      </c>
      <c r="B366" s="22">
        <v>7550137</v>
      </c>
      <c r="C366" s="23" t="s">
        <v>873</v>
      </c>
      <c r="D366" s="22" t="s">
        <v>665</v>
      </c>
      <c r="E366" s="41">
        <v>0</v>
      </c>
      <c r="F366" s="42">
        <v>0</v>
      </c>
      <c r="G366" s="43">
        <v>0</v>
      </c>
      <c r="H366" s="44"/>
      <c r="I366" s="45"/>
      <c r="J366" s="46"/>
      <c r="K366" s="46"/>
      <c r="L366" s="24"/>
      <c r="M366" s="25"/>
      <c r="N366" s="25"/>
      <c r="O366" s="25"/>
      <c r="P366" s="47"/>
      <c r="Q366" s="48"/>
      <c r="R366" s="49"/>
      <c r="S366" s="50">
        <v>0</v>
      </c>
      <c r="T366" s="51">
        <v>0</v>
      </c>
      <c r="U366" s="52">
        <v>0</v>
      </c>
      <c r="V366" s="53">
        <v>0</v>
      </c>
      <c r="W366" s="54">
        <v>0</v>
      </c>
      <c r="X366" s="55">
        <v>0</v>
      </c>
      <c r="Y366" s="56">
        <v>0</v>
      </c>
      <c r="Z366" s="57">
        <v>0</v>
      </c>
    </row>
    <row r="367" spans="1:26" s="30" customFormat="1" ht="18" customHeight="1" x14ac:dyDescent="0.25">
      <c r="A367" s="21" t="s">
        <v>875</v>
      </c>
      <c r="B367" s="22">
        <v>7550152</v>
      </c>
      <c r="C367" s="23" t="s">
        <v>873</v>
      </c>
      <c r="D367" s="22" t="s">
        <v>879</v>
      </c>
      <c r="E367" s="41">
        <v>0</v>
      </c>
      <c r="F367" s="42">
        <v>0</v>
      </c>
      <c r="G367" s="43">
        <v>0</v>
      </c>
      <c r="H367" s="24"/>
      <c r="I367" s="25"/>
      <c r="J367" s="25"/>
      <c r="K367" s="25"/>
      <c r="L367" s="24"/>
      <c r="M367" s="25"/>
      <c r="N367" s="25"/>
      <c r="O367" s="25"/>
      <c r="P367" s="47"/>
      <c r="Q367" s="48"/>
      <c r="R367" s="49"/>
      <c r="S367" s="50">
        <v>0</v>
      </c>
      <c r="T367" s="51">
        <v>0</v>
      </c>
      <c r="U367" s="52">
        <v>0</v>
      </c>
      <c r="V367" s="58">
        <v>0</v>
      </c>
      <c r="W367" s="48">
        <v>0</v>
      </c>
      <c r="X367" s="49">
        <v>0</v>
      </c>
      <c r="Y367" s="56">
        <v>0</v>
      </c>
      <c r="Z367" s="57">
        <v>0</v>
      </c>
    </row>
    <row r="368" spans="1:26" s="30" customFormat="1" ht="18" customHeight="1" x14ac:dyDescent="0.25">
      <c r="A368" s="21" t="s">
        <v>881</v>
      </c>
      <c r="B368" s="22">
        <v>7560030</v>
      </c>
      <c r="C368" s="23" t="s">
        <v>882</v>
      </c>
      <c r="D368" s="22" t="s">
        <v>35</v>
      </c>
      <c r="E368" s="47">
        <v>0</v>
      </c>
      <c r="F368" s="48">
        <v>0</v>
      </c>
      <c r="G368" s="49">
        <v>0</v>
      </c>
      <c r="H368" s="44"/>
      <c r="I368" s="45"/>
      <c r="J368" s="46"/>
      <c r="K368" s="46"/>
      <c r="L368" s="24"/>
      <c r="M368" s="25"/>
      <c r="N368" s="25"/>
      <c r="O368" s="25"/>
      <c r="P368" s="47"/>
      <c r="Q368" s="48"/>
      <c r="R368" s="49"/>
      <c r="S368" s="50">
        <v>0</v>
      </c>
      <c r="T368" s="51">
        <v>0</v>
      </c>
      <c r="U368" s="52">
        <v>0</v>
      </c>
      <c r="V368" s="58">
        <v>0</v>
      </c>
      <c r="W368" s="48">
        <v>0</v>
      </c>
      <c r="X368" s="49">
        <v>0</v>
      </c>
      <c r="Y368" s="56">
        <v>0</v>
      </c>
      <c r="Z368" s="57">
        <v>0</v>
      </c>
    </row>
    <row r="369" spans="1:26" s="30" customFormat="1" ht="18" customHeight="1" x14ac:dyDescent="0.25">
      <c r="A369" s="21" t="s">
        <v>884</v>
      </c>
      <c r="B369" s="22">
        <v>7560050</v>
      </c>
      <c r="C369" s="23" t="s">
        <v>882</v>
      </c>
      <c r="D369" s="22" t="s">
        <v>35</v>
      </c>
      <c r="E369" s="41">
        <v>0</v>
      </c>
      <c r="F369" s="42">
        <v>0</v>
      </c>
      <c r="G369" s="43">
        <v>0</v>
      </c>
      <c r="H369" s="24"/>
      <c r="I369" s="25"/>
      <c r="J369" s="25"/>
      <c r="K369" s="25"/>
      <c r="L369" s="24"/>
      <c r="M369" s="25"/>
      <c r="N369" s="25"/>
      <c r="O369" s="25"/>
      <c r="P369" s="47"/>
      <c r="Q369" s="48"/>
      <c r="R369" s="49"/>
      <c r="S369" s="50">
        <v>0</v>
      </c>
      <c r="T369" s="51">
        <v>0</v>
      </c>
      <c r="U369" s="52">
        <v>0</v>
      </c>
      <c r="V369" s="53">
        <v>0</v>
      </c>
      <c r="W369" s="54">
        <v>0</v>
      </c>
      <c r="X369" s="55">
        <v>0</v>
      </c>
      <c r="Y369" s="47">
        <v>0</v>
      </c>
      <c r="Z369" s="49">
        <v>0</v>
      </c>
    </row>
    <row r="370" spans="1:26" s="30" customFormat="1" ht="18" customHeight="1" x14ac:dyDescent="0.25">
      <c r="A370" s="21" t="s">
        <v>886</v>
      </c>
      <c r="B370" s="22">
        <v>7560221</v>
      </c>
      <c r="C370" s="23" t="s">
        <v>882</v>
      </c>
      <c r="D370" s="22" t="s">
        <v>35</v>
      </c>
      <c r="E370" s="47">
        <v>0</v>
      </c>
      <c r="F370" s="48">
        <v>0</v>
      </c>
      <c r="G370" s="49">
        <v>0</v>
      </c>
      <c r="H370" s="44"/>
      <c r="I370" s="45"/>
      <c r="J370" s="46"/>
      <c r="K370" s="46"/>
      <c r="L370" s="24"/>
      <c r="M370" s="25"/>
      <c r="N370" s="25"/>
      <c r="O370" s="25"/>
      <c r="P370" s="47"/>
      <c r="Q370" s="48"/>
      <c r="R370" s="49"/>
      <c r="S370" s="50">
        <v>0</v>
      </c>
      <c r="T370" s="51">
        <v>0</v>
      </c>
      <c r="U370" s="52">
        <v>0</v>
      </c>
      <c r="V370" s="53">
        <v>0</v>
      </c>
      <c r="W370" s="54">
        <v>0</v>
      </c>
      <c r="X370" s="55">
        <v>0</v>
      </c>
      <c r="Y370" s="47">
        <v>0</v>
      </c>
      <c r="Z370" s="49">
        <v>0</v>
      </c>
    </row>
    <row r="371" spans="1:26" s="30" customFormat="1" ht="18" customHeight="1" x14ac:dyDescent="0.25">
      <c r="A371" s="21" t="s">
        <v>886</v>
      </c>
      <c r="B371" s="22">
        <v>7561030</v>
      </c>
      <c r="C371" s="23" t="s">
        <v>882</v>
      </c>
      <c r="D371" s="22" t="s">
        <v>314</v>
      </c>
      <c r="E371" s="47">
        <v>0</v>
      </c>
      <c r="F371" s="48">
        <v>0</v>
      </c>
      <c r="G371" s="49">
        <v>0</v>
      </c>
      <c r="H371" s="24"/>
      <c r="I371" s="25"/>
      <c r="J371" s="25"/>
      <c r="K371" s="25"/>
      <c r="L371" s="44"/>
      <c r="M371" s="45"/>
      <c r="N371" s="46"/>
      <c r="O371" s="46"/>
      <c r="P371" s="47"/>
      <c r="Q371" s="48"/>
      <c r="R371" s="49"/>
      <c r="S371" s="50">
        <v>0</v>
      </c>
      <c r="T371" s="51">
        <v>0</v>
      </c>
      <c r="U371" s="52">
        <v>0</v>
      </c>
      <c r="V371" s="53">
        <v>0</v>
      </c>
      <c r="W371" s="54">
        <v>0</v>
      </c>
      <c r="X371" s="55">
        <v>0</v>
      </c>
      <c r="Y371" s="47">
        <v>0</v>
      </c>
      <c r="Z371" s="49">
        <v>0</v>
      </c>
    </row>
    <row r="372" spans="1:26" s="30" customFormat="1" ht="18" customHeight="1" x14ac:dyDescent="0.25">
      <c r="A372" s="21" t="s">
        <v>889</v>
      </c>
      <c r="B372" s="22">
        <v>7561108</v>
      </c>
      <c r="C372" s="23" t="s">
        <v>882</v>
      </c>
      <c r="D372" s="22" t="s">
        <v>733</v>
      </c>
      <c r="E372" s="41">
        <v>0</v>
      </c>
      <c r="F372" s="42">
        <v>0</v>
      </c>
      <c r="G372" s="43">
        <v>0</v>
      </c>
      <c r="H372" s="24"/>
      <c r="I372" s="25"/>
      <c r="J372" s="25"/>
      <c r="K372" s="25"/>
      <c r="L372" s="24"/>
      <c r="M372" s="25"/>
      <c r="N372" s="25"/>
      <c r="O372" s="25"/>
      <c r="P372" s="47"/>
      <c r="Q372" s="48"/>
      <c r="R372" s="49"/>
      <c r="S372" s="50">
        <v>0</v>
      </c>
      <c r="T372" s="51">
        <v>0</v>
      </c>
      <c r="U372" s="52">
        <v>0</v>
      </c>
      <c r="V372" s="58">
        <v>0</v>
      </c>
      <c r="W372" s="48">
        <v>0</v>
      </c>
      <c r="X372" s="49">
        <v>0</v>
      </c>
      <c r="Y372" s="56">
        <v>0</v>
      </c>
      <c r="Z372" s="57">
        <v>0</v>
      </c>
    </row>
    <row r="373" spans="1:26" s="30" customFormat="1" ht="18" customHeight="1" x14ac:dyDescent="0.25">
      <c r="A373" s="21" t="s">
        <v>891</v>
      </c>
      <c r="B373" s="22">
        <v>75701108</v>
      </c>
      <c r="C373" s="23" t="s">
        <v>892</v>
      </c>
      <c r="D373" s="22" t="s">
        <v>893</v>
      </c>
      <c r="E373" s="41">
        <v>0</v>
      </c>
      <c r="F373" s="42">
        <v>0</v>
      </c>
      <c r="G373" s="43">
        <v>0</v>
      </c>
      <c r="H373" s="24"/>
      <c r="I373" s="25"/>
      <c r="J373" s="25"/>
      <c r="K373" s="25"/>
      <c r="L373" s="24"/>
      <c r="M373" s="25"/>
      <c r="N373" s="25"/>
      <c r="O373" s="25"/>
      <c r="P373" s="47"/>
      <c r="Q373" s="48"/>
      <c r="R373" s="49"/>
      <c r="S373" s="50">
        <v>0</v>
      </c>
      <c r="T373" s="51">
        <v>0</v>
      </c>
      <c r="U373" s="52">
        <v>0</v>
      </c>
      <c r="V373" s="53">
        <v>0</v>
      </c>
      <c r="W373" s="54">
        <v>0</v>
      </c>
      <c r="X373" s="55">
        <v>0</v>
      </c>
      <c r="Y373" s="47">
        <v>0</v>
      </c>
      <c r="Z373" s="49">
        <v>0</v>
      </c>
    </row>
    <row r="374" spans="1:26" s="30" customFormat="1" ht="18" customHeight="1" x14ac:dyDescent="0.25">
      <c r="A374" s="21" t="s">
        <v>895</v>
      </c>
      <c r="B374" s="22">
        <v>7570134</v>
      </c>
      <c r="C374" s="23" t="s">
        <v>892</v>
      </c>
      <c r="D374" s="22" t="s">
        <v>479</v>
      </c>
      <c r="E374" s="41">
        <v>0</v>
      </c>
      <c r="F374" s="42">
        <v>0</v>
      </c>
      <c r="G374" s="43">
        <v>0</v>
      </c>
      <c r="H374" s="24"/>
      <c r="I374" s="25"/>
      <c r="J374" s="25"/>
      <c r="K374" s="25"/>
      <c r="L374" s="24"/>
      <c r="M374" s="25"/>
      <c r="N374" s="25"/>
      <c r="O374" s="25"/>
      <c r="P374" s="47"/>
      <c r="Q374" s="48"/>
      <c r="R374" s="49"/>
      <c r="S374" s="50">
        <v>0</v>
      </c>
      <c r="T374" s="51">
        <v>0</v>
      </c>
      <c r="U374" s="52">
        <v>0</v>
      </c>
      <c r="V374" s="53">
        <v>0</v>
      </c>
      <c r="W374" s="54">
        <v>0</v>
      </c>
      <c r="X374" s="55">
        <v>0</v>
      </c>
      <c r="Y374" s="47">
        <v>0</v>
      </c>
      <c r="Z374" s="49">
        <v>0</v>
      </c>
    </row>
    <row r="375" spans="1:26" s="30" customFormat="1" ht="18" customHeight="1" x14ac:dyDescent="0.25">
      <c r="A375" s="21" t="s">
        <v>891</v>
      </c>
      <c r="B375" s="22">
        <v>7570164</v>
      </c>
      <c r="C375" s="23" t="s">
        <v>892</v>
      </c>
      <c r="D375" s="22" t="s">
        <v>479</v>
      </c>
      <c r="E375" s="41">
        <v>0</v>
      </c>
      <c r="F375" s="42">
        <v>0</v>
      </c>
      <c r="G375" s="43">
        <v>0</v>
      </c>
      <c r="H375" s="24"/>
      <c r="I375" s="25"/>
      <c r="J375" s="25"/>
      <c r="K375" s="25"/>
      <c r="L375" s="24"/>
      <c r="M375" s="25"/>
      <c r="N375" s="25"/>
      <c r="O375" s="25"/>
      <c r="P375" s="47"/>
      <c r="Q375" s="48"/>
      <c r="R375" s="49"/>
      <c r="S375" s="50">
        <v>0</v>
      </c>
      <c r="T375" s="51">
        <v>0</v>
      </c>
      <c r="U375" s="52">
        <v>0</v>
      </c>
      <c r="V375" s="53">
        <v>0</v>
      </c>
      <c r="W375" s="54">
        <v>0</v>
      </c>
      <c r="X375" s="55">
        <v>0</v>
      </c>
      <c r="Y375" s="47">
        <v>0</v>
      </c>
      <c r="Z375" s="49">
        <v>0</v>
      </c>
    </row>
    <row r="376" spans="1:26" s="30" customFormat="1" ht="18" customHeight="1" x14ac:dyDescent="0.25">
      <c r="A376" s="21" t="s">
        <v>898</v>
      </c>
      <c r="B376" s="22">
        <v>7570209</v>
      </c>
      <c r="C376" s="23" t="s">
        <v>892</v>
      </c>
      <c r="D376" s="22" t="s">
        <v>899</v>
      </c>
      <c r="E376" s="41">
        <v>0</v>
      </c>
      <c r="F376" s="42">
        <v>0</v>
      </c>
      <c r="G376" s="43">
        <v>0</v>
      </c>
      <c r="H376" s="24"/>
      <c r="I376" s="25"/>
      <c r="J376" s="25"/>
      <c r="K376" s="25"/>
      <c r="L376" s="24"/>
      <c r="M376" s="25"/>
      <c r="N376" s="25"/>
      <c r="O376" s="25"/>
      <c r="P376" s="47"/>
      <c r="Q376" s="48"/>
      <c r="R376" s="49"/>
      <c r="S376" s="50">
        <v>0</v>
      </c>
      <c r="T376" s="51">
        <v>0</v>
      </c>
      <c r="U376" s="52">
        <v>0</v>
      </c>
      <c r="V376" s="53">
        <v>0</v>
      </c>
      <c r="W376" s="54">
        <v>0</v>
      </c>
      <c r="X376" s="55">
        <v>0</v>
      </c>
      <c r="Y376" s="56">
        <v>0</v>
      </c>
      <c r="Z376" s="57">
        <v>0</v>
      </c>
    </row>
    <row r="377" spans="1:26" s="30" customFormat="1" ht="18" customHeight="1" x14ac:dyDescent="0.25">
      <c r="A377" s="21" t="s">
        <v>898</v>
      </c>
      <c r="B377" s="22">
        <v>7571230</v>
      </c>
      <c r="C377" s="23" t="s">
        <v>892</v>
      </c>
      <c r="D377" s="22" t="s">
        <v>901</v>
      </c>
      <c r="E377" s="47">
        <v>0</v>
      </c>
      <c r="F377" s="48">
        <v>0</v>
      </c>
      <c r="G377" s="49">
        <v>0</v>
      </c>
      <c r="H377" s="44"/>
      <c r="I377" s="45"/>
      <c r="J377" s="46"/>
      <c r="K377" s="46"/>
      <c r="L377" s="24"/>
      <c r="M377" s="25"/>
      <c r="N377" s="25"/>
      <c r="O377" s="25"/>
      <c r="P377" s="47"/>
      <c r="Q377" s="48"/>
      <c r="R377" s="49"/>
      <c r="S377" s="50">
        <v>0</v>
      </c>
      <c r="T377" s="51">
        <v>0</v>
      </c>
      <c r="U377" s="52">
        <v>0</v>
      </c>
      <c r="V377" s="53">
        <v>0</v>
      </c>
      <c r="W377" s="54">
        <v>0</v>
      </c>
      <c r="X377" s="55">
        <v>0</v>
      </c>
      <c r="Y377" s="47">
        <v>0</v>
      </c>
      <c r="Z377" s="49">
        <v>0</v>
      </c>
    </row>
    <row r="378" spans="1:26" s="30" customFormat="1" ht="18" customHeight="1" x14ac:dyDescent="0.25">
      <c r="A378" s="21" t="s">
        <v>718</v>
      </c>
      <c r="B378" s="22">
        <v>8510134</v>
      </c>
      <c r="C378" s="23" t="s">
        <v>711</v>
      </c>
      <c r="D378" s="22" t="s">
        <v>458</v>
      </c>
      <c r="E378" s="41">
        <v>0</v>
      </c>
      <c r="F378" s="42">
        <v>0</v>
      </c>
      <c r="G378" s="43">
        <v>0</v>
      </c>
      <c r="H378" s="44"/>
      <c r="I378" s="45"/>
      <c r="J378" s="46"/>
      <c r="K378" s="46"/>
      <c r="L378" s="24"/>
      <c r="M378" s="25"/>
      <c r="N378" s="25"/>
      <c r="O378" s="25"/>
      <c r="P378" s="47"/>
      <c r="Q378" s="48"/>
      <c r="R378" s="49"/>
      <c r="S378" s="50">
        <v>0</v>
      </c>
      <c r="T378" s="51">
        <v>0</v>
      </c>
      <c r="U378" s="52">
        <v>0</v>
      </c>
      <c r="V378" s="53">
        <v>0</v>
      </c>
      <c r="W378" s="54">
        <v>0</v>
      </c>
      <c r="X378" s="55">
        <v>0</v>
      </c>
      <c r="Y378" s="56">
        <v>0</v>
      </c>
      <c r="Z378" s="57">
        <v>0</v>
      </c>
    </row>
    <row r="379" spans="1:26" s="30" customFormat="1" ht="18" customHeight="1" x14ac:dyDescent="0.25">
      <c r="A379" s="21" t="s">
        <v>904</v>
      </c>
      <c r="B379" s="22">
        <v>8510138</v>
      </c>
      <c r="C379" s="23" t="s">
        <v>711</v>
      </c>
      <c r="D379" s="22" t="s">
        <v>415</v>
      </c>
      <c r="E379" s="41">
        <v>0</v>
      </c>
      <c r="F379" s="42">
        <v>0</v>
      </c>
      <c r="G379" s="43">
        <v>0</v>
      </c>
      <c r="H379" s="44"/>
      <c r="I379" s="45"/>
      <c r="J379" s="46"/>
      <c r="K379" s="46"/>
      <c r="L379" s="24"/>
      <c r="M379" s="25"/>
      <c r="N379" s="25"/>
      <c r="O379" s="25"/>
      <c r="P379" s="47"/>
      <c r="Q379" s="48"/>
      <c r="R379" s="49"/>
      <c r="S379" s="50">
        <v>0</v>
      </c>
      <c r="T379" s="51">
        <v>0</v>
      </c>
      <c r="U379" s="52">
        <v>0</v>
      </c>
      <c r="V379" s="53">
        <v>0</v>
      </c>
      <c r="W379" s="54">
        <v>0</v>
      </c>
      <c r="X379" s="55">
        <v>0</v>
      </c>
      <c r="Y379" s="56">
        <v>0</v>
      </c>
      <c r="Z379" s="57">
        <v>0</v>
      </c>
    </row>
    <row r="380" spans="1:26" s="30" customFormat="1" ht="18" customHeight="1" x14ac:dyDescent="0.25">
      <c r="A380" s="21" t="s">
        <v>906</v>
      </c>
      <c r="B380" s="22">
        <v>8510166</v>
      </c>
      <c r="C380" s="23" t="s">
        <v>711</v>
      </c>
      <c r="D380" s="22" t="s">
        <v>314</v>
      </c>
      <c r="E380" s="41">
        <v>0</v>
      </c>
      <c r="F380" s="42">
        <v>0</v>
      </c>
      <c r="G380" s="43">
        <v>0</v>
      </c>
      <c r="H380" s="24"/>
      <c r="I380" s="25"/>
      <c r="J380" s="25"/>
      <c r="K380" s="25"/>
      <c r="L380" s="24"/>
      <c r="M380" s="25"/>
      <c r="N380" s="25"/>
      <c r="O380" s="25"/>
      <c r="P380" s="47"/>
      <c r="Q380" s="48"/>
      <c r="R380" s="49"/>
      <c r="S380" s="50">
        <v>0</v>
      </c>
      <c r="T380" s="51">
        <v>0</v>
      </c>
      <c r="U380" s="52">
        <v>0</v>
      </c>
      <c r="V380" s="53">
        <v>0</v>
      </c>
      <c r="W380" s="54">
        <v>0</v>
      </c>
      <c r="X380" s="55">
        <v>0</v>
      </c>
      <c r="Y380" s="47">
        <v>0</v>
      </c>
      <c r="Z380" s="49">
        <v>0</v>
      </c>
    </row>
    <row r="381" spans="1:26" s="30" customFormat="1" ht="18" customHeight="1" x14ac:dyDescent="0.25">
      <c r="A381" s="21" t="s">
        <v>908</v>
      </c>
      <c r="B381" s="22">
        <v>8510385</v>
      </c>
      <c r="C381" s="23" t="s">
        <v>711</v>
      </c>
      <c r="D381" s="22" t="s">
        <v>314</v>
      </c>
      <c r="E381" s="41">
        <v>0</v>
      </c>
      <c r="F381" s="42">
        <v>0</v>
      </c>
      <c r="G381" s="43">
        <v>0</v>
      </c>
      <c r="H381" s="24"/>
      <c r="I381" s="25"/>
      <c r="J381" s="25"/>
      <c r="K381" s="25"/>
      <c r="L381" s="24"/>
      <c r="M381" s="25"/>
      <c r="N381" s="25"/>
      <c r="O381" s="25"/>
      <c r="P381" s="47"/>
      <c r="Q381" s="48"/>
      <c r="R381" s="49"/>
      <c r="S381" s="50">
        <v>0</v>
      </c>
      <c r="T381" s="51">
        <v>0</v>
      </c>
      <c r="U381" s="52">
        <v>0</v>
      </c>
      <c r="V381" s="53">
        <v>0</v>
      </c>
      <c r="W381" s="54">
        <v>0</v>
      </c>
      <c r="X381" s="55">
        <v>0</v>
      </c>
      <c r="Y381" s="47">
        <v>0</v>
      </c>
      <c r="Z381" s="49">
        <v>0</v>
      </c>
    </row>
    <row r="382" spans="1:26" s="30" customFormat="1" ht="18" customHeight="1" x14ac:dyDescent="0.25">
      <c r="A382" s="21" t="s">
        <v>910</v>
      </c>
      <c r="B382" s="22">
        <v>8510487</v>
      </c>
      <c r="C382" s="23" t="s">
        <v>711</v>
      </c>
      <c r="D382" s="22" t="s">
        <v>314</v>
      </c>
      <c r="E382" s="41">
        <v>0</v>
      </c>
      <c r="F382" s="42">
        <v>0</v>
      </c>
      <c r="G382" s="43">
        <v>0</v>
      </c>
      <c r="H382" s="24"/>
      <c r="I382" s="25"/>
      <c r="J382" s="25"/>
      <c r="K382" s="25"/>
      <c r="L382" s="24"/>
      <c r="M382" s="25"/>
      <c r="N382" s="25"/>
      <c r="O382" s="25"/>
      <c r="P382" s="47"/>
      <c r="Q382" s="48"/>
      <c r="R382" s="49"/>
      <c r="S382" s="50">
        <v>0</v>
      </c>
      <c r="T382" s="51">
        <v>0</v>
      </c>
      <c r="U382" s="52">
        <v>0</v>
      </c>
      <c r="V382" s="58">
        <v>0</v>
      </c>
      <c r="W382" s="48">
        <v>0</v>
      </c>
      <c r="X382" s="49">
        <v>0</v>
      </c>
      <c r="Y382" s="56">
        <v>0</v>
      </c>
      <c r="Z382" s="57">
        <v>0</v>
      </c>
    </row>
    <row r="383" spans="1:26" s="30" customFormat="1" ht="18" customHeight="1" x14ac:dyDescent="0.25">
      <c r="A383" s="21" t="s">
        <v>715</v>
      </c>
      <c r="B383" s="22">
        <v>8510543</v>
      </c>
      <c r="C383" s="23" t="s">
        <v>711</v>
      </c>
      <c r="D383" s="22" t="s">
        <v>474</v>
      </c>
      <c r="E383" s="41">
        <v>0</v>
      </c>
      <c r="F383" s="42">
        <v>0</v>
      </c>
      <c r="G383" s="43">
        <v>0</v>
      </c>
      <c r="H383" s="24"/>
      <c r="I383" s="25"/>
      <c r="J383" s="25"/>
      <c r="K383" s="25"/>
      <c r="L383" s="24"/>
      <c r="M383" s="25"/>
      <c r="N383" s="25"/>
      <c r="O383" s="25"/>
      <c r="P383" s="47"/>
      <c r="Q383" s="48"/>
      <c r="R383" s="49"/>
      <c r="S383" s="50">
        <v>0</v>
      </c>
      <c r="T383" s="51">
        <v>0</v>
      </c>
      <c r="U383" s="52">
        <v>0</v>
      </c>
      <c r="V383" s="58">
        <v>0</v>
      </c>
      <c r="W383" s="48">
        <v>0</v>
      </c>
      <c r="X383" s="49">
        <v>0</v>
      </c>
      <c r="Y383" s="56">
        <v>0</v>
      </c>
      <c r="Z383" s="57">
        <v>0</v>
      </c>
    </row>
    <row r="384" spans="1:26" s="30" customFormat="1" ht="18" customHeight="1" x14ac:dyDescent="0.25">
      <c r="A384" s="21" t="s">
        <v>724</v>
      </c>
      <c r="B384" s="22">
        <v>8510725</v>
      </c>
      <c r="C384" s="23" t="s">
        <v>711</v>
      </c>
      <c r="D384" s="22" t="s">
        <v>474</v>
      </c>
      <c r="E384" s="41">
        <v>0</v>
      </c>
      <c r="F384" s="42">
        <v>0</v>
      </c>
      <c r="G384" s="43">
        <v>0</v>
      </c>
      <c r="H384" s="24"/>
      <c r="I384" s="25"/>
      <c r="J384" s="25"/>
      <c r="K384" s="25"/>
      <c r="L384" s="24"/>
      <c r="M384" s="25"/>
      <c r="N384" s="25"/>
      <c r="O384" s="25"/>
      <c r="P384" s="47"/>
      <c r="Q384" s="48"/>
      <c r="R384" s="49"/>
      <c r="S384" s="50">
        <v>0</v>
      </c>
      <c r="T384" s="51">
        <v>0</v>
      </c>
      <c r="U384" s="52">
        <v>0</v>
      </c>
      <c r="V384" s="53">
        <v>0</v>
      </c>
      <c r="W384" s="54">
        <v>0</v>
      </c>
      <c r="X384" s="55">
        <v>0</v>
      </c>
      <c r="Y384" s="47">
        <v>0</v>
      </c>
      <c r="Z384" s="49">
        <v>0</v>
      </c>
    </row>
    <row r="385" spans="1:26" s="30" customFormat="1" ht="18" customHeight="1" x14ac:dyDescent="0.25">
      <c r="A385" s="21" t="s">
        <v>724</v>
      </c>
      <c r="B385" s="22">
        <v>8510905</v>
      </c>
      <c r="C385" s="23" t="s">
        <v>711</v>
      </c>
      <c r="D385" s="22" t="s">
        <v>719</v>
      </c>
      <c r="E385" s="41">
        <v>0</v>
      </c>
      <c r="F385" s="42">
        <v>0</v>
      </c>
      <c r="G385" s="43">
        <v>0</v>
      </c>
      <c r="H385" s="24"/>
      <c r="I385" s="25"/>
      <c r="J385" s="25"/>
      <c r="K385" s="25"/>
      <c r="L385" s="24"/>
      <c r="M385" s="25"/>
      <c r="N385" s="25"/>
      <c r="O385" s="25"/>
      <c r="P385" s="47"/>
      <c r="Q385" s="48"/>
      <c r="R385" s="49"/>
      <c r="S385" s="50">
        <v>0</v>
      </c>
      <c r="T385" s="51">
        <v>0</v>
      </c>
      <c r="U385" s="52">
        <v>0</v>
      </c>
      <c r="V385" s="53">
        <v>0</v>
      </c>
      <c r="W385" s="54">
        <v>0</v>
      </c>
      <c r="X385" s="55">
        <v>0</v>
      </c>
      <c r="Y385" s="47">
        <v>0</v>
      </c>
      <c r="Z385" s="49">
        <v>0</v>
      </c>
    </row>
    <row r="386" spans="1:26" s="30" customFormat="1" ht="18" customHeight="1" x14ac:dyDescent="0.25">
      <c r="A386" s="21" t="s">
        <v>727</v>
      </c>
      <c r="B386" s="22">
        <v>8511232</v>
      </c>
      <c r="C386" s="23" t="s">
        <v>711</v>
      </c>
      <c r="D386" s="22" t="s">
        <v>46</v>
      </c>
      <c r="E386" s="41">
        <v>0</v>
      </c>
      <c r="F386" s="42">
        <v>0</v>
      </c>
      <c r="G386" s="43">
        <v>0</v>
      </c>
      <c r="H386" s="24"/>
      <c r="I386" s="25"/>
      <c r="J386" s="25"/>
      <c r="K386" s="25"/>
      <c r="L386" s="24"/>
      <c r="M386" s="25"/>
      <c r="N386" s="25"/>
      <c r="O386" s="25"/>
      <c r="P386" s="47"/>
      <c r="Q386" s="48"/>
      <c r="R386" s="49"/>
      <c r="S386" s="50">
        <v>0</v>
      </c>
      <c r="T386" s="51">
        <v>0</v>
      </c>
      <c r="U386" s="52">
        <v>0</v>
      </c>
      <c r="V386" s="58">
        <v>0</v>
      </c>
      <c r="W386" s="48">
        <v>0</v>
      </c>
      <c r="X386" s="49">
        <v>0</v>
      </c>
      <c r="Y386" s="56">
        <v>0</v>
      </c>
      <c r="Z386" s="57">
        <v>0</v>
      </c>
    </row>
    <row r="387" spans="1:26" s="30" customFormat="1" ht="18" customHeight="1" x14ac:dyDescent="0.25">
      <c r="A387" s="21" t="s">
        <v>908</v>
      </c>
      <c r="B387" s="22">
        <v>85116753</v>
      </c>
      <c r="C387" s="23" t="s">
        <v>711</v>
      </c>
      <c r="D387" s="22" t="s">
        <v>916</v>
      </c>
      <c r="E387" s="41">
        <v>0</v>
      </c>
      <c r="F387" s="42">
        <v>0</v>
      </c>
      <c r="G387" s="43">
        <v>0</v>
      </c>
      <c r="H387" s="24"/>
      <c r="I387" s="25"/>
      <c r="J387" s="25"/>
      <c r="K387" s="25"/>
      <c r="L387" s="24"/>
      <c r="M387" s="25"/>
      <c r="N387" s="25"/>
      <c r="O387" s="25"/>
      <c r="P387" s="47"/>
      <c r="Q387" s="48"/>
      <c r="R387" s="49"/>
      <c r="S387" s="50">
        <v>0</v>
      </c>
      <c r="T387" s="51">
        <v>0</v>
      </c>
      <c r="U387" s="52">
        <v>0</v>
      </c>
      <c r="V387" s="53">
        <v>0</v>
      </c>
      <c r="W387" s="54">
        <v>0</v>
      </c>
      <c r="X387" s="55">
        <v>0</v>
      </c>
      <c r="Y387" s="47">
        <v>0</v>
      </c>
      <c r="Z387" s="49">
        <v>0</v>
      </c>
    </row>
    <row r="388" spans="1:26" s="30" customFormat="1" ht="18" customHeight="1" x14ac:dyDescent="0.25">
      <c r="A388" s="21" t="s">
        <v>918</v>
      </c>
      <c r="B388" s="22">
        <v>85116999</v>
      </c>
      <c r="C388" s="23" t="s">
        <v>711</v>
      </c>
      <c r="D388" s="22" t="s">
        <v>847</v>
      </c>
      <c r="E388" s="41">
        <v>0</v>
      </c>
      <c r="F388" s="42">
        <v>0</v>
      </c>
      <c r="G388" s="43">
        <v>0</v>
      </c>
      <c r="H388" s="24"/>
      <c r="I388" s="25"/>
      <c r="J388" s="25"/>
      <c r="K388" s="25"/>
      <c r="L388" s="24"/>
      <c r="M388" s="25"/>
      <c r="N388" s="25"/>
      <c r="O388" s="25"/>
      <c r="P388" s="47"/>
      <c r="Q388" s="48"/>
      <c r="R388" s="49"/>
      <c r="S388" s="50">
        <v>0</v>
      </c>
      <c r="T388" s="51">
        <v>0</v>
      </c>
      <c r="U388" s="52">
        <v>0</v>
      </c>
      <c r="V388" s="53">
        <v>0</v>
      </c>
      <c r="W388" s="54">
        <v>0</v>
      </c>
      <c r="X388" s="55">
        <v>0</v>
      </c>
      <c r="Y388" s="56">
        <v>0</v>
      </c>
      <c r="Z388" s="57">
        <v>0</v>
      </c>
    </row>
    <row r="389" spans="1:26" s="30" customFormat="1" ht="18" customHeight="1" x14ac:dyDescent="0.25">
      <c r="A389" s="21" t="s">
        <v>920</v>
      </c>
      <c r="B389" s="22">
        <v>8512652</v>
      </c>
      <c r="C389" s="23" t="s">
        <v>595</v>
      </c>
      <c r="D389" s="22" t="s">
        <v>921</v>
      </c>
      <c r="E389" s="41">
        <v>0</v>
      </c>
      <c r="F389" s="42">
        <v>0</v>
      </c>
      <c r="G389" s="43">
        <v>0</v>
      </c>
      <c r="H389" s="24"/>
      <c r="I389" s="25"/>
      <c r="J389" s="25"/>
      <c r="K389" s="25"/>
      <c r="L389" s="24"/>
      <c r="M389" s="25"/>
      <c r="N389" s="25"/>
      <c r="O389" s="25"/>
      <c r="P389" s="47"/>
      <c r="Q389" s="48"/>
      <c r="R389" s="49"/>
      <c r="S389" s="50">
        <v>0</v>
      </c>
      <c r="T389" s="51">
        <v>0</v>
      </c>
      <c r="U389" s="52">
        <v>0</v>
      </c>
      <c r="V389" s="53">
        <v>0</v>
      </c>
      <c r="W389" s="54">
        <v>0</v>
      </c>
      <c r="X389" s="55">
        <v>0</v>
      </c>
      <c r="Y389" s="47">
        <v>0</v>
      </c>
      <c r="Z389" s="49">
        <v>0</v>
      </c>
    </row>
    <row r="390" spans="1:26" s="30" customFormat="1" ht="18" customHeight="1" x14ac:dyDescent="0.25">
      <c r="A390" s="21" t="s">
        <v>553</v>
      </c>
      <c r="B390" s="22">
        <v>8530853</v>
      </c>
      <c r="C390" s="23" t="s">
        <v>547</v>
      </c>
      <c r="D390" s="22" t="s">
        <v>923</v>
      </c>
      <c r="E390" s="41">
        <v>0</v>
      </c>
      <c r="F390" s="42">
        <v>0</v>
      </c>
      <c r="G390" s="43">
        <v>0</v>
      </c>
      <c r="H390" s="24"/>
      <c r="I390" s="25"/>
      <c r="J390" s="25"/>
      <c r="K390" s="25"/>
      <c r="L390" s="24"/>
      <c r="M390" s="25"/>
      <c r="N390" s="25"/>
      <c r="O390" s="25"/>
      <c r="P390" s="47"/>
      <c r="Q390" s="48"/>
      <c r="R390" s="49"/>
      <c r="S390" s="50">
        <v>0</v>
      </c>
      <c r="T390" s="51">
        <v>0</v>
      </c>
      <c r="U390" s="52">
        <v>0</v>
      </c>
      <c r="V390" s="58">
        <v>0</v>
      </c>
      <c r="W390" s="48">
        <v>0</v>
      </c>
      <c r="X390" s="49">
        <v>0</v>
      </c>
      <c r="Y390" s="56">
        <v>0</v>
      </c>
      <c r="Z390" s="57">
        <v>0</v>
      </c>
    </row>
    <row r="391" spans="1:26" s="30" customFormat="1" ht="18" customHeight="1" x14ac:dyDescent="0.25">
      <c r="A391" s="21" t="s">
        <v>925</v>
      </c>
      <c r="B391" s="22">
        <v>9711728</v>
      </c>
      <c r="C391" s="23" t="s">
        <v>741</v>
      </c>
      <c r="D391" s="22" t="s">
        <v>926</v>
      </c>
      <c r="E391" s="47">
        <v>0</v>
      </c>
      <c r="F391" s="48">
        <v>0</v>
      </c>
      <c r="G391" s="49">
        <v>0</v>
      </c>
      <c r="H391" s="44"/>
      <c r="I391" s="45"/>
      <c r="J391" s="46"/>
      <c r="K391" s="46"/>
      <c r="L391" s="24"/>
      <c r="M391" s="25"/>
      <c r="N391" s="25"/>
      <c r="O391" s="25"/>
      <c r="P391" s="47"/>
      <c r="Q391" s="48"/>
      <c r="R391" s="49"/>
      <c r="S391" s="50">
        <v>0</v>
      </c>
      <c r="T391" s="51">
        <v>0</v>
      </c>
      <c r="U391" s="52">
        <v>0</v>
      </c>
      <c r="V391" s="53">
        <v>0</v>
      </c>
      <c r="W391" s="54">
        <v>0</v>
      </c>
      <c r="X391" s="55">
        <v>0</v>
      </c>
      <c r="Y391" s="47">
        <v>0</v>
      </c>
      <c r="Z391" s="49">
        <v>0</v>
      </c>
    </row>
    <row r="392" spans="1:26" s="30" customFormat="1" ht="18" customHeight="1" x14ac:dyDescent="0.25">
      <c r="A392" s="21" t="s">
        <v>504</v>
      </c>
      <c r="B392" s="22">
        <v>98111901</v>
      </c>
      <c r="C392" s="23" t="s">
        <v>489</v>
      </c>
      <c r="D392" s="22" t="s">
        <v>928</v>
      </c>
      <c r="E392" s="41">
        <v>0</v>
      </c>
      <c r="F392" s="42">
        <v>0</v>
      </c>
      <c r="G392" s="43">
        <v>0</v>
      </c>
      <c r="H392" s="24"/>
      <c r="I392" s="25"/>
      <c r="J392" s="25"/>
      <c r="K392" s="25"/>
      <c r="L392" s="24"/>
      <c r="M392" s="25"/>
      <c r="N392" s="25"/>
      <c r="O392" s="25"/>
      <c r="P392" s="47"/>
      <c r="Q392" s="48"/>
      <c r="R392" s="49"/>
      <c r="S392" s="50">
        <v>0</v>
      </c>
      <c r="T392" s="51">
        <v>0</v>
      </c>
      <c r="U392" s="52">
        <v>0</v>
      </c>
      <c r="V392" s="53">
        <v>0</v>
      </c>
      <c r="W392" s="54">
        <v>0</v>
      </c>
      <c r="X392" s="55">
        <v>0</v>
      </c>
      <c r="Y392" s="47">
        <v>0</v>
      </c>
      <c r="Z392" s="49">
        <v>0</v>
      </c>
    </row>
    <row r="393" spans="1:26" s="30" customFormat="1" ht="18" customHeight="1" x14ac:dyDescent="0.25">
      <c r="A393" s="21" t="s">
        <v>563</v>
      </c>
      <c r="B393" s="22">
        <v>9816908</v>
      </c>
      <c r="C393" s="23" t="s">
        <v>559</v>
      </c>
      <c r="D393" s="22" t="s">
        <v>565</v>
      </c>
      <c r="E393" s="41">
        <v>0</v>
      </c>
      <c r="F393" s="42">
        <v>0</v>
      </c>
      <c r="G393" s="43">
        <v>0</v>
      </c>
      <c r="H393" s="24"/>
      <c r="I393" s="25"/>
      <c r="J393" s="25"/>
      <c r="K393" s="25"/>
      <c r="L393" s="24"/>
      <c r="M393" s="25"/>
      <c r="N393" s="25"/>
      <c r="O393" s="25"/>
      <c r="P393" s="47"/>
      <c r="Q393" s="48"/>
      <c r="R393" s="49"/>
      <c r="S393" s="50">
        <v>0</v>
      </c>
      <c r="T393" s="51">
        <v>0</v>
      </c>
      <c r="U393" s="52">
        <v>0</v>
      </c>
      <c r="V393" s="53">
        <v>0</v>
      </c>
      <c r="W393" s="54">
        <v>0</v>
      </c>
      <c r="X393" s="55">
        <v>0</v>
      </c>
      <c r="Y393" s="56">
        <v>0</v>
      </c>
      <c r="Z393" s="57">
        <v>0</v>
      </c>
    </row>
    <row r="394" spans="1:26" s="30" customFormat="1" ht="18" customHeight="1" x14ac:dyDescent="0.25">
      <c r="A394" s="21" t="s">
        <v>107</v>
      </c>
      <c r="B394" s="22">
        <v>1010090</v>
      </c>
      <c r="C394" s="23" t="s">
        <v>1012</v>
      </c>
      <c r="D394" s="22" t="s">
        <v>35</v>
      </c>
      <c r="E394" s="41">
        <v>0</v>
      </c>
      <c r="F394" s="42">
        <v>0</v>
      </c>
      <c r="G394" s="43">
        <v>0</v>
      </c>
      <c r="H394" s="24"/>
      <c r="I394" s="25"/>
      <c r="J394" s="25"/>
      <c r="K394" s="25"/>
      <c r="L394" s="24"/>
      <c r="M394" s="25"/>
      <c r="N394" s="25"/>
      <c r="O394" s="25"/>
      <c r="P394" s="47"/>
      <c r="Q394" s="48"/>
      <c r="R394" s="49"/>
      <c r="S394" s="50">
        <v>0</v>
      </c>
      <c r="T394" s="51">
        <v>0</v>
      </c>
      <c r="U394" s="52">
        <v>0</v>
      </c>
      <c r="V394" s="53">
        <v>0</v>
      </c>
      <c r="W394" s="54">
        <v>0</v>
      </c>
      <c r="X394" s="55">
        <v>0</v>
      </c>
      <c r="Y394" s="56">
        <v>0</v>
      </c>
      <c r="Z394" s="57">
        <v>0</v>
      </c>
    </row>
    <row r="395" spans="1:26" x14ac:dyDescent="0.25">
      <c r="A395" s="21" t="s">
        <v>124</v>
      </c>
      <c r="B395" s="22">
        <v>1030011</v>
      </c>
      <c r="C395" s="23" t="s">
        <v>1013</v>
      </c>
      <c r="D395" s="22" t="s">
        <v>35</v>
      </c>
      <c r="E395" s="41">
        <v>0</v>
      </c>
      <c r="F395" s="42">
        <v>0</v>
      </c>
      <c r="G395" s="43">
        <v>0</v>
      </c>
      <c r="H395" s="24"/>
      <c r="I395" s="25"/>
      <c r="J395" s="25"/>
      <c r="K395" s="25"/>
      <c r="L395" s="24"/>
      <c r="M395" s="25"/>
      <c r="N395" s="25"/>
      <c r="O395" s="25"/>
      <c r="P395" s="47"/>
      <c r="Q395" s="48"/>
      <c r="R395" s="49"/>
      <c r="S395" s="50">
        <v>0</v>
      </c>
      <c r="T395" s="51">
        <v>0</v>
      </c>
      <c r="U395" s="52">
        <v>0</v>
      </c>
      <c r="V395" s="53">
        <v>0</v>
      </c>
      <c r="W395" s="54">
        <v>0</v>
      </c>
      <c r="X395" s="55">
        <v>0</v>
      </c>
      <c r="Y395" s="56">
        <v>0</v>
      </c>
      <c r="Z395" s="57">
        <v>0</v>
      </c>
    </row>
    <row r="396" spans="1:26" x14ac:dyDescent="0.25">
      <c r="A396" s="21" t="s">
        <v>204</v>
      </c>
      <c r="B396" s="22">
        <v>2030055</v>
      </c>
      <c r="C396" s="23" t="s">
        <v>1014</v>
      </c>
      <c r="D396" s="22" t="s">
        <v>35</v>
      </c>
      <c r="E396" s="41">
        <v>0</v>
      </c>
      <c r="F396" s="42">
        <v>0</v>
      </c>
      <c r="G396" s="43">
        <v>0</v>
      </c>
      <c r="H396" s="24"/>
      <c r="I396" s="25"/>
      <c r="J396" s="25"/>
      <c r="K396" s="25"/>
      <c r="L396" s="24"/>
      <c r="M396" s="25"/>
      <c r="N396" s="25"/>
      <c r="O396" s="25"/>
      <c r="P396" s="47"/>
      <c r="Q396" s="48"/>
      <c r="R396" s="49"/>
      <c r="S396" s="50">
        <v>0</v>
      </c>
      <c r="T396" s="51">
        <v>0</v>
      </c>
      <c r="U396" s="52">
        <v>0</v>
      </c>
      <c r="V396" s="53">
        <v>0</v>
      </c>
      <c r="W396" s="54">
        <v>0</v>
      </c>
      <c r="X396" s="55">
        <v>0</v>
      </c>
      <c r="Y396" s="56">
        <v>0</v>
      </c>
      <c r="Z396" s="57">
        <v>0</v>
      </c>
    </row>
    <row r="397" spans="1:26" x14ac:dyDescent="0.25">
      <c r="A397" s="21" t="s">
        <v>216</v>
      </c>
      <c r="B397" s="22">
        <v>2050050</v>
      </c>
      <c r="C397" s="23" t="s">
        <v>1015</v>
      </c>
      <c r="D397" s="22" t="s">
        <v>35</v>
      </c>
      <c r="E397" s="41">
        <v>0</v>
      </c>
      <c r="F397" s="42">
        <v>0</v>
      </c>
      <c r="G397" s="43">
        <v>0</v>
      </c>
      <c r="H397" s="24"/>
      <c r="I397" s="25"/>
      <c r="J397" s="25"/>
      <c r="K397" s="25"/>
      <c r="L397" s="24"/>
      <c r="M397" s="25"/>
      <c r="N397" s="25"/>
      <c r="O397" s="25"/>
      <c r="P397" s="47"/>
      <c r="Q397" s="48"/>
      <c r="R397" s="49"/>
      <c r="S397" s="50">
        <v>0</v>
      </c>
      <c r="T397" s="51">
        <v>0</v>
      </c>
      <c r="U397" s="52">
        <v>0</v>
      </c>
      <c r="V397" s="53">
        <v>0</v>
      </c>
      <c r="W397" s="54">
        <v>0</v>
      </c>
      <c r="X397" s="55">
        <v>0</v>
      </c>
      <c r="Y397" s="56">
        <v>0</v>
      </c>
      <c r="Z397" s="57">
        <v>0</v>
      </c>
    </row>
    <row r="398" spans="1:26" x14ac:dyDescent="0.25">
      <c r="A398" s="21" t="s">
        <v>237</v>
      </c>
      <c r="B398" s="22">
        <v>2510200</v>
      </c>
      <c r="C398" s="23" t="s">
        <v>1016</v>
      </c>
      <c r="D398" s="22" t="s">
        <v>35</v>
      </c>
      <c r="E398" s="41">
        <v>0</v>
      </c>
      <c r="F398" s="42">
        <v>0</v>
      </c>
      <c r="G398" s="43">
        <v>0</v>
      </c>
      <c r="H398" s="24"/>
      <c r="I398" s="25"/>
      <c r="J398" s="25"/>
      <c r="K398" s="25"/>
      <c r="L398" s="24"/>
      <c r="M398" s="25"/>
      <c r="N398" s="25"/>
      <c r="O398" s="25"/>
      <c r="P398" s="47"/>
      <c r="Q398" s="48"/>
      <c r="R398" s="49"/>
      <c r="S398" s="50">
        <v>0</v>
      </c>
      <c r="T398" s="51">
        <v>0</v>
      </c>
      <c r="U398" s="52">
        <v>0</v>
      </c>
      <c r="V398" s="53">
        <v>0</v>
      </c>
      <c r="W398" s="54">
        <v>0</v>
      </c>
      <c r="X398" s="55">
        <v>0</v>
      </c>
      <c r="Y398" s="56">
        <v>0</v>
      </c>
      <c r="Z398" s="57">
        <v>0</v>
      </c>
    </row>
    <row r="399" spans="1:26" x14ac:dyDescent="0.25">
      <c r="A399" s="21" t="s">
        <v>364</v>
      </c>
      <c r="B399" s="22">
        <v>3010190</v>
      </c>
      <c r="C399" s="23" t="s">
        <v>400</v>
      </c>
      <c r="D399" s="22" t="s">
        <v>35</v>
      </c>
      <c r="E399" s="41">
        <v>0</v>
      </c>
      <c r="F399" s="42">
        <v>0</v>
      </c>
      <c r="G399" s="43">
        <v>0</v>
      </c>
      <c r="H399" s="24"/>
      <c r="I399" s="25"/>
      <c r="J399" s="25"/>
      <c r="K399" s="25"/>
      <c r="L399" s="24"/>
      <c r="M399" s="25"/>
      <c r="N399" s="25"/>
      <c r="O399" s="25"/>
      <c r="P399" s="47"/>
      <c r="Q399" s="48"/>
      <c r="R399" s="49"/>
      <c r="S399" s="50">
        <v>0</v>
      </c>
      <c r="T399" s="51">
        <v>0</v>
      </c>
      <c r="U399" s="52">
        <v>0</v>
      </c>
      <c r="V399" s="53">
        <v>0</v>
      </c>
      <c r="W399" s="54">
        <v>0</v>
      </c>
      <c r="X399" s="55">
        <v>0</v>
      </c>
      <c r="Y399" s="56">
        <v>0</v>
      </c>
      <c r="Z399" s="57">
        <v>0</v>
      </c>
    </row>
    <row r="400" spans="1:26" ht="25.5" x14ac:dyDescent="0.25">
      <c r="A400" s="21" t="s">
        <v>388</v>
      </c>
      <c r="B400" s="22">
        <v>30201011</v>
      </c>
      <c r="C400" s="23" t="s">
        <v>392</v>
      </c>
      <c r="D400" s="22" t="s">
        <v>474</v>
      </c>
      <c r="E400" s="41">
        <v>0</v>
      </c>
      <c r="F400" s="42">
        <v>0</v>
      </c>
      <c r="G400" s="43">
        <v>0</v>
      </c>
      <c r="H400" s="24"/>
      <c r="I400" s="25"/>
      <c r="J400" s="25"/>
      <c r="K400" s="25"/>
      <c r="L400" s="24"/>
      <c r="M400" s="25"/>
      <c r="N400" s="25"/>
      <c r="O400" s="25"/>
      <c r="P400" s="47"/>
      <c r="Q400" s="48"/>
      <c r="R400" s="49"/>
      <c r="S400" s="50">
        <v>0</v>
      </c>
      <c r="T400" s="51">
        <v>0</v>
      </c>
      <c r="U400" s="52">
        <v>0</v>
      </c>
      <c r="V400" s="53">
        <v>0</v>
      </c>
      <c r="W400" s="54">
        <v>0</v>
      </c>
      <c r="X400" s="55">
        <v>0</v>
      </c>
      <c r="Y400" s="56">
        <v>0</v>
      </c>
      <c r="Z400" s="57">
        <v>0</v>
      </c>
    </row>
    <row r="401" spans="1:26" x14ac:dyDescent="0.25">
      <c r="A401" s="21" t="s">
        <v>431</v>
      </c>
      <c r="B401" s="22">
        <v>3530130</v>
      </c>
      <c r="C401" s="23" t="s">
        <v>1017</v>
      </c>
      <c r="D401" s="22" t="s">
        <v>415</v>
      </c>
      <c r="E401" s="41">
        <v>0</v>
      </c>
      <c r="F401" s="42">
        <v>0</v>
      </c>
      <c r="G401" s="43">
        <v>0</v>
      </c>
      <c r="H401" s="24"/>
      <c r="I401" s="25"/>
      <c r="J401" s="25"/>
      <c r="K401" s="25"/>
      <c r="L401" s="24"/>
      <c r="M401" s="25"/>
      <c r="N401" s="25"/>
      <c r="O401" s="25"/>
      <c r="P401" s="47"/>
      <c r="Q401" s="48"/>
      <c r="R401" s="49"/>
      <c r="S401" s="50">
        <v>0</v>
      </c>
      <c r="T401" s="51">
        <v>0</v>
      </c>
      <c r="U401" s="52">
        <v>0</v>
      </c>
      <c r="V401" s="53">
        <v>0</v>
      </c>
      <c r="W401" s="54">
        <v>0</v>
      </c>
      <c r="X401" s="55">
        <v>0</v>
      </c>
      <c r="Y401" s="56">
        <v>0</v>
      </c>
      <c r="Z401" s="57">
        <v>0</v>
      </c>
    </row>
    <row r="402" spans="1:26" x14ac:dyDescent="0.25">
      <c r="A402" s="21" t="s">
        <v>489</v>
      </c>
      <c r="B402" s="22">
        <v>35702282</v>
      </c>
      <c r="C402" s="23" t="s">
        <v>509</v>
      </c>
      <c r="D402" s="22" t="s">
        <v>1018</v>
      </c>
      <c r="E402" s="41">
        <v>0</v>
      </c>
      <c r="F402" s="42">
        <v>0</v>
      </c>
      <c r="G402" s="43">
        <v>0</v>
      </c>
      <c r="H402" s="24"/>
      <c r="I402" s="25"/>
      <c r="J402" s="25"/>
      <c r="K402" s="25"/>
      <c r="L402" s="24"/>
      <c r="M402" s="25"/>
      <c r="N402" s="25"/>
      <c r="O402" s="25"/>
      <c r="P402" s="47"/>
      <c r="Q402" s="48"/>
      <c r="R402" s="49"/>
      <c r="S402" s="50">
        <v>0</v>
      </c>
      <c r="T402" s="51">
        <v>0</v>
      </c>
      <c r="U402" s="52">
        <v>0</v>
      </c>
      <c r="V402" s="53">
        <v>0</v>
      </c>
      <c r="W402" s="54">
        <v>0</v>
      </c>
      <c r="X402" s="55">
        <v>0</v>
      </c>
      <c r="Y402" s="56">
        <v>0</v>
      </c>
      <c r="Z402" s="57">
        <v>0</v>
      </c>
    </row>
    <row r="403" spans="1:26" x14ac:dyDescent="0.25">
      <c r="A403" s="21" t="s">
        <v>530</v>
      </c>
      <c r="B403" s="22">
        <v>4020045</v>
      </c>
      <c r="C403" s="23" t="s">
        <v>1019</v>
      </c>
      <c r="D403" s="22" t="s">
        <v>35</v>
      </c>
      <c r="E403" s="41">
        <v>0</v>
      </c>
      <c r="F403" s="42">
        <v>0</v>
      </c>
      <c r="G403" s="43">
        <v>0</v>
      </c>
      <c r="H403" s="24"/>
      <c r="I403" s="25"/>
      <c r="J403" s="25"/>
      <c r="K403" s="25"/>
      <c r="L403" s="24"/>
      <c r="M403" s="25"/>
      <c r="N403" s="25"/>
      <c r="O403" s="25"/>
      <c r="P403" s="47"/>
      <c r="Q403" s="48"/>
      <c r="R403" s="49"/>
      <c r="S403" s="50">
        <v>0</v>
      </c>
      <c r="T403" s="51">
        <v>0</v>
      </c>
      <c r="U403" s="52">
        <v>0</v>
      </c>
      <c r="V403" s="53">
        <v>0</v>
      </c>
      <c r="W403" s="54">
        <v>0</v>
      </c>
      <c r="X403" s="55">
        <v>0</v>
      </c>
      <c r="Y403" s="56">
        <v>0</v>
      </c>
      <c r="Z403" s="57">
        <v>0</v>
      </c>
    </row>
    <row r="404" spans="1:26" x14ac:dyDescent="0.25">
      <c r="A404" s="21" t="s">
        <v>530</v>
      </c>
      <c r="B404" s="22">
        <v>4020060</v>
      </c>
      <c r="C404" s="23" t="s">
        <v>1020</v>
      </c>
      <c r="D404" s="22" t="s">
        <v>531</v>
      </c>
      <c r="E404" s="41">
        <v>0</v>
      </c>
      <c r="F404" s="42">
        <v>0</v>
      </c>
      <c r="G404" s="43">
        <v>0</v>
      </c>
      <c r="H404" s="24"/>
      <c r="I404" s="25"/>
      <c r="J404" s="25"/>
      <c r="K404" s="25"/>
      <c r="L404" s="24"/>
      <c r="M404" s="25"/>
      <c r="N404" s="25"/>
      <c r="O404" s="25"/>
      <c r="P404" s="47"/>
      <c r="Q404" s="48"/>
      <c r="R404" s="49"/>
      <c r="S404" s="50">
        <v>0</v>
      </c>
      <c r="T404" s="51">
        <v>0</v>
      </c>
      <c r="U404" s="52">
        <v>0</v>
      </c>
      <c r="V404" s="53">
        <v>0</v>
      </c>
      <c r="W404" s="54">
        <v>0</v>
      </c>
      <c r="X404" s="55">
        <v>0</v>
      </c>
      <c r="Y404" s="56">
        <v>0</v>
      </c>
      <c r="Z404" s="57">
        <v>0</v>
      </c>
    </row>
    <row r="405" spans="1:26" ht="25.5" x14ac:dyDescent="0.25">
      <c r="A405" s="21" t="s">
        <v>541</v>
      </c>
      <c r="B405" s="22">
        <v>4040040</v>
      </c>
      <c r="C405" s="23" t="s">
        <v>1021</v>
      </c>
      <c r="D405" s="22" t="s">
        <v>542</v>
      </c>
      <c r="E405" s="41">
        <v>0</v>
      </c>
      <c r="F405" s="42">
        <v>0</v>
      </c>
      <c r="G405" s="43">
        <v>0</v>
      </c>
      <c r="H405" s="24"/>
      <c r="I405" s="25"/>
      <c r="J405" s="25"/>
      <c r="K405" s="25"/>
      <c r="L405" s="24"/>
      <c r="M405" s="25"/>
      <c r="N405" s="25"/>
      <c r="O405" s="25"/>
      <c r="P405" s="47"/>
      <c r="Q405" s="48"/>
      <c r="R405" s="49"/>
      <c r="S405" s="50">
        <v>0</v>
      </c>
      <c r="T405" s="51">
        <v>0</v>
      </c>
      <c r="U405" s="52">
        <v>0</v>
      </c>
      <c r="V405" s="53">
        <v>0</v>
      </c>
      <c r="W405" s="54">
        <v>0</v>
      </c>
      <c r="X405" s="55">
        <v>0</v>
      </c>
      <c r="Y405" s="56">
        <v>0</v>
      </c>
      <c r="Z405" s="57">
        <v>0</v>
      </c>
    </row>
    <row r="406" spans="1:26" x14ac:dyDescent="0.25">
      <c r="A406" s="21" t="s">
        <v>541</v>
      </c>
      <c r="B406" s="22">
        <v>4040050</v>
      </c>
      <c r="C406" s="23" t="s">
        <v>544</v>
      </c>
      <c r="D406" s="22" t="s">
        <v>531</v>
      </c>
      <c r="E406" s="41">
        <v>0</v>
      </c>
      <c r="F406" s="42">
        <v>0</v>
      </c>
      <c r="G406" s="43">
        <v>0</v>
      </c>
      <c r="H406" s="24"/>
      <c r="I406" s="25"/>
      <c r="J406" s="25"/>
      <c r="K406" s="25"/>
      <c r="L406" s="24"/>
      <c r="M406" s="25"/>
      <c r="N406" s="25"/>
      <c r="O406" s="25"/>
      <c r="P406" s="47"/>
      <c r="Q406" s="48"/>
      <c r="R406" s="49"/>
      <c r="S406" s="50">
        <v>0</v>
      </c>
      <c r="T406" s="51">
        <v>0</v>
      </c>
      <c r="U406" s="52">
        <v>0</v>
      </c>
      <c r="V406" s="53">
        <v>0</v>
      </c>
      <c r="W406" s="54">
        <v>0</v>
      </c>
      <c r="X406" s="55">
        <v>0</v>
      </c>
      <c r="Y406" s="56">
        <v>0</v>
      </c>
      <c r="Z406" s="57">
        <v>0</v>
      </c>
    </row>
    <row r="407" spans="1:26" x14ac:dyDescent="0.25">
      <c r="A407" s="21" t="s">
        <v>583</v>
      </c>
      <c r="B407" s="22">
        <v>40901555</v>
      </c>
      <c r="C407" s="23" t="s">
        <v>1022</v>
      </c>
      <c r="D407" s="22" t="s">
        <v>1023</v>
      </c>
      <c r="E407" s="41">
        <v>0</v>
      </c>
      <c r="F407" s="42">
        <v>0</v>
      </c>
      <c r="G407" s="43">
        <v>0</v>
      </c>
      <c r="H407" s="24"/>
      <c r="I407" s="25"/>
      <c r="J407" s="25"/>
      <c r="K407" s="25"/>
      <c r="L407" s="24"/>
      <c r="M407" s="25"/>
      <c r="N407" s="25"/>
      <c r="O407" s="25"/>
      <c r="P407" s="47"/>
      <c r="Q407" s="48"/>
      <c r="R407" s="49"/>
      <c r="S407" s="50">
        <v>0</v>
      </c>
      <c r="T407" s="51">
        <v>0</v>
      </c>
      <c r="U407" s="52">
        <v>0</v>
      </c>
      <c r="V407" s="53">
        <v>0</v>
      </c>
      <c r="W407" s="54">
        <v>0</v>
      </c>
      <c r="X407" s="55">
        <v>0</v>
      </c>
      <c r="Y407" s="56">
        <v>0</v>
      </c>
      <c r="Z407" s="57">
        <v>0</v>
      </c>
    </row>
    <row r="408" spans="1:26" ht="25.5" x14ac:dyDescent="0.25">
      <c r="A408" s="21" t="s">
        <v>583</v>
      </c>
      <c r="B408" s="22">
        <v>4091107</v>
      </c>
      <c r="C408" s="23" t="s">
        <v>1024</v>
      </c>
      <c r="D408" s="22" t="s">
        <v>652</v>
      </c>
      <c r="E408" s="41">
        <v>0</v>
      </c>
      <c r="F408" s="42">
        <v>0</v>
      </c>
      <c r="G408" s="43">
        <v>0</v>
      </c>
      <c r="H408" s="24"/>
      <c r="I408" s="25"/>
      <c r="J408" s="25"/>
      <c r="K408" s="25"/>
      <c r="L408" s="24"/>
      <c r="M408" s="25"/>
      <c r="N408" s="25"/>
      <c r="O408" s="25"/>
      <c r="P408" s="47"/>
      <c r="Q408" s="48"/>
      <c r="R408" s="49"/>
      <c r="S408" s="50">
        <v>0</v>
      </c>
      <c r="T408" s="51">
        <v>0</v>
      </c>
      <c r="U408" s="52">
        <v>0</v>
      </c>
      <c r="V408" s="53">
        <v>0</v>
      </c>
      <c r="W408" s="54">
        <v>0</v>
      </c>
      <c r="X408" s="55">
        <v>0</v>
      </c>
      <c r="Y408" s="56">
        <v>0</v>
      </c>
      <c r="Z408" s="57">
        <v>0</v>
      </c>
    </row>
    <row r="409" spans="1:26" ht="25.5" x14ac:dyDescent="0.25">
      <c r="A409" s="21" t="s">
        <v>738</v>
      </c>
      <c r="B409" s="22">
        <v>5520320</v>
      </c>
      <c r="C409" s="23" t="s">
        <v>737</v>
      </c>
      <c r="D409" s="22" t="s">
        <v>314</v>
      </c>
      <c r="E409" s="41">
        <v>0</v>
      </c>
      <c r="F409" s="42">
        <v>0</v>
      </c>
      <c r="G409" s="43">
        <v>0</v>
      </c>
      <c r="H409" s="24"/>
      <c r="I409" s="25"/>
      <c r="J409" s="25"/>
      <c r="K409" s="25"/>
      <c r="L409" s="24"/>
      <c r="M409" s="25"/>
      <c r="N409" s="25"/>
      <c r="O409" s="25"/>
      <c r="P409" s="47"/>
      <c r="Q409" s="48"/>
      <c r="R409" s="49"/>
      <c r="S409" s="50">
        <v>0</v>
      </c>
      <c r="T409" s="51">
        <v>0</v>
      </c>
      <c r="U409" s="52">
        <v>0</v>
      </c>
      <c r="V409" s="53">
        <v>0</v>
      </c>
      <c r="W409" s="54">
        <v>0</v>
      </c>
      <c r="X409" s="55">
        <v>0</v>
      </c>
      <c r="Y409" s="56">
        <v>0</v>
      </c>
      <c r="Z409" s="57">
        <v>0</v>
      </c>
    </row>
    <row r="410" spans="1:26" x14ac:dyDescent="0.25">
      <c r="A410" s="21" t="s">
        <v>741</v>
      </c>
      <c r="B410" s="22">
        <v>6010060</v>
      </c>
      <c r="C410" s="23" t="s">
        <v>753</v>
      </c>
      <c r="D410" s="22" t="s">
        <v>35</v>
      </c>
      <c r="E410" s="41">
        <v>0</v>
      </c>
      <c r="F410" s="42">
        <v>0</v>
      </c>
      <c r="G410" s="43">
        <v>0</v>
      </c>
      <c r="H410" s="24"/>
      <c r="I410" s="25"/>
      <c r="J410" s="25"/>
      <c r="K410" s="25"/>
      <c r="L410" s="24"/>
      <c r="M410" s="25"/>
      <c r="N410" s="25"/>
      <c r="O410" s="25"/>
      <c r="P410" s="47"/>
      <c r="Q410" s="48"/>
      <c r="R410" s="49"/>
      <c r="S410" s="50">
        <v>0</v>
      </c>
      <c r="T410" s="51">
        <v>0</v>
      </c>
      <c r="U410" s="52">
        <v>0</v>
      </c>
      <c r="V410" s="53">
        <v>0</v>
      </c>
      <c r="W410" s="54">
        <v>0</v>
      </c>
      <c r="X410" s="55">
        <v>0</v>
      </c>
      <c r="Y410" s="56">
        <v>0</v>
      </c>
      <c r="Z410" s="57">
        <v>0</v>
      </c>
    </row>
    <row r="411" spans="1:26" x14ac:dyDescent="0.25">
      <c r="A411" s="21" t="s">
        <v>741</v>
      </c>
      <c r="B411" s="22">
        <v>60101210</v>
      </c>
      <c r="C411" s="23" t="s">
        <v>1025</v>
      </c>
      <c r="D411" s="22" t="s">
        <v>921</v>
      </c>
      <c r="E411" s="41">
        <v>0</v>
      </c>
      <c r="F411" s="42">
        <v>0</v>
      </c>
      <c r="G411" s="43">
        <v>0</v>
      </c>
      <c r="H411" s="24"/>
      <c r="I411" s="25"/>
      <c r="J411" s="25"/>
      <c r="K411" s="25"/>
      <c r="L411" s="24"/>
      <c r="M411" s="25"/>
      <c r="N411" s="25"/>
      <c r="O411" s="25"/>
      <c r="P411" s="47"/>
      <c r="Q411" s="48"/>
      <c r="R411" s="49"/>
      <c r="S411" s="50">
        <v>0</v>
      </c>
      <c r="T411" s="51">
        <v>0</v>
      </c>
      <c r="U411" s="52">
        <v>0</v>
      </c>
      <c r="V411" s="53">
        <v>0</v>
      </c>
      <c r="W411" s="54">
        <v>0</v>
      </c>
      <c r="X411" s="55">
        <v>0</v>
      </c>
      <c r="Y411" s="56">
        <v>0</v>
      </c>
      <c r="Z411" s="57">
        <v>0</v>
      </c>
    </row>
    <row r="412" spans="1:26" x14ac:dyDescent="0.25">
      <c r="A412" s="21" t="s">
        <v>802</v>
      </c>
      <c r="B412" s="22">
        <v>6111931</v>
      </c>
      <c r="C412" s="23" t="s">
        <v>1026</v>
      </c>
      <c r="D412" s="22" t="s">
        <v>1027</v>
      </c>
      <c r="E412" s="41">
        <v>0</v>
      </c>
      <c r="F412" s="42">
        <v>0</v>
      </c>
      <c r="G412" s="43">
        <v>0</v>
      </c>
      <c r="H412" s="24"/>
      <c r="I412" s="25"/>
      <c r="J412" s="25"/>
      <c r="K412" s="25"/>
      <c r="L412" s="24"/>
      <c r="M412" s="25"/>
      <c r="N412" s="25"/>
      <c r="O412" s="25"/>
      <c r="P412" s="47"/>
      <c r="Q412" s="48"/>
      <c r="R412" s="49"/>
      <c r="S412" s="50">
        <v>0</v>
      </c>
      <c r="T412" s="51">
        <v>0</v>
      </c>
      <c r="U412" s="52">
        <v>0</v>
      </c>
      <c r="V412" s="53">
        <v>0</v>
      </c>
      <c r="W412" s="54">
        <v>0</v>
      </c>
      <c r="X412" s="55">
        <v>0</v>
      </c>
      <c r="Y412" s="56">
        <v>0</v>
      </c>
      <c r="Z412" s="57">
        <v>0</v>
      </c>
    </row>
    <row r="413" spans="1:26" x14ac:dyDescent="0.25">
      <c r="A413" s="21" t="s">
        <v>806</v>
      </c>
      <c r="B413" s="22">
        <v>6510120</v>
      </c>
      <c r="C413" s="23" t="s">
        <v>1028</v>
      </c>
      <c r="D413" s="22" t="s">
        <v>531</v>
      </c>
      <c r="E413" s="41">
        <v>0</v>
      </c>
      <c r="F413" s="42">
        <v>0</v>
      </c>
      <c r="G413" s="43">
        <v>0</v>
      </c>
      <c r="H413" s="24"/>
      <c r="I413" s="25"/>
      <c r="J413" s="25"/>
      <c r="K413" s="25"/>
      <c r="L413" s="24"/>
      <c r="M413" s="25"/>
      <c r="N413" s="25"/>
      <c r="O413" s="25"/>
      <c r="P413" s="47"/>
      <c r="Q413" s="48"/>
      <c r="R413" s="49"/>
      <c r="S413" s="50">
        <v>0</v>
      </c>
      <c r="T413" s="51">
        <v>0</v>
      </c>
      <c r="U413" s="52">
        <v>0</v>
      </c>
      <c r="V413" s="53">
        <v>0</v>
      </c>
      <c r="W413" s="54">
        <v>0</v>
      </c>
      <c r="X413" s="55">
        <v>0</v>
      </c>
      <c r="Y413" s="56">
        <v>0</v>
      </c>
      <c r="Z413" s="57">
        <v>0</v>
      </c>
    </row>
    <row r="414" spans="1:26" x14ac:dyDescent="0.25">
      <c r="A414" s="21" t="s">
        <v>870</v>
      </c>
      <c r="B414" s="22">
        <v>7540030</v>
      </c>
      <c r="C414" s="23" t="s">
        <v>1029</v>
      </c>
      <c r="D414" s="22" t="s">
        <v>1030</v>
      </c>
      <c r="E414" s="41">
        <v>0</v>
      </c>
      <c r="F414" s="42">
        <v>0</v>
      </c>
      <c r="G414" s="43">
        <v>0</v>
      </c>
      <c r="H414" s="24"/>
      <c r="I414" s="25"/>
      <c r="J414" s="25"/>
      <c r="K414" s="25"/>
      <c r="L414" s="24"/>
      <c r="M414" s="25"/>
      <c r="N414" s="25"/>
      <c r="O414" s="25"/>
      <c r="P414" s="47"/>
      <c r="Q414" s="48"/>
      <c r="R414" s="49"/>
      <c r="S414" s="50">
        <v>0</v>
      </c>
      <c r="T414" s="51">
        <v>0</v>
      </c>
      <c r="U414" s="52">
        <v>0</v>
      </c>
      <c r="V414" s="53">
        <v>0</v>
      </c>
      <c r="W414" s="54">
        <v>0</v>
      </c>
      <c r="X414" s="55">
        <v>0</v>
      </c>
      <c r="Y414" s="56">
        <v>0</v>
      </c>
      <c r="Z414" s="57">
        <v>0</v>
      </c>
    </row>
    <row r="415" spans="1:26" x14ac:dyDescent="0.25">
      <c r="A415" s="21" t="s">
        <v>489</v>
      </c>
      <c r="B415" s="22">
        <v>9811170</v>
      </c>
      <c r="C415" s="23" t="s">
        <v>504</v>
      </c>
      <c r="D415" s="22" t="s">
        <v>194</v>
      </c>
      <c r="E415" s="41">
        <v>0</v>
      </c>
      <c r="F415" s="42">
        <v>0</v>
      </c>
      <c r="G415" s="43">
        <v>0</v>
      </c>
      <c r="H415" s="24"/>
      <c r="I415" s="25"/>
      <c r="J415" s="25"/>
      <c r="K415" s="25"/>
      <c r="L415" s="24"/>
      <c r="M415" s="25"/>
      <c r="N415" s="25"/>
      <c r="O415" s="25"/>
      <c r="P415" s="47"/>
      <c r="Q415" s="48"/>
      <c r="R415" s="49"/>
      <c r="S415" s="50">
        <v>0</v>
      </c>
      <c r="T415" s="51">
        <v>0</v>
      </c>
      <c r="U415" s="52">
        <v>0</v>
      </c>
      <c r="V415" s="53">
        <v>0</v>
      </c>
      <c r="W415" s="54">
        <v>0</v>
      </c>
      <c r="X415" s="55">
        <v>0</v>
      </c>
      <c r="Y415" s="56">
        <v>0</v>
      </c>
      <c r="Z415" s="57">
        <v>0</v>
      </c>
    </row>
    <row r="416" spans="1:26" x14ac:dyDescent="0.25">
      <c r="A416" s="21"/>
      <c r="B416" s="22" t="s">
        <v>1031</v>
      </c>
      <c r="C416" s="23"/>
      <c r="D416" s="22"/>
      <c r="E416" s="41">
        <v>0</v>
      </c>
      <c r="F416" s="42">
        <v>0</v>
      </c>
      <c r="G416" s="43">
        <v>0</v>
      </c>
      <c r="H416" s="24"/>
      <c r="I416" s="25"/>
      <c r="J416" s="25"/>
      <c r="K416" s="25"/>
      <c r="L416" s="24"/>
      <c r="M416" s="25"/>
      <c r="N416" s="25"/>
      <c r="O416" s="25"/>
      <c r="P416" s="47"/>
      <c r="Q416" s="48"/>
      <c r="R416" s="49"/>
      <c r="S416" s="50">
        <v>0</v>
      </c>
      <c r="T416" s="51">
        <v>0</v>
      </c>
      <c r="U416" s="52">
        <v>0</v>
      </c>
      <c r="V416" s="53">
        <v>0</v>
      </c>
      <c r="W416" s="54">
        <v>0</v>
      </c>
      <c r="X416" s="55">
        <v>0</v>
      </c>
      <c r="Y416" s="56">
        <v>0</v>
      </c>
      <c r="Z416" s="57">
        <v>0</v>
      </c>
    </row>
    <row r="417" spans="1:26" x14ac:dyDescent="0.25">
      <c r="A417" s="21"/>
      <c r="B417" s="22"/>
      <c r="C417" s="23"/>
      <c r="D417" s="22"/>
      <c r="E417" s="41"/>
      <c r="F417" s="42"/>
      <c r="G417" s="43"/>
      <c r="H417" s="24"/>
      <c r="I417" s="25"/>
      <c r="J417" s="25"/>
      <c r="K417" s="25"/>
      <c r="L417" s="24"/>
      <c r="M417" s="25"/>
      <c r="N417" s="25"/>
      <c r="O417" s="25"/>
      <c r="P417" s="47"/>
      <c r="Q417" s="48"/>
      <c r="R417" s="49"/>
      <c r="S417" s="50"/>
      <c r="T417" s="51"/>
      <c r="U417" s="52"/>
      <c r="V417" s="53"/>
      <c r="W417" s="54"/>
      <c r="X417" s="55"/>
      <c r="Y417" s="56"/>
      <c r="Z417" s="57"/>
    </row>
    <row r="418" spans="1:26" x14ac:dyDescent="0.25">
      <c r="A418" s="21"/>
      <c r="B418" s="22"/>
      <c r="C418" s="23"/>
      <c r="D418" s="22"/>
      <c r="E418" s="41"/>
      <c r="F418" s="42"/>
      <c r="G418" s="43"/>
      <c r="H418" s="24"/>
      <c r="I418" s="25"/>
      <c r="J418" s="25"/>
      <c r="K418" s="25"/>
      <c r="L418" s="24"/>
      <c r="M418" s="25"/>
      <c r="N418" s="25"/>
      <c r="O418" s="25"/>
      <c r="P418" s="47"/>
      <c r="Q418" s="48"/>
      <c r="R418" s="49"/>
      <c r="S418" s="50"/>
      <c r="T418" s="51"/>
      <c r="U418" s="52"/>
      <c r="V418" s="53"/>
      <c r="W418" s="54"/>
      <c r="X418" s="55"/>
      <c r="Y418" s="56"/>
      <c r="Z418" s="57"/>
    </row>
    <row r="419" spans="1:26" x14ac:dyDescent="0.25">
      <c r="A419" s="21"/>
      <c r="B419" s="22"/>
      <c r="C419" s="23"/>
      <c r="D419" s="22"/>
      <c r="E419" s="41"/>
      <c r="F419" s="42"/>
      <c r="G419" s="43"/>
      <c r="H419" s="24"/>
      <c r="I419" s="25"/>
      <c r="J419" s="25"/>
      <c r="K419" s="25"/>
      <c r="L419" s="24"/>
      <c r="M419" s="25"/>
      <c r="N419" s="25"/>
      <c r="O419" s="25"/>
      <c r="P419" s="47"/>
      <c r="Q419" s="48"/>
      <c r="R419" s="49"/>
      <c r="S419" s="50"/>
      <c r="T419" s="51"/>
      <c r="U419" s="52"/>
      <c r="V419" s="53"/>
      <c r="W419" s="54"/>
      <c r="X419" s="55"/>
      <c r="Y419" s="56"/>
      <c r="Z419" s="57"/>
    </row>
    <row r="420" spans="1:26" x14ac:dyDescent="0.25">
      <c r="A420" s="21"/>
      <c r="B420" s="22"/>
      <c r="C420" s="23"/>
      <c r="D420" s="22"/>
      <c r="E420" s="41"/>
      <c r="F420" s="42"/>
      <c r="G420" s="43"/>
      <c r="H420" s="24"/>
      <c r="I420" s="25"/>
      <c r="J420" s="25"/>
      <c r="K420" s="25"/>
      <c r="L420" s="24"/>
      <c r="M420" s="25"/>
      <c r="N420" s="25"/>
      <c r="O420" s="25"/>
      <c r="P420" s="47"/>
      <c r="Q420" s="48"/>
      <c r="R420" s="49"/>
      <c r="S420" s="50"/>
      <c r="T420" s="51"/>
      <c r="U420" s="52"/>
      <c r="V420" s="53"/>
      <c r="W420" s="54"/>
      <c r="X420" s="55"/>
      <c r="Y420" s="56"/>
      <c r="Z420" s="57"/>
    </row>
    <row r="421" spans="1:26" x14ac:dyDescent="0.25">
      <c r="A421" s="21"/>
      <c r="B421" s="22"/>
      <c r="C421" s="23"/>
      <c r="D421" s="22"/>
      <c r="E421" s="41"/>
      <c r="F421" s="42"/>
      <c r="G421" s="43"/>
      <c r="H421" s="24"/>
      <c r="I421" s="25"/>
      <c r="J421" s="25"/>
      <c r="K421" s="25"/>
      <c r="L421" s="24"/>
      <c r="M421" s="25"/>
      <c r="N421" s="25"/>
      <c r="O421" s="25"/>
      <c r="P421" s="47"/>
      <c r="Q421" s="48"/>
      <c r="R421" s="49"/>
      <c r="S421" s="50"/>
      <c r="T421" s="51"/>
      <c r="U421" s="52"/>
      <c r="V421" s="53"/>
      <c r="W421" s="54"/>
      <c r="X421" s="55"/>
      <c r="Y421" s="56"/>
      <c r="Z421" s="57"/>
    </row>
    <row r="422" spans="1:26" x14ac:dyDescent="0.25">
      <c r="A422" s="21"/>
      <c r="B422" s="22"/>
      <c r="C422" s="23"/>
      <c r="D422" s="22"/>
      <c r="E422" s="41"/>
      <c r="F422" s="42"/>
      <c r="G422" s="43"/>
      <c r="H422" s="24"/>
      <c r="I422" s="25"/>
      <c r="J422" s="25"/>
      <c r="K422" s="25"/>
      <c r="L422" s="24"/>
      <c r="M422" s="25"/>
      <c r="N422" s="25"/>
      <c r="O422" s="25"/>
      <c r="P422" s="47"/>
      <c r="Q422" s="48"/>
      <c r="R422" s="49"/>
      <c r="S422" s="50"/>
      <c r="T422" s="51"/>
      <c r="U422" s="52"/>
      <c r="V422" s="53"/>
      <c r="W422" s="54"/>
      <c r="X422" s="55"/>
      <c r="Y422" s="56"/>
      <c r="Z422" s="57"/>
    </row>
    <row r="423" spans="1:26" x14ac:dyDescent="0.25">
      <c r="A423" s="21"/>
      <c r="B423" s="22"/>
      <c r="C423" s="23"/>
      <c r="D423" s="22"/>
      <c r="E423" s="41"/>
      <c r="F423" s="42"/>
      <c r="G423" s="43"/>
      <c r="H423" s="24"/>
      <c r="I423" s="25"/>
      <c r="J423" s="25"/>
      <c r="K423" s="25"/>
      <c r="L423" s="24"/>
      <c r="M423" s="25"/>
      <c r="N423" s="25"/>
      <c r="O423" s="25"/>
      <c r="P423" s="47"/>
      <c r="Q423" s="48"/>
      <c r="R423" s="49"/>
      <c r="S423" s="50"/>
      <c r="T423" s="51"/>
      <c r="U423" s="52"/>
      <c r="V423" s="53"/>
      <c r="W423" s="54"/>
      <c r="X423" s="55"/>
      <c r="Y423" s="56"/>
      <c r="Z423" s="57"/>
    </row>
    <row r="424" spans="1:26" x14ac:dyDescent="0.25">
      <c r="A424" s="21"/>
      <c r="B424" s="22"/>
      <c r="C424" s="23"/>
      <c r="D424" s="22"/>
      <c r="E424" s="41"/>
      <c r="F424" s="42"/>
      <c r="G424" s="43"/>
      <c r="H424" s="24"/>
      <c r="I424" s="25"/>
      <c r="J424" s="25"/>
      <c r="K424" s="25"/>
      <c r="L424" s="24"/>
      <c r="M424" s="25"/>
      <c r="N424" s="25"/>
      <c r="O424" s="25"/>
      <c r="P424" s="47"/>
      <c r="Q424" s="48"/>
      <c r="R424" s="49"/>
      <c r="S424" s="50"/>
      <c r="T424" s="51"/>
      <c r="U424" s="52"/>
      <c r="V424" s="53"/>
      <c r="W424" s="54"/>
      <c r="X424" s="55"/>
      <c r="Y424" s="56"/>
      <c r="Z424" s="57"/>
    </row>
    <row r="425" spans="1:26" x14ac:dyDescent="0.25">
      <c r="A425" s="21"/>
      <c r="B425" s="22"/>
      <c r="C425" s="23"/>
      <c r="D425" s="22"/>
      <c r="E425" s="41"/>
      <c r="F425" s="42"/>
      <c r="G425" s="43"/>
      <c r="H425" s="24"/>
      <c r="I425" s="25"/>
      <c r="J425" s="25"/>
      <c r="K425" s="25"/>
      <c r="L425" s="24"/>
      <c r="M425" s="25"/>
      <c r="N425" s="25"/>
      <c r="O425" s="25"/>
      <c r="P425" s="47"/>
      <c r="Q425" s="48"/>
      <c r="R425" s="49"/>
      <c r="S425" s="50"/>
      <c r="T425" s="51"/>
      <c r="U425" s="52"/>
      <c r="V425" s="53"/>
      <c r="W425" s="54"/>
      <c r="X425" s="55"/>
      <c r="Y425" s="56"/>
      <c r="Z425" s="57"/>
    </row>
    <row r="426" spans="1:26" x14ac:dyDescent="0.25">
      <c r="A426" s="21"/>
      <c r="B426" s="22"/>
      <c r="C426" s="23"/>
      <c r="D426" s="22"/>
      <c r="E426" s="41"/>
      <c r="F426" s="42"/>
      <c r="G426" s="43"/>
      <c r="H426" s="24"/>
      <c r="I426" s="25"/>
      <c r="J426" s="25"/>
      <c r="K426" s="25"/>
      <c r="L426" s="24"/>
      <c r="M426" s="25"/>
      <c r="N426" s="25"/>
      <c r="O426" s="25"/>
      <c r="P426" s="47"/>
      <c r="Q426" s="48"/>
      <c r="R426" s="49"/>
      <c r="S426" s="50"/>
      <c r="T426" s="51"/>
      <c r="U426" s="52"/>
      <c r="V426" s="53"/>
      <c r="W426" s="54"/>
      <c r="X426" s="55"/>
      <c r="Y426" s="56"/>
      <c r="Z426" s="57"/>
    </row>
    <row r="427" spans="1:26" x14ac:dyDescent="0.25">
      <c r="A427" s="21"/>
      <c r="B427" s="22"/>
      <c r="C427" s="23"/>
      <c r="D427" s="22"/>
      <c r="E427" s="41"/>
      <c r="F427" s="42"/>
      <c r="G427" s="43"/>
      <c r="H427" s="24"/>
      <c r="I427" s="25"/>
      <c r="J427" s="25"/>
      <c r="K427" s="25"/>
      <c r="L427" s="24"/>
      <c r="M427" s="25"/>
      <c r="N427" s="25"/>
      <c r="O427" s="25"/>
      <c r="P427" s="47"/>
      <c r="Q427" s="48"/>
      <c r="R427" s="49"/>
      <c r="S427" s="50"/>
      <c r="T427" s="51"/>
      <c r="U427" s="52"/>
      <c r="V427" s="53"/>
      <c r="W427" s="54"/>
      <c r="X427" s="55"/>
      <c r="Y427" s="56"/>
      <c r="Z427" s="57"/>
    </row>
    <row r="428" spans="1:26" x14ac:dyDescent="0.25">
      <c r="A428" s="21"/>
      <c r="B428" s="22"/>
      <c r="C428" s="23"/>
      <c r="D428" s="22"/>
      <c r="E428" s="41"/>
      <c r="F428" s="42"/>
      <c r="G428" s="43"/>
      <c r="H428" s="24"/>
      <c r="I428" s="25"/>
      <c r="J428" s="25"/>
      <c r="K428" s="25"/>
      <c r="L428" s="24"/>
      <c r="M428" s="25"/>
      <c r="N428" s="25"/>
      <c r="O428" s="25"/>
      <c r="P428" s="47"/>
      <c r="Q428" s="48"/>
      <c r="R428" s="49"/>
      <c r="S428" s="50"/>
      <c r="T428" s="51"/>
      <c r="U428" s="52"/>
      <c r="V428" s="53"/>
      <c r="W428" s="54"/>
      <c r="X428" s="55"/>
      <c r="Y428" s="56"/>
      <c r="Z428" s="57"/>
    </row>
    <row r="429" spans="1:26" x14ac:dyDescent="0.25">
      <c r="A429" s="21"/>
      <c r="B429" s="22"/>
      <c r="C429" s="23"/>
      <c r="D429" s="22"/>
      <c r="E429" s="41"/>
      <c r="F429" s="42"/>
      <c r="G429" s="43"/>
      <c r="H429" s="24"/>
      <c r="I429" s="25"/>
      <c r="J429" s="25"/>
      <c r="K429" s="25"/>
      <c r="L429" s="24"/>
      <c r="M429" s="25"/>
      <c r="N429" s="25"/>
      <c r="O429" s="25"/>
      <c r="P429" s="47"/>
      <c r="Q429" s="48"/>
      <c r="R429" s="49"/>
      <c r="S429" s="50"/>
      <c r="T429" s="51"/>
      <c r="U429" s="52"/>
      <c r="V429" s="53"/>
      <c r="W429" s="54"/>
      <c r="X429" s="55"/>
      <c r="Y429" s="56"/>
      <c r="Z429" s="57"/>
    </row>
    <row r="430" spans="1:26" x14ac:dyDescent="0.25">
      <c r="A430" s="21"/>
      <c r="B430" s="22"/>
      <c r="C430" s="23"/>
      <c r="D430" s="22"/>
      <c r="E430" s="41"/>
      <c r="F430" s="42"/>
      <c r="G430" s="43"/>
      <c r="H430" s="24"/>
      <c r="I430" s="25"/>
      <c r="J430" s="25"/>
      <c r="K430" s="25"/>
      <c r="L430" s="24"/>
      <c r="M430" s="25"/>
      <c r="N430" s="25"/>
      <c r="O430" s="25"/>
      <c r="P430" s="47"/>
      <c r="Q430" s="48"/>
      <c r="R430" s="49"/>
      <c r="S430" s="50"/>
      <c r="T430" s="51"/>
      <c r="U430" s="52"/>
      <c r="V430" s="53"/>
      <c r="W430" s="54"/>
      <c r="X430" s="55"/>
      <c r="Y430" s="56"/>
      <c r="Z430" s="57"/>
    </row>
    <row r="431" spans="1:26" x14ac:dyDescent="0.25">
      <c r="A431" s="21"/>
      <c r="B431" s="22"/>
      <c r="C431" s="23"/>
      <c r="D431" s="22"/>
      <c r="E431" s="41"/>
      <c r="F431" s="42"/>
      <c r="G431" s="43"/>
      <c r="H431" s="24"/>
      <c r="I431" s="25"/>
      <c r="J431" s="25"/>
      <c r="K431" s="25"/>
      <c r="L431" s="24"/>
      <c r="M431" s="25"/>
      <c r="N431" s="25"/>
      <c r="O431" s="25"/>
      <c r="P431" s="47"/>
      <c r="Q431" s="48"/>
      <c r="R431" s="49"/>
      <c r="S431" s="50"/>
      <c r="T431" s="51"/>
      <c r="U431" s="52"/>
      <c r="V431" s="53"/>
      <c r="W431" s="54"/>
      <c r="X431" s="55"/>
      <c r="Y431" s="56"/>
      <c r="Z431" s="57"/>
    </row>
    <row r="432" spans="1:26" x14ac:dyDescent="0.25">
      <c r="A432" s="21"/>
      <c r="B432" s="22"/>
      <c r="C432" s="23"/>
      <c r="D432" s="22"/>
      <c r="E432" s="41"/>
      <c r="F432" s="42"/>
      <c r="G432" s="43"/>
      <c r="H432" s="24"/>
      <c r="I432" s="25"/>
      <c r="J432" s="25"/>
      <c r="K432" s="25"/>
      <c r="L432" s="24"/>
      <c r="M432" s="25"/>
      <c r="N432" s="25"/>
      <c r="O432" s="25"/>
      <c r="P432" s="47"/>
      <c r="Q432" s="48"/>
      <c r="R432" s="49"/>
      <c r="S432" s="50"/>
      <c r="T432" s="51"/>
      <c r="U432" s="52"/>
      <c r="V432" s="53"/>
      <c r="W432" s="54"/>
      <c r="X432" s="55"/>
      <c r="Y432" s="56"/>
      <c r="Z432" s="57"/>
    </row>
    <row r="433" spans="1:26" x14ac:dyDescent="0.25">
      <c r="A433" s="21"/>
      <c r="B433" s="22"/>
      <c r="C433" s="23"/>
      <c r="D433" s="22"/>
      <c r="E433" s="41"/>
      <c r="F433" s="42"/>
      <c r="G433" s="43"/>
      <c r="H433" s="24"/>
      <c r="I433" s="25"/>
      <c r="J433" s="25"/>
      <c r="K433" s="25"/>
      <c r="L433" s="24"/>
      <c r="M433" s="25"/>
      <c r="N433" s="25"/>
      <c r="O433" s="25"/>
      <c r="P433" s="47"/>
      <c r="Q433" s="48"/>
      <c r="R433" s="49"/>
      <c r="S433" s="50"/>
      <c r="T433" s="51"/>
      <c r="U433" s="52"/>
      <c r="V433" s="53"/>
      <c r="W433" s="54"/>
      <c r="X433" s="55"/>
      <c r="Y433" s="56"/>
      <c r="Z433" s="57"/>
    </row>
    <row r="434" spans="1:26" x14ac:dyDescent="0.25">
      <c r="A434" s="21"/>
      <c r="B434" s="22"/>
      <c r="C434" s="23"/>
      <c r="D434" s="22"/>
      <c r="E434" s="41"/>
      <c r="F434" s="42"/>
      <c r="G434" s="43"/>
      <c r="H434" s="24"/>
      <c r="I434" s="25"/>
      <c r="J434" s="25"/>
      <c r="K434" s="25"/>
      <c r="L434" s="24"/>
      <c r="M434" s="25"/>
      <c r="N434" s="25"/>
      <c r="O434" s="25"/>
      <c r="P434" s="47"/>
      <c r="Q434" s="48"/>
      <c r="R434" s="49"/>
      <c r="S434" s="50"/>
      <c r="T434" s="51"/>
      <c r="U434" s="52"/>
      <c r="V434" s="53"/>
      <c r="W434" s="54"/>
      <c r="X434" s="55"/>
      <c r="Y434" s="56"/>
      <c r="Z434" s="57"/>
    </row>
    <row r="435" spans="1:26" x14ac:dyDescent="0.25">
      <c r="A435" s="21"/>
      <c r="B435" s="22"/>
      <c r="C435" s="23"/>
      <c r="D435" s="22"/>
      <c r="E435" s="41"/>
      <c r="F435" s="42"/>
      <c r="G435" s="43"/>
      <c r="H435" s="24"/>
      <c r="I435" s="25"/>
      <c r="J435" s="25"/>
      <c r="K435" s="25"/>
      <c r="L435" s="24"/>
      <c r="M435" s="25"/>
      <c r="N435" s="25"/>
      <c r="O435" s="25"/>
      <c r="P435" s="47"/>
      <c r="Q435" s="48"/>
      <c r="R435" s="49"/>
      <c r="S435" s="50"/>
      <c r="T435" s="51"/>
      <c r="U435" s="52"/>
      <c r="V435" s="53"/>
      <c r="W435" s="54"/>
      <c r="X435" s="55"/>
      <c r="Y435" s="56"/>
      <c r="Z435" s="57"/>
    </row>
    <row r="436" spans="1:26" x14ac:dyDescent="0.25">
      <c r="A436" s="21"/>
      <c r="B436" s="22"/>
      <c r="C436" s="23"/>
      <c r="D436" s="22"/>
      <c r="E436" s="41"/>
      <c r="F436" s="42"/>
      <c r="G436" s="43"/>
      <c r="H436" s="24"/>
      <c r="I436" s="25"/>
      <c r="J436" s="25"/>
      <c r="K436" s="25"/>
      <c r="L436" s="24"/>
      <c r="M436" s="25"/>
      <c r="N436" s="25"/>
      <c r="O436" s="25"/>
      <c r="P436" s="47"/>
      <c r="Q436" s="48"/>
      <c r="R436" s="49"/>
      <c r="S436" s="50"/>
      <c r="T436" s="51"/>
      <c r="U436" s="52"/>
      <c r="V436" s="53"/>
      <c r="W436" s="54"/>
      <c r="X436" s="55"/>
      <c r="Y436" s="56"/>
      <c r="Z436" s="57"/>
    </row>
    <row r="437" spans="1:26" x14ac:dyDescent="0.25">
      <c r="A437" s="21"/>
      <c r="B437" s="22"/>
      <c r="C437" s="23"/>
      <c r="D437" s="22"/>
      <c r="E437" s="41"/>
      <c r="F437" s="42"/>
      <c r="G437" s="43"/>
      <c r="H437" s="24"/>
      <c r="I437" s="25"/>
      <c r="J437" s="25"/>
      <c r="K437" s="25"/>
      <c r="L437" s="24"/>
      <c r="M437" s="25"/>
      <c r="N437" s="25"/>
      <c r="O437" s="25"/>
      <c r="P437" s="47"/>
      <c r="Q437" s="48"/>
      <c r="R437" s="49"/>
      <c r="S437" s="50"/>
      <c r="T437" s="51"/>
      <c r="U437" s="52"/>
      <c r="V437" s="53"/>
      <c r="W437" s="54"/>
      <c r="X437" s="55"/>
      <c r="Y437" s="56"/>
      <c r="Z437" s="57"/>
    </row>
    <row r="438" spans="1:26" x14ac:dyDescent="0.25">
      <c r="A438" s="21"/>
      <c r="B438" s="22"/>
      <c r="C438" s="23"/>
      <c r="D438" s="22"/>
      <c r="E438" s="41"/>
      <c r="F438" s="42"/>
      <c r="G438" s="43"/>
      <c r="H438" s="24"/>
      <c r="I438" s="25"/>
      <c r="J438" s="25"/>
      <c r="K438" s="25"/>
      <c r="L438" s="24"/>
      <c r="M438" s="25"/>
      <c r="N438" s="25"/>
      <c r="O438" s="25"/>
      <c r="P438" s="47"/>
      <c r="Q438" s="48"/>
      <c r="R438" s="49"/>
      <c r="S438" s="50"/>
      <c r="T438" s="51"/>
      <c r="U438" s="52"/>
      <c r="V438" s="53"/>
      <c r="W438" s="54"/>
      <c r="X438" s="55"/>
      <c r="Y438" s="56"/>
      <c r="Z438" s="57"/>
    </row>
    <row r="439" spans="1:26" x14ac:dyDescent="0.25">
      <c r="A439" s="21"/>
      <c r="B439" s="22"/>
      <c r="C439" s="23"/>
      <c r="D439" s="22"/>
      <c r="E439" s="41"/>
      <c r="F439" s="42"/>
      <c r="G439" s="43"/>
      <c r="H439" s="24"/>
      <c r="I439" s="25"/>
      <c r="J439" s="25"/>
      <c r="K439" s="25"/>
      <c r="L439" s="24"/>
      <c r="M439" s="25"/>
      <c r="N439" s="25"/>
      <c r="O439" s="25"/>
      <c r="P439" s="47"/>
      <c r="Q439" s="48"/>
      <c r="R439" s="49"/>
      <c r="S439" s="50"/>
      <c r="T439" s="51"/>
      <c r="U439" s="52"/>
      <c r="V439" s="53"/>
      <c r="W439" s="54"/>
      <c r="X439" s="55"/>
      <c r="Y439" s="56"/>
      <c r="Z439" s="57"/>
    </row>
    <row r="440" spans="1:26" x14ac:dyDescent="0.25">
      <c r="A440" s="21"/>
      <c r="B440" s="22"/>
      <c r="C440" s="23"/>
      <c r="D440" s="22"/>
      <c r="E440" s="41"/>
      <c r="F440" s="42"/>
      <c r="G440" s="43"/>
      <c r="H440" s="24"/>
      <c r="I440" s="25"/>
      <c r="J440" s="25"/>
      <c r="K440" s="25"/>
      <c r="L440" s="24"/>
      <c r="M440" s="25"/>
      <c r="N440" s="25"/>
      <c r="O440" s="25"/>
      <c r="P440" s="47"/>
      <c r="Q440" s="48"/>
      <c r="R440" s="49"/>
      <c r="S440" s="50"/>
      <c r="T440" s="51"/>
      <c r="U440" s="52"/>
      <c r="V440" s="53"/>
      <c r="W440" s="54"/>
      <c r="X440" s="55"/>
      <c r="Y440" s="56"/>
      <c r="Z440" s="57"/>
    </row>
    <row r="441" spans="1:26" x14ac:dyDescent="0.25">
      <c r="A441" s="21"/>
      <c r="B441" s="22"/>
      <c r="C441" s="23"/>
      <c r="D441" s="22"/>
      <c r="E441" s="41"/>
      <c r="F441" s="42"/>
      <c r="G441" s="43"/>
      <c r="H441" s="24"/>
      <c r="I441" s="25"/>
      <c r="J441" s="25"/>
      <c r="K441" s="25"/>
      <c r="L441" s="24"/>
      <c r="M441" s="25"/>
      <c r="N441" s="25"/>
      <c r="O441" s="25"/>
      <c r="P441" s="47"/>
      <c r="Q441" s="48"/>
      <c r="R441" s="49"/>
      <c r="S441" s="50"/>
      <c r="T441" s="51"/>
      <c r="U441" s="52"/>
      <c r="V441" s="53"/>
      <c r="W441" s="54"/>
      <c r="X441" s="55"/>
      <c r="Y441" s="56"/>
      <c r="Z441" s="57"/>
    </row>
    <row r="442" spans="1:26" x14ac:dyDescent="0.25">
      <c r="A442" s="21"/>
      <c r="B442" s="22"/>
      <c r="C442" s="23"/>
      <c r="D442" s="22"/>
      <c r="E442" s="41"/>
      <c r="F442" s="42"/>
      <c r="G442" s="43"/>
      <c r="H442" s="24"/>
      <c r="I442" s="25"/>
      <c r="J442" s="25"/>
      <c r="K442" s="25"/>
      <c r="L442" s="24"/>
      <c r="M442" s="25"/>
      <c r="N442" s="25"/>
      <c r="O442" s="25"/>
      <c r="P442" s="47"/>
      <c r="Q442" s="48"/>
      <c r="R442" s="49"/>
      <c r="S442" s="50"/>
      <c r="T442" s="51"/>
      <c r="U442" s="52"/>
      <c r="V442" s="53"/>
      <c r="W442" s="54"/>
      <c r="X442" s="55"/>
      <c r="Y442" s="56"/>
      <c r="Z442" s="57"/>
    </row>
    <row r="443" spans="1:26" x14ac:dyDescent="0.25">
      <c r="A443" s="21"/>
      <c r="B443" s="22"/>
      <c r="C443" s="23"/>
      <c r="D443" s="22"/>
      <c r="E443" s="41"/>
      <c r="F443" s="42"/>
      <c r="G443" s="43"/>
      <c r="H443" s="24"/>
      <c r="I443" s="25"/>
      <c r="J443" s="25"/>
      <c r="K443" s="25"/>
      <c r="L443" s="24"/>
      <c r="M443" s="25"/>
      <c r="N443" s="25"/>
      <c r="O443" s="25"/>
      <c r="P443" s="47"/>
      <c r="Q443" s="48"/>
      <c r="R443" s="49"/>
      <c r="S443" s="50"/>
      <c r="T443" s="51"/>
      <c r="U443" s="52"/>
      <c r="V443" s="53"/>
      <c r="W443" s="54"/>
      <c r="X443" s="55"/>
      <c r="Y443" s="56"/>
      <c r="Z443" s="57"/>
    </row>
    <row r="444" spans="1:26" x14ac:dyDescent="0.25">
      <c r="A444" s="21"/>
      <c r="B444" s="22"/>
      <c r="C444" s="23"/>
      <c r="D444" s="22"/>
      <c r="E444" s="41"/>
      <c r="F444" s="42"/>
      <c r="G444" s="43"/>
      <c r="H444" s="24"/>
      <c r="I444" s="25"/>
      <c r="J444" s="25"/>
      <c r="K444" s="25"/>
      <c r="L444" s="24"/>
      <c r="M444" s="25"/>
      <c r="N444" s="25"/>
      <c r="O444" s="25"/>
      <c r="P444" s="47"/>
      <c r="Q444" s="48"/>
      <c r="R444" s="49"/>
      <c r="S444" s="50"/>
      <c r="T444" s="51"/>
      <c r="U444" s="52"/>
      <c r="V444" s="53"/>
      <c r="W444" s="54"/>
      <c r="X444" s="55"/>
      <c r="Y444" s="56"/>
      <c r="Z444" s="57"/>
    </row>
    <row r="445" spans="1:26" x14ac:dyDescent="0.25">
      <c r="A445" s="21"/>
      <c r="B445" s="22"/>
      <c r="C445" s="23"/>
      <c r="D445" s="22"/>
      <c r="E445" s="41"/>
      <c r="F445" s="42"/>
      <c r="G445" s="43"/>
      <c r="H445" s="24"/>
      <c r="I445" s="25"/>
      <c r="J445" s="25"/>
      <c r="K445" s="25"/>
      <c r="L445" s="24"/>
      <c r="M445" s="25"/>
      <c r="N445" s="25"/>
      <c r="O445" s="25"/>
      <c r="P445" s="47"/>
      <c r="Q445" s="48"/>
      <c r="R445" s="49"/>
      <c r="S445" s="50"/>
      <c r="T445" s="51"/>
      <c r="U445" s="52"/>
      <c r="V445" s="53"/>
      <c r="W445" s="54"/>
      <c r="X445" s="55"/>
      <c r="Y445" s="56"/>
      <c r="Z445" s="57"/>
    </row>
    <row r="446" spans="1:26" x14ac:dyDescent="0.25">
      <c r="A446" s="21"/>
      <c r="B446" s="22"/>
      <c r="C446" s="23"/>
      <c r="D446" s="22"/>
      <c r="E446" s="41"/>
      <c r="F446" s="42"/>
      <c r="G446" s="43"/>
      <c r="H446" s="24"/>
      <c r="I446" s="25"/>
      <c r="J446" s="25"/>
      <c r="K446" s="25"/>
      <c r="L446" s="24"/>
      <c r="M446" s="25"/>
      <c r="N446" s="25"/>
      <c r="O446" s="25"/>
      <c r="P446" s="47"/>
      <c r="Q446" s="48"/>
      <c r="R446" s="49"/>
      <c r="S446" s="50"/>
      <c r="T446" s="51"/>
      <c r="U446" s="52"/>
      <c r="V446" s="53"/>
      <c r="W446" s="54"/>
      <c r="X446" s="55"/>
      <c r="Y446" s="56"/>
      <c r="Z446" s="57"/>
    </row>
    <row r="447" spans="1:26" x14ac:dyDescent="0.25">
      <c r="A447" s="21"/>
      <c r="B447" s="22"/>
      <c r="C447" s="23"/>
      <c r="D447" s="22"/>
      <c r="E447" s="41"/>
      <c r="F447" s="42"/>
      <c r="G447" s="43"/>
      <c r="H447" s="24"/>
      <c r="I447" s="25"/>
      <c r="J447" s="25"/>
      <c r="K447" s="25"/>
      <c r="L447" s="24"/>
      <c r="M447" s="25"/>
      <c r="N447" s="25"/>
      <c r="O447" s="25"/>
      <c r="P447" s="47"/>
      <c r="Q447" s="48"/>
      <c r="R447" s="49"/>
      <c r="S447" s="50"/>
      <c r="T447" s="51"/>
      <c r="U447" s="52"/>
      <c r="V447" s="53"/>
      <c r="W447" s="54"/>
      <c r="X447" s="55"/>
      <c r="Y447" s="56"/>
      <c r="Z447" s="57"/>
    </row>
    <row r="448" spans="1:26" x14ac:dyDescent="0.25">
      <c r="A448" s="21"/>
      <c r="B448" s="22"/>
      <c r="C448" s="23"/>
      <c r="D448" s="22"/>
      <c r="E448" s="41"/>
      <c r="F448" s="42"/>
      <c r="G448" s="43"/>
      <c r="H448" s="24"/>
      <c r="I448" s="25"/>
      <c r="J448" s="25"/>
      <c r="K448" s="25"/>
      <c r="L448" s="24"/>
      <c r="M448" s="25"/>
      <c r="N448" s="25"/>
      <c r="O448" s="25"/>
      <c r="P448" s="47"/>
      <c r="Q448" s="48"/>
      <c r="R448" s="49"/>
      <c r="S448" s="50"/>
      <c r="T448" s="51"/>
      <c r="U448" s="52"/>
      <c r="V448" s="53"/>
      <c r="W448" s="54"/>
      <c r="X448" s="55"/>
      <c r="Y448" s="56"/>
      <c r="Z448" s="57"/>
    </row>
    <row r="449" spans="1:26" x14ac:dyDescent="0.25">
      <c r="A449" s="21"/>
      <c r="B449" s="22"/>
      <c r="C449" s="23"/>
      <c r="D449" s="22"/>
      <c r="E449" s="41"/>
      <c r="F449" s="42"/>
      <c r="G449" s="43"/>
      <c r="H449" s="24"/>
      <c r="I449" s="25"/>
      <c r="J449" s="25"/>
      <c r="K449" s="25"/>
      <c r="L449" s="24"/>
      <c r="M449" s="25"/>
      <c r="N449" s="25"/>
      <c r="O449" s="25"/>
      <c r="P449" s="47"/>
      <c r="Q449" s="48"/>
      <c r="R449" s="49"/>
      <c r="S449" s="50"/>
      <c r="T449" s="51"/>
      <c r="U449" s="52"/>
      <c r="V449" s="53"/>
      <c r="W449" s="54"/>
      <c r="X449" s="55"/>
      <c r="Y449" s="56"/>
      <c r="Z449" s="57"/>
    </row>
    <row r="450" spans="1:26" x14ac:dyDescent="0.25">
      <c r="A450" s="21"/>
      <c r="B450" s="22"/>
      <c r="C450" s="23"/>
      <c r="D450" s="22"/>
      <c r="E450" s="41"/>
      <c r="F450" s="42"/>
      <c r="G450" s="43"/>
      <c r="H450" s="24"/>
      <c r="I450" s="25"/>
      <c r="J450" s="25"/>
      <c r="K450" s="25"/>
      <c r="L450" s="24"/>
      <c r="M450" s="25"/>
      <c r="N450" s="25"/>
      <c r="O450" s="25"/>
      <c r="P450" s="47"/>
      <c r="Q450" s="48"/>
      <c r="R450" s="49"/>
      <c r="S450" s="50"/>
      <c r="T450" s="51"/>
      <c r="U450" s="52"/>
      <c r="V450" s="53"/>
      <c r="W450" s="54"/>
      <c r="X450" s="55"/>
      <c r="Y450" s="56"/>
      <c r="Z450" s="57"/>
    </row>
    <row r="451" spans="1:26" x14ac:dyDescent="0.25">
      <c r="A451" s="21"/>
      <c r="B451" s="22"/>
      <c r="C451" s="23"/>
      <c r="D451" s="22"/>
      <c r="E451" s="41"/>
      <c r="F451" s="42"/>
      <c r="G451" s="43"/>
      <c r="H451" s="24"/>
      <c r="I451" s="25"/>
      <c r="J451" s="25"/>
      <c r="K451" s="25"/>
      <c r="L451" s="24"/>
      <c r="M451" s="25"/>
      <c r="N451" s="25"/>
      <c r="O451" s="25"/>
      <c r="P451" s="47"/>
      <c r="Q451" s="48"/>
      <c r="R451" s="49"/>
      <c r="S451" s="50"/>
      <c r="T451" s="51"/>
      <c r="U451" s="52"/>
      <c r="V451" s="53"/>
      <c r="W451" s="54"/>
      <c r="X451" s="55"/>
      <c r="Y451" s="56"/>
      <c r="Z451" s="57"/>
    </row>
    <row r="452" spans="1:26" x14ac:dyDescent="0.25">
      <c r="A452" s="21"/>
      <c r="B452" s="22"/>
      <c r="C452" s="23"/>
      <c r="D452" s="22"/>
      <c r="E452" s="41"/>
      <c r="F452" s="42"/>
      <c r="G452" s="43"/>
      <c r="H452" s="24"/>
      <c r="I452" s="25"/>
      <c r="J452" s="25"/>
      <c r="K452" s="25"/>
      <c r="L452" s="24"/>
      <c r="M452" s="25"/>
      <c r="N452" s="25"/>
      <c r="O452" s="25"/>
      <c r="P452" s="47"/>
      <c r="Q452" s="48"/>
      <c r="R452" s="49"/>
      <c r="S452" s="50"/>
      <c r="T452" s="51"/>
      <c r="U452" s="52"/>
      <c r="V452" s="53"/>
      <c r="W452" s="54"/>
      <c r="X452" s="55"/>
      <c r="Y452" s="56"/>
      <c r="Z452" s="57"/>
    </row>
    <row r="453" spans="1:26" x14ac:dyDescent="0.25">
      <c r="A453" s="21"/>
      <c r="B453" s="22"/>
      <c r="C453" s="23"/>
      <c r="D453" s="22"/>
      <c r="E453" s="41"/>
      <c r="F453" s="42"/>
      <c r="G453" s="43"/>
      <c r="H453" s="24"/>
      <c r="I453" s="25"/>
      <c r="J453" s="25"/>
      <c r="K453" s="25"/>
      <c r="L453" s="24"/>
      <c r="M453" s="25"/>
      <c r="N453" s="25"/>
      <c r="O453" s="25"/>
      <c r="P453" s="47"/>
      <c r="Q453" s="48"/>
      <c r="R453" s="49"/>
      <c r="S453" s="50"/>
      <c r="T453" s="51"/>
      <c r="U453" s="52"/>
      <c r="V453" s="53"/>
      <c r="W453" s="54"/>
      <c r="X453" s="55"/>
      <c r="Y453" s="56"/>
      <c r="Z453" s="57"/>
    </row>
    <row r="454" spans="1:26" x14ac:dyDescent="0.25">
      <c r="A454" s="21"/>
      <c r="B454" s="22"/>
      <c r="C454" s="23"/>
      <c r="D454" s="22"/>
      <c r="E454" s="41"/>
      <c r="F454" s="42"/>
      <c r="G454" s="43"/>
      <c r="H454" s="24"/>
      <c r="I454" s="25"/>
      <c r="J454" s="25"/>
      <c r="K454" s="25"/>
      <c r="L454" s="24"/>
      <c r="M454" s="25"/>
      <c r="N454" s="25"/>
      <c r="O454" s="25"/>
      <c r="P454" s="47"/>
      <c r="Q454" s="48"/>
      <c r="R454" s="49"/>
      <c r="S454" s="50"/>
      <c r="T454" s="51"/>
      <c r="U454" s="52"/>
      <c r="V454" s="53"/>
      <c r="W454" s="54"/>
      <c r="X454" s="55"/>
      <c r="Y454" s="56"/>
      <c r="Z454" s="57"/>
    </row>
    <row r="455" spans="1:26" x14ac:dyDescent="0.25">
      <c r="A455" s="21"/>
      <c r="B455" s="22"/>
      <c r="C455" s="23"/>
      <c r="D455" s="22"/>
      <c r="E455" s="41"/>
      <c r="F455" s="42"/>
      <c r="G455" s="43"/>
      <c r="H455" s="24"/>
      <c r="I455" s="25"/>
      <c r="J455" s="25"/>
      <c r="K455" s="25"/>
      <c r="L455" s="24"/>
      <c r="M455" s="25"/>
      <c r="N455" s="25"/>
      <c r="O455" s="25"/>
      <c r="P455" s="47"/>
      <c r="Q455" s="48"/>
      <c r="R455" s="49"/>
      <c r="S455" s="50"/>
      <c r="T455" s="51"/>
      <c r="U455" s="52"/>
      <c r="V455" s="53"/>
      <c r="W455" s="54"/>
      <c r="X455" s="55"/>
      <c r="Y455" s="56"/>
      <c r="Z455" s="57"/>
    </row>
    <row r="456" spans="1:26" x14ac:dyDescent="0.25">
      <c r="A456" s="21"/>
      <c r="B456" s="22"/>
      <c r="C456" s="23"/>
      <c r="D456" s="22"/>
      <c r="E456" s="41"/>
      <c r="F456" s="42"/>
      <c r="G456" s="43"/>
      <c r="H456" s="24"/>
      <c r="I456" s="25"/>
      <c r="J456" s="25"/>
      <c r="K456" s="25"/>
      <c r="L456" s="24"/>
      <c r="M456" s="25"/>
      <c r="N456" s="25"/>
      <c r="O456" s="25"/>
      <c r="P456" s="47"/>
      <c r="Q456" s="48"/>
      <c r="R456" s="49"/>
      <c r="S456" s="50"/>
      <c r="T456" s="51"/>
      <c r="U456" s="52"/>
      <c r="V456" s="53"/>
      <c r="W456" s="54"/>
      <c r="X456" s="55"/>
      <c r="Y456" s="56"/>
      <c r="Z456" s="57"/>
    </row>
    <row r="457" spans="1:26" x14ac:dyDescent="0.25">
      <c r="A457" s="21"/>
      <c r="B457" s="22"/>
      <c r="C457" s="23"/>
      <c r="D457" s="22"/>
      <c r="E457" s="41"/>
      <c r="F457" s="42"/>
      <c r="G457" s="43"/>
      <c r="H457" s="24"/>
      <c r="I457" s="25"/>
      <c r="J457" s="25"/>
      <c r="K457" s="25"/>
      <c r="L457" s="24"/>
      <c r="M457" s="25"/>
      <c r="N457" s="25"/>
      <c r="O457" s="25"/>
      <c r="P457" s="47"/>
      <c r="Q457" s="48"/>
      <c r="R457" s="49"/>
      <c r="S457" s="50"/>
      <c r="T457" s="51"/>
      <c r="U457" s="52"/>
      <c r="V457" s="53"/>
      <c r="W457" s="54"/>
      <c r="X457" s="55"/>
      <c r="Y457" s="56"/>
      <c r="Z457" s="57"/>
    </row>
    <row r="458" spans="1:26" x14ac:dyDescent="0.25">
      <c r="A458" s="21"/>
      <c r="B458" s="22"/>
      <c r="C458" s="23"/>
      <c r="D458" s="22"/>
      <c r="E458" s="41"/>
      <c r="F458" s="42"/>
      <c r="G458" s="43"/>
      <c r="H458" s="24"/>
      <c r="I458" s="25"/>
      <c r="J458" s="25"/>
      <c r="K458" s="25"/>
      <c r="L458" s="24"/>
      <c r="M458" s="25"/>
      <c r="N458" s="25"/>
      <c r="O458" s="25"/>
      <c r="P458" s="47"/>
      <c r="Q458" s="48"/>
      <c r="R458" s="49"/>
      <c r="S458" s="50"/>
      <c r="T458" s="51"/>
      <c r="U458" s="52"/>
      <c r="V458" s="53"/>
      <c r="W458" s="54"/>
      <c r="X458" s="55"/>
      <c r="Y458" s="56"/>
      <c r="Z458" s="57"/>
    </row>
    <row r="459" spans="1:26" x14ac:dyDescent="0.25">
      <c r="A459" s="21"/>
      <c r="B459" s="22"/>
      <c r="C459" s="23"/>
      <c r="D459" s="22"/>
      <c r="E459" s="41"/>
      <c r="F459" s="42"/>
      <c r="G459" s="43"/>
      <c r="H459" s="24"/>
      <c r="I459" s="25"/>
      <c r="J459" s="25"/>
      <c r="K459" s="25"/>
      <c r="L459" s="24"/>
      <c r="M459" s="25"/>
      <c r="N459" s="25"/>
      <c r="O459" s="25"/>
      <c r="P459" s="47"/>
      <c r="Q459" s="48"/>
      <c r="R459" s="49"/>
      <c r="S459" s="50"/>
      <c r="T459" s="51"/>
      <c r="U459" s="52"/>
      <c r="V459" s="53"/>
      <c r="W459" s="54"/>
      <c r="X459" s="55"/>
      <c r="Y459" s="56"/>
      <c r="Z459" s="57"/>
    </row>
    <row r="460" spans="1:26" x14ac:dyDescent="0.25">
      <c r="A460" s="21"/>
      <c r="B460" s="22"/>
      <c r="C460" s="23"/>
      <c r="D460" s="22"/>
      <c r="E460" s="41"/>
      <c r="F460" s="42"/>
      <c r="G460" s="43"/>
      <c r="H460" s="24"/>
      <c r="I460" s="25"/>
      <c r="J460" s="25"/>
      <c r="K460" s="25"/>
      <c r="L460" s="24"/>
      <c r="M460" s="25"/>
      <c r="N460" s="25"/>
      <c r="O460" s="25"/>
      <c r="P460" s="47"/>
      <c r="Q460" s="48"/>
      <c r="R460" s="49"/>
      <c r="S460" s="50"/>
      <c r="T460" s="51"/>
      <c r="U460" s="52"/>
      <c r="V460" s="53"/>
      <c r="W460" s="54"/>
      <c r="X460" s="55"/>
      <c r="Y460" s="56"/>
      <c r="Z460" s="57"/>
    </row>
    <row r="461" spans="1:26" x14ac:dyDescent="0.25">
      <c r="A461" s="21"/>
      <c r="B461" s="22"/>
      <c r="C461" s="23"/>
      <c r="D461" s="22"/>
      <c r="E461" s="41"/>
      <c r="F461" s="42"/>
      <c r="G461" s="43"/>
      <c r="H461" s="24"/>
      <c r="I461" s="25"/>
      <c r="J461" s="25"/>
      <c r="K461" s="25"/>
      <c r="L461" s="24"/>
      <c r="M461" s="25"/>
      <c r="N461" s="25"/>
      <c r="O461" s="25"/>
      <c r="P461" s="47"/>
      <c r="Q461" s="48"/>
      <c r="R461" s="49"/>
      <c r="S461" s="50"/>
      <c r="T461" s="51"/>
      <c r="U461" s="52"/>
      <c r="V461" s="53"/>
      <c r="W461" s="54"/>
      <c r="X461" s="55"/>
      <c r="Y461" s="56"/>
      <c r="Z461" s="57"/>
    </row>
    <row r="462" spans="1:26" x14ac:dyDescent="0.25">
      <c r="A462" s="21"/>
      <c r="B462" s="22"/>
      <c r="C462" s="23"/>
      <c r="D462" s="22"/>
      <c r="E462" s="41"/>
      <c r="F462" s="42"/>
      <c r="G462" s="43"/>
      <c r="H462" s="24"/>
      <c r="I462" s="25"/>
      <c r="J462" s="25"/>
      <c r="K462" s="25"/>
      <c r="L462" s="24"/>
      <c r="M462" s="25"/>
      <c r="N462" s="25"/>
      <c r="O462" s="25"/>
      <c r="P462" s="47"/>
      <c r="Q462" s="48"/>
      <c r="R462" s="49"/>
      <c r="S462" s="50"/>
      <c r="T462" s="51"/>
      <c r="U462" s="52"/>
      <c r="V462" s="53"/>
      <c r="W462" s="54"/>
      <c r="X462" s="55"/>
      <c r="Y462" s="56"/>
      <c r="Z462" s="57"/>
    </row>
    <row r="463" spans="1:26" x14ac:dyDescent="0.25">
      <c r="A463" s="21"/>
      <c r="B463" s="22"/>
      <c r="C463" s="23"/>
      <c r="D463" s="22"/>
      <c r="E463" s="41"/>
      <c r="F463" s="42"/>
      <c r="G463" s="43"/>
      <c r="H463" s="24"/>
      <c r="I463" s="25"/>
      <c r="J463" s="25"/>
      <c r="K463" s="25"/>
      <c r="L463" s="24"/>
      <c r="M463" s="25"/>
      <c r="N463" s="25"/>
      <c r="O463" s="25"/>
      <c r="P463" s="47"/>
      <c r="Q463" s="48"/>
      <c r="R463" s="49"/>
      <c r="S463" s="50"/>
      <c r="T463" s="51"/>
      <c r="U463" s="52"/>
      <c r="V463" s="53"/>
      <c r="W463" s="54"/>
      <c r="X463" s="55"/>
      <c r="Y463" s="56"/>
      <c r="Z463" s="57"/>
    </row>
    <row r="464" spans="1:26" x14ac:dyDescent="0.25">
      <c r="A464" s="21"/>
      <c r="B464" s="22"/>
      <c r="C464" s="23"/>
      <c r="D464" s="22"/>
      <c r="E464" s="41"/>
      <c r="F464" s="42"/>
      <c r="G464" s="43"/>
      <c r="H464" s="24"/>
      <c r="I464" s="25"/>
      <c r="J464" s="25"/>
      <c r="K464" s="25"/>
      <c r="L464" s="24"/>
      <c r="M464" s="25"/>
      <c r="N464" s="25"/>
      <c r="O464" s="25"/>
      <c r="P464" s="47"/>
      <c r="Q464" s="48"/>
      <c r="R464" s="49"/>
      <c r="S464" s="50"/>
      <c r="T464" s="51"/>
      <c r="U464" s="52"/>
      <c r="V464" s="53"/>
      <c r="W464" s="54"/>
      <c r="X464" s="55"/>
      <c r="Y464" s="56"/>
      <c r="Z464" s="57"/>
    </row>
    <row r="465" spans="1:26" x14ac:dyDescent="0.25">
      <c r="A465" s="21"/>
      <c r="B465" s="22"/>
      <c r="C465" s="23"/>
      <c r="D465" s="22"/>
      <c r="E465" s="41"/>
      <c r="F465" s="42"/>
      <c r="G465" s="43"/>
      <c r="H465" s="24"/>
      <c r="I465" s="25"/>
      <c r="J465" s="25"/>
      <c r="K465" s="25"/>
      <c r="L465" s="24"/>
      <c r="M465" s="25"/>
      <c r="N465" s="25"/>
      <c r="O465" s="25"/>
      <c r="P465" s="47"/>
      <c r="Q465" s="48"/>
      <c r="R465" s="49"/>
      <c r="S465" s="50"/>
      <c r="T465" s="51"/>
      <c r="U465" s="52"/>
      <c r="V465" s="53"/>
      <c r="W465" s="54"/>
      <c r="X465" s="55"/>
      <c r="Y465" s="56"/>
      <c r="Z465" s="57"/>
    </row>
    <row r="466" spans="1:26" x14ac:dyDescent="0.25">
      <c r="A466" s="21"/>
      <c r="B466" s="22"/>
      <c r="C466" s="23"/>
      <c r="D466" s="22"/>
      <c r="E466" s="41"/>
      <c r="F466" s="42"/>
      <c r="G466" s="43"/>
      <c r="H466" s="24"/>
      <c r="I466" s="25"/>
      <c r="J466" s="25"/>
      <c r="K466" s="25"/>
      <c r="L466" s="24"/>
      <c r="M466" s="25"/>
      <c r="N466" s="25"/>
      <c r="O466" s="25"/>
      <c r="P466" s="47"/>
      <c r="Q466" s="48"/>
      <c r="R466" s="49"/>
      <c r="S466" s="50"/>
      <c r="T466" s="51"/>
      <c r="U466" s="52"/>
      <c r="V466" s="53"/>
      <c r="W466" s="54"/>
      <c r="X466" s="55"/>
      <c r="Y466" s="56"/>
      <c r="Z466" s="57"/>
    </row>
    <row r="467" spans="1:26" x14ac:dyDescent="0.25">
      <c r="A467" s="21"/>
      <c r="B467" s="22"/>
      <c r="C467" s="23"/>
      <c r="D467" s="22"/>
      <c r="E467" s="41"/>
      <c r="F467" s="42"/>
      <c r="G467" s="43"/>
      <c r="H467" s="24"/>
      <c r="I467" s="25"/>
      <c r="J467" s="25"/>
      <c r="K467" s="25"/>
      <c r="L467" s="24"/>
      <c r="M467" s="25"/>
      <c r="N467" s="25"/>
      <c r="O467" s="25"/>
      <c r="P467" s="47"/>
      <c r="Q467" s="48"/>
      <c r="R467" s="49"/>
      <c r="S467" s="50"/>
      <c r="T467" s="51"/>
      <c r="U467" s="52"/>
      <c r="V467" s="53"/>
      <c r="W467" s="54"/>
      <c r="X467" s="55"/>
      <c r="Y467" s="56"/>
      <c r="Z467" s="57"/>
    </row>
    <row r="468" spans="1:26" x14ac:dyDescent="0.25">
      <c r="A468" s="21"/>
      <c r="B468" s="22"/>
      <c r="C468" s="23"/>
      <c r="D468" s="22"/>
      <c r="E468" s="41"/>
      <c r="F468" s="42"/>
      <c r="G468" s="43"/>
      <c r="H468" s="24"/>
      <c r="I468" s="25"/>
      <c r="J468" s="25"/>
      <c r="K468" s="25"/>
      <c r="L468" s="24"/>
      <c r="M468" s="25"/>
      <c r="N468" s="25"/>
      <c r="O468" s="25"/>
      <c r="P468" s="47"/>
      <c r="Q468" s="48"/>
      <c r="R468" s="49"/>
      <c r="S468" s="50"/>
      <c r="T468" s="51"/>
      <c r="U468" s="52"/>
      <c r="V468" s="53"/>
      <c r="W468" s="54"/>
      <c r="X468" s="55"/>
      <c r="Y468" s="56"/>
      <c r="Z468" s="57"/>
    </row>
    <row r="469" spans="1:26" x14ac:dyDescent="0.25">
      <c r="A469" s="21"/>
      <c r="B469" s="22"/>
      <c r="C469" s="23"/>
      <c r="D469" s="22"/>
      <c r="E469" s="41"/>
      <c r="F469" s="42"/>
      <c r="G469" s="43"/>
      <c r="H469" s="24"/>
      <c r="I469" s="25"/>
      <c r="J469" s="25"/>
      <c r="K469" s="25"/>
      <c r="L469" s="24"/>
      <c r="M469" s="25"/>
      <c r="N469" s="25"/>
      <c r="O469" s="25"/>
      <c r="P469" s="47"/>
      <c r="Q469" s="48"/>
      <c r="R469" s="49"/>
      <c r="S469" s="50"/>
      <c r="T469" s="51"/>
      <c r="U469" s="52"/>
      <c r="V469" s="53"/>
      <c r="W469" s="54"/>
      <c r="X469" s="55"/>
      <c r="Y469" s="56"/>
      <c r="Z469" s="57"/>
    </row>
    <row r="470" spans="1:26" x14ac:dyDescent="0.25">
      <c r="A470" s="21"/>
      <c r="B470" s="22"/>
      <c r="C470" s="23"/>
      <c r="D470" s="22"/>
      <c r="E470" s="41"/>
      <c r="F470" s="42"/>
      <c r="G470" s="43"/>
      <c r="H470" s="24"/>
      <c r="I470" s="25"/>
      <c r="J470" s="25"/>
      <c r="K470" s="25"/>
      <c r="L470" s="24"/>
      <c r="M470" s="25"/>
      <c r="N470" s="25"/>
      <c r="O470" s="25"/>
      <c r="P470" s="47"/>
      <c r="Q470" s="48"/>
      <c r="R470" s="49"/>
      <c r="S470" s="50"/>
      <c r="T470" s="51"/>
      <c r="U470" s="52"/>
      <c r="V470" s="53"/>
      <c r="W470" s="54"/>
      <c r="X470" s="55"/>
      <c r="Y470" s="56"/>
      <c r="Z470" s="57"/>
    </row>
    <row r="471" spans="1:26" x14ac:dyDescent="0.25">
      <c r="A471" s="21"/>
      <c r="B471" s="22"/>
      <c r="C471" s="23"/>
      <c r="D471" s="22"/>
      <c r="E471" s="41"/>
      <c r="F471" s="42"/>
      <c r="G471" s="43"/>
      <c r="H471" s="24"/>
      <c r="I471" s="25"/>
      <c r="J471" s="25"/>
      <c r="K471" s="25"/>
      <c r="L471" s="24"/>
      <c r="M471" s="25"/>
      <c r="N471" s="25"/>
      <c r="O471" s="25"/>
      <c r="P471" s="47"/>
      <c r="Q471" s="48"/>
      <c r="R471" s="49"/>
      <c r="S471" s="50"/>
      <c r="T471" s="51"/>
      <c r="U471" s="52"/>
      <c r="V471" s="53"/>
      <c r="W471" s="54"/>
      <c r="X471" s="55"/>
      <c r="Y471" s="56"/>
      <c r="Z471" s="57"/>
    </row>
    <row r="472" spans="1:26" x14ac:dyDescent="0.25">
      <c r="A472" s="21"/>
      <c r="B472" s="22"/>
      <c r="C472" s="23"/>
      <c r="D472" s="22"/>
      <c r="E472" s="41"/>
      <c r="F472" s="42"/>
      <c r="G472" s="43"/>
      <c r="H472" s="24"/>
      <c r="I472" s="25"/>
      <c r="J472" s="25"/>
      <c r="K472" s="25"/>
      <c r="L472" s="24"/>
      <c r="M472" s="25"/>
      <c r="N472" s="25"/>
      <c r="O472" s="25"/>
      <c r="P472" s="47"/>
      <c r="Q472" s="48"/>
      <c r="R472" s="49"/>
      <c r="S472" s="50"/>
      <c r="T472" s="51"/>
      <c r="U472" s="52"/>
      <c r="V472" s="53"/>
      <c r="W472" s="54"/>
      <c r="X472" s="55"/>
      <c r="Y472" s="56"/>
      <c r="Z472" s="57"/>
    </row>
    <row r="473" spans="1:26" x14ac:dyDescent="0.25">
      <c r="A473" s="21"/>
      <c r="B473" s="22"/>
      <c r="C473" s="23"/>
      <c r="D473" s="22"/>
      <c r="E473" s="41"/>
      <c r="F473" s="42"/>
      <c r="G473" s="43"/>
      <c r="H473" s="24"/>
      <c r="I473" s="25"/>
      <c r="J473" s="25"/>
      <c r="K473" s="25"/>
      <c r="L473" s="24"/>
      <c r="M473" s="25"/>
      <c r="N473" s="25"/>
      <c r="O473" s="25"/>
      <c r="P473" s="47"/>
      <c r="Q473" s="48"/>
      <c r="R473" s="49"/>
      <c r="S473" s="50"/>
      <c r="T473" s="51"/>
      <c r="U473" s="52"/>
      <c r="V473" s="53"/>
      <c r="W473" s="54"/>
      <c r="X473" s="55"/>
      <c r="Y473" s="56"/>
      <c r="Z473" s="57"/>
    </row>
    <row r="474" spans="1:26" x14ac:dyDescent="0.25">
      <c r="A474" s="21"/>
      <c r="B474" s="22"/>
      <c r="C474" s="23"/>
      <c r="D474" s="22"/>
      <c r="E474" s="41"/>
      <c r="F474" s="42"/>
      <c r="G474" s="43"/>
      <c r="H474" s="24"/>
      <c r="I474" s="25"/>
      <c r="J474" s="25"/>
      <c r="K474" s="25"/>
      <c r="L474" s="24"/>
      <c r="M474" s="25"/>
      <c r="N474" s="25"/>
      <c r="O474" s="25"/>
      <c r="P474" s="47"/>
      <c r="Q474" s="48"/>
      <c r="R474" s="49"/>
      <c r="S474" s="50"/>
      <c r="T474" s="51"/>
      <c r="U474" s="52"/>
      <c r="V474" s="53"/>
      <c r="W474" s="54"/>
      <c r="X474" s="55"/>
      <c r="Y474" s="56"/>
      <c r="Z474" s="57"/>
    </row>
    <row r="475" spans="1:26" x14ac:dyDescent="0.25">
      <c r="A475" s="21"/>
      <c r="B475" s="22"/>
      <c r="C475" s="23"/>
      <c r="D475" s="22"/>
      <c r="E475" s="41"/>
      <c r="F475" s="42"/>
      <c r="G475" s="43"/>
      <c r="H475" s="24"/>
      <c r="I475" s="25"/>
      <c r="J475" s="25"/>
      <c r="K475" s="25"/>
      <c r="L475" s="24"/>
      <c r="M475" s="25"/>
      <c r="N475" s="25"/>
      <c r="O475" s="25"/>
      <c r="P475" s="47"/>
      <c r="Q475" s="48"/>
      <c r="R475" s="49"/>
      <c r="S475" s="50"/>
      <c r="T475" s="51"/>
      <c r="U475" s="52"/>
      <c r="V475" s="53"/>
      <c r="W475" s="54"/>
      <c r="X475" s="55"/>
      <c r="Y475" s="56"/>
      <c r="Z475" s="57"/>
    </row>
    <row r="476" spans="1:26" x14ac:dyDescent="0.25">
      <c r="A476" s="21"/>
      <c r="B476" s="22"/>
      <c r="C476" s="23"/>
      <c r="D476" s="22"/>
      <c r="E476" s="41"/>
      <c r="F476" s="42"/>
      <c r="G476" s="43"/>
      <c r="H476" s="24"/>
      <c r="I476" s="25"/>
      <c r="J476" s="25"/>
      <c r="K476" s="25"/>
      <c r="L476" s="24"/>
      <c r="M476" s="25"/>
      <c r="N476" s="25"/>
      <c r="O476" s="25"/>
      <c r="P476" s="47"/>
      <c r="Q476" s="48"/>
      <c r="R476" s="49"/>
      <c r="S476" s="50"/>
      <c r="T476" s="51"/>
      <c r="U476" s="52"/>
      <c r="V476" s="53"/>
      <c r="W476" s="54"/>
      <c r="X476" s="55"/>
      <c r="Y476" s="56"/>
      <c r="Z476" s="57"/>
    </row>
    <row r="477" spans="1:26" x14ac:dyDescent="0.25">
      <c r="A477" s="21"/>
      <c r="B477" s="22"/>
      <c r="C477" s="23"/>
      <c r="D477" s="22"/>
      <c r="E477" s="41"/>
      <c r="F477" s="42"/>
      <c r="G477" s="43"/>
      <c r="H477" s="24"/>
      <c r="I477" s="25"/>
      <c r="J477" s="25"/>
      <c r="K477" s="25"/>
      <c r="L477" s="24"/>
      <c r="M477" s="25"/>
      <c r="N477" s="25"/>
      <c r="O477" s="25"/>
      <c r="P477" s="47"/>
      <c r="Q477" s="48"/>
      <c r="R477" s="49"/>
      <c r="S477" s="50"/>
      <c r="T477" s="51"/>
      <c r="U477" s="52"/>
      <c r="V477" s="53"/>
      <c r="W477" s="54"/>
      <c r="X477" s="55"/>
      <c r="Y477" s="56"/>
      <c r="Z477" s="57"/>
    </row>
    <row r="478" spans="1:26" x14ac:dyDescent="0.25">
      <c r="A478" s="21"/>
      <c r="B478" s="22"/>
      <c r="C478" s="23"/>
      <c r="D478" s="22"/>
      <c r="E478" s="41"/>
      <c r="F478" s="42"/>
      <c r="G478" s="43"/>
      <c r="H478" s="24"/>
      <c r="I478" s="25"/>
      <c r="J478" s="25"/>
      <c r="K478" s="25"/>
      <c r="L478" s="24"/>
      <c r="M478" s="25"/>
      <c r="N478" s="25"/>
      <c r="O478" s="25"/>
      <c r="P478" s="47"/>
      <c r="Q478" s="48"/>
      <c r="R478" s="49"/>
      <c r="S478" s="50"/>
      <c r="T478" s="51"/>
      <c r="U478" s="52"/>
      <c r="V478" s="53"/>
      <c r="W478" s="54"/>
      <c r="X478" s="55"/>
      <c r="Y478" s="56"/>
      <c r="Z478" s="57"/>
    </row>
    <row r="479" spans="1:26" x14ac:dyDescent="0.25">
      <c r="A479" s="21"/>
      <c r="B479" s="22"/>
      <c r="C479" s="23"/>
      <c r="D479" s="22"/>
      <c r="E479" s="41"/>
      <c r="F479" s="42"/>
      <c r="G479" s="43"/>
      <c r="H479" s="24"/>
      <c r="I479" s="25"/>
      <c r="J479" s="25"/>
      <c r="K479" s="25"/>
      <c r="L479" s="24"/>
      <c r="M479" s="25"/>
      <c r="N479" s="25"/>
      <c r="O479" s="25"/>
      <c r="P479" s="47"/>
      <c r="Q479" s="48"/>
      <c r="R479" s="49"/>
      <c r="S479" s="50"/>
      <c r="T479" s="51"/>
      <c r="U479" s="52"/>
      <c r="V479" s="53"/>
      <c r="W479" s="54"/>
      <c r="X479" s="55"/>
      <c r="Y479" s="56"/>
      <c r="Z479" s="57"/>
    </row>
    <row r="480" spans="1:26" x14ac:dyDescent="0.25">
      <c r="A480" s="21"/>
      <c r="B480" s="22"/>
      <c r="C480" s="23"/>
      <c r="D480" s="22"/>
      <c r="E480" s="41"/>
      <c r="F480" s="42"/>
      <c r="G480" s="43"/>
      <c r="H480" s="24"/>
      <c r="I480" s="25"/>
      <c r="J480" s="25"/>
      <c r="K480" s="25"/>
      <c r="L480" s="24"/>
      <c r="M480" s="25"/>
      <c r="N480" s="25"/>
      <c r="O480" s="25"/>
      <c r="P480" s="47"/>
      <c r="Q480" s="48"/>
      <c r="R480" s="49"/>
      <c r="S480" s="50"/>
      <c r="T480" s="51"/>
      <c r="U480" s="52"/>
      <c r="V480" s="53"/>
      <c r="W480" s="54"/>
      <c r="X480" s="55"/>
      <c r="Y480" s="56"/>
      <c r="Z480" s="57"/>
    </row>
    <row r="481" spans="1:26" x14ac:dyDescent="0.25">
      <c r="A481" s="21"/>
      <c r="B481" s="22"/>
      <c r="C481" s="23"/>
      <c r="D481" s="22"/>
      <c r="E481" s="41"/>
      <c r="F481" s="42"/>
      <c r="G481" s="43"/>
      <c r="H481" s="24"/>
      <c r="I481" s="25"/>
      <c r="J481" s="25"/>
      <c r="K481" s="25"/>
      <c r="L481" s="24"/>
      <c r="M481" s="25"/>
      <c r="N481" s="25"/>
      <c r="O481" s="25"/>
      <c r="P481" s="47"/>
      <c r="Q481" s="48"/>
      <c r="R481" s="49"/>
      <c r="S481" s="50"/>
      <c r="T481" s="51"/>
      <c r="U481" s="52"/>
      <c r="V481" s="53"/>
      <c r="W481" s="54"/>
      <c r="X481" s="55"/>
      <c r="Y481" s="56"/>
      <c r="Z481" s="57"/>
    </row>
    <row r="482" spans="1:26" x14ac:dyDescent="0.25">
      <c r="A482" s="21"/>
      <c r="B482" s="22"/>
      <c r="C482" s="23"/>
      <c r="D482" s="22"/>
      <c r="E482" s="41"/>
      <c r="F482" s="42"/>
      <c r="G482" s="43"/>
      <c r="H482" s="24"/>
      <c r="I482" s="25"/>
      <c r="J482" s="25"/>
      <c r="K482" s="25"/>
      <c r="L482" s="24"/>
      <c r="M482" s="25"/>
      <c r="N482" s="25"/>
      <c r="O482" s="25"/>
      <c r="P482" s="47"/>
      <c r="Q482" s="48"/>
      <c r="R482" s="49"/>
      <c r="S482" s="50"/>
      <c r="T482" s="51"/>
      <c r="U482" s="52"/>
      <c r="V482" s="53"/>
      <c r="W482" s="54"/>
      <c r="X482" s="55"/>
      <c r="Y482" s="56"/>
      <c r="Z482" s="57"/>
    </row>
    <row r="483" spans="1:26" x14ac:dyDescent="0.25">
      <c r="A483" s="21"/>
      <c r="B483" s="22"/>
      <c r="C483" s="23"/>
      <c r="D483" s="22"/>
      <c r="E483" s="41"/>
      <c r="F483" s="42"/>
      <c r="G483" s="43"/>
      <c r="H483" s="24"/>
      <c r="I483" s="25"/>
      <c r="J483" s="25"/>
      <c r="K483" s="25"/>
      <c r="L483" s="24"/>
      <c r="M483" s="25"/>
      <c r="N483" s="25"/>
      <c r="O483" s="25"/>
      <c r="P483" s="47"/>
      <c r="Q483" s="48"/>
      <c r="R483" s="49"/>
      <c r="S483" s="50"/>
      <c r="T483" s="51"/>
      <c r="U483" s="52"/>
      <c r="V483" s="53"/>
      <c r="W483" s="54"/>
      <c r="X483" s="55"/>
      <c r="Y483" s="56"/>
      <c r="Z483" s="57"/>
    </row>
    <row r="484" spans="1:26" x14ac:dyDescent="0.25">
      <c r="A484" s="21"/>
      <c r="B484" s="22"/>
      <c r="C484" s="23"/>
      <c r="D484" s="22"/>
      <c r="E484" s="41"/>
      <c r="F484" s="42"/>
      <c r="G484" s="43"/>
      <c r="H484" s="24"/>
      <c r="I484" s="25"/>
      <c r="J484" s="25"/>
      <c r="K484" s="25"/>
      <c r="L484" s="24"/>
      <c r="M484" s="25"/>
      <c r="N484" s="25"/>
      <c r="O484" s="25"/>
      <c r="P484" s="47"/>
      <c r="Q484" s="48"/>
      <c r="R484" s="49"/>
      <c r="S484" s="50"/>
      <c r="T484" s="51"/>
      <c r="U484" s="52"/>
      <c r="V484" s="53"/>
      <c r="W484" s="54"/>
      <c r="X484" s="55"/>
      <c r="Y484" s="56"/>
      <c r="Z484" s="57"/>
    </row>
    <row r="485" spans="1:26" x14ac:dyDescent="0.25">
      <c r="A485" s="21"/>
      <c r="B485" s="22"/>
      <c r="C485" s="23"/>
      <c r="D485" s="22"/>
      <c r="E485" s="41"/>
      <c r="F485" s="42"/>
      <c r="G485" s="43"/>
      <c r="H485" s="24"/>
      <c r="I485" s="25"/>
      <c r="J485" s="25"/>
      <c r="K485" s="25"/>
      <c r="L485" s="24"/>
      <c r="M485" s="25"/>
      <c r="N485" s="25"/>
      <c r="O485" s="25"/>
      <c r="P485" s="47"/>
      <c r="Q485" s="48"/>
      <c r="R485" s="49"/>
      <c r="S485" s="50"/>
      <c r="T485" s="51"/>
      <c r="U485" s="52"/>
      <c r="V485" s="53"/>
      <c r="W485" s="54"/>
      <c r="X485" s="55"/>
      <c r="Y485" s="56"/>
      <c r="Z485" s="57"/>
    </row>
    <row r="486" spans="1:26" x14ac:dyDescent="0.25">
      <c r="A486" s="21"/>
      <c r="B486" s="22"/>
      <c r="C486" s="23"/>
      <c r="D486" s="22"/>
      <c r="E486" s="41"/>
      <c r="F486" s="42"/>
      <c r="G486" s="43"/>
      <c r="H486" s="24"/>
      <c r="I486" s="25"/>
      <c r="J486" s="25"/>
      <c r="K486" s="25"/>
      <c r="L486" s="24"/>
      <c r="M486" s="25"/>
      <c r="N486" s="25"/>
      <c r="O486" s="25"/>
      <c r="P486" s="47"/>
      <c r="Q486" s="48"/>
      <c r="R486" s="49"/>
      <c r="S486" s="50"/>
      <c r="T486" s="51"/>
      <c r="U486" s="52"/>
      <c r="V486" s="53"/>
      <c r="W486" s="54"/>
      <c r="X486" s="55"/>
      <c r="Y486" s="56"/>
      <c r="Z486" s="57"/>
    </row>
    <row r="487" spans="1:26" x14ac:dyDescent="0.25">
      <c r="A487" s="21"/>
      <c r="B487" s="22"/>
      <c r="C487" s="23"/>
      <c r="D487" s="22"/>
      <c r="E487" s="41"/>
      <c r="F487" s="42"/>
      <c r="G487" s="43"/>
      <c r="H487" s="24"/>
      <c r="I487" s="25"/>
      <c r="J487" s="25"/>
      <c r="K487" s="25"/>
      <c r="L487" s="24"/>
      <c r="M487" s="25"/>
      <c r="N487" s="25"/>
      <c r="O487" s="25"/>
      <c r="P487" s="47"/>
      <c r="Q487" s="48"/>
      <c r="R487" s="49"/>
      <c r="S487" s="50"/>
      <c r="T487" s="51"/>
      <c r="U487" s="52"/>
      <c r="V487" s="53"/>
      <c r="W487" s="54"/>
      <c r="X487" s="55"/>
      <c r="Y487" s="56"/>
      <c r="Z487" s="57"/>
    </row>
    <row r="488" spans="1:26" x14ac:dyDescent="0.25">
      <c r="A488" s="21"/>
      <c r="B488" s="22"/>
      <c r="C488" s="23"/>
      <c r="D488" s="22"/>
      <c r="E488" s="41"/>
      <c r="F488" s="42"/>
      <c r="G488" s="43"/>
      <c r="H488" s="24"/>
      <c r="I488" s="25"/>
      <c r="J488" s="25"/>
      <c r="K488" s="25"/>
      <c r="L488" s="24"/>
      <c r="M488" s="25"/>
      <c r="N488" s="25"/>
      <c r="O488" s="25"/>
      <c r="P488" s="47"/>
      <c r="Q488" s="48"/>
      <c r="R488" s="49"/>
      <c r="S488" s="50"/>
      <c r="T488" s="51"/>
      <c r="U488" s="52"/>
      <c r="V488" s="53"/>
      <c r="W488" s="54"/>
      <c r="X488" s="55"/>
      <c r="Y488" s="56"/>
      <c r="Z488" s="57"/>
    </row>
    <row r="489" spans="1:26" x14ac:dyDescent="0.25">
      <c r="A489" s="21"/>
      <c r="B489" s="22"/>
      <c r="C489" s="23"/>
      <c r="D489" s="22"/>
      <c r="E489" s="41"/>
      <c r="F489" s="42"/>
      <c r="G489" s="43"/>
      <c r="H489" s="24"/>
      <c r="I489" s="25"/>
      <c r="J489" s="25"/>
      <c r="K489" s="25"/>
      <c r="L489" s="24"/>
      <c r="M489" s="25"/>
      <c r="N489" s="25"/>
      <c r="O489" s="25"/>
      <c r="P489" s="47"/>
      <c r="Q489" s="48"/>
      <c r="R489" s="49"/>
      <c r="S489" s="50"/>
      <c r="T489" s="51"/>
      <c r="U489" s="52"/>
      <c r="V489" s="53"/>
      <c r="W489" s="54"/>
      <c r="X489" s="55"/>
      <c r="Y489" s="56"/>
      <c r="Z489" s="57"/>
    </row>
    <row r="490" spans="1:26" x14ac:dyDescent="0.25">
      <c r="A490" s="21"/>
      <c r="B490" s="22"/>
      <c r="C490" s="23"/>
      <c r="D490" s="22"/>
      <c r="E490" s="41"/>
      <c r="F490" s="42"/>
      <c r="G490" s="43"/>
      <c r="H490" s="24"/>
      <c r="I490" s="25"/>
      <c r="J490" s="25"/>
      <c r="K490" s="25"/>
      <c r="L490" s="24"/>
      <c r="M490" s="25"/>
      <c r="N490" s="25"/>
      <c r="O490" s="25"/>
      <c r="P490" s="47"/>
      <c r="Q490" s="48"/>
      <c r="R490" s="49"/>
      <c r="S490" s="50"/>
      <c r="T490" s="51"/>
      <c r="U490" s="52"/>
      <c r="V490" s="53"/>
      <c r="W490" s="54"/>
      <c r="X490" s="55"/>
      <c r="Y490" s="56"/>
      <c r="Z490" s="57"/>
    </row>
    <row r="491" spans="1:26" x14ac:dyDescent="0.25">
      <c r="A491" s="21"/>
      <c r="B491" s="22"/>
      <c r="C491" s="23"/>
      <c r="D491" s="22"/>
      <c r="E491" s="41"/>
      <c r="F491" s="42"/>
      <c r="G491" s="43"/>
      <c r="H491" s="24"/>
      <c r="I491" s="25"/>
      <c r="J491" s="25"/>
      <c r="K491" s="25"/>
      <c r="L491" s="24"/>
      <c r="M491" s="25"/>
      <c r="N491" s="25"/>
      <c r="O491" s="25"/>
      <c r="P491" s="47"/>
      <c r="Q491" s="48"/>
      <c r="R491" s="49"/>
      <c r="S491" s="50"/>
      <c r="T491" s="51"/>
      <c r="U491" s="52"/>
      <c r="V491" s="53"/>
      <c r="W491" s="54"/>
      <c r="X491" s="55"/>
      <c r="Y491" s="56"/>
      <c r="Z491" s="57"/>
    </row>
    <row r="492" spans="1:26" x14ac:dyDescent="0.25">
      <c r="A492" s="21"/>
      <c r="B492" s="22"/>
      <c r="C492" s="23"/>
      <c r="D492" s="22"/>
      <c r="E492" s="41"/>
      <c r="F492" s="42"/>
      <c r="G492" s="43"/>
      <c r="H492" s="24"/>
      <c r="I492" s="25"/>
      <c r="J492" s="25"/>
      <c r="K492" s="25"/>
      <c r="L492" s="24"/>
      <c r="M492" s="25"/>
      <c r="N492" s="25"/>
      <c r="O492" s="25"/>
      <c r="P492" s="47"/>
      <c r="Q492" s="48"/>
      <c r="R492" s="49"/>
      <c r="S492" s="50"/>
      <c r="T492" s="51"/>
      <c r="U492" s="52"/>
      <c r="V492" s="53"/>
      <c r="W492" s="54"/>
      <c r="X492" s="55"/>
      <c r="Y492" s="56"/>
      <c r="Z492" s="57"/>
    </row>
    <row r="493" spans="1:26" x14ac:dyDescent="0.25">
      <c r="A493" s="21"/>
      <c r="B493" s="22"/>
      <c r="C493" s="23"/>
      <c r="D493" s="22"/>
      <c r="E493" s="41"/>
      <c r="F493" s="42"/>
      <c r="G493" s="43"/>
      <c r="H493" s="24"/>
      <c r="I493" s="25"/>
      <c r="J493" s="25"/>
      <c r="K493" s="25"/>
      <c r="L493" s="24"/>
      <c r="M493" s="25"/>
      <c r="N493" s="25"/>
      <c r="O493" s="25"/>
      <c r="P493" s="47"/>
      <c r="Q493" s="48"/>
      <c r="R493" s="49"/>
      <c r="S493" s="50"/>
      <c r="T493" s="51"/>
      <c r="U493" s="52"/>
      <c r="V493" s="53"/>
      <c r="W493" s="54"/>
      <c r="X493" s="55"/>
      <c r="Y493" s="56"/>
      <c r="Z493" s="57"/>
    </row>
    <row r="494" spans="1:26" x14ac:dyDescent="0.25">
      <c r="A494" s="21"/>
      <c r="B494" s="112"/>
      <c r="C494" s="113"/>
      <c r="D494" s="114"/>
      <c r="E494" s="41">
        <f t="shared" ref="E494:Z494" si="0">SUM(E16:E493)</f>
        <v>0</v>
      </c>
      <c r="F494" s="42">
        <f t="shared" si="0"/>
        <v>0</v>
      </c>
      <c r="G494" s="43">
        <f t="shared" si="0"/>
        <v>0</v>
      </c>
      <c r="H494" s="24">
        <f t="shared" si="0"/>
        <v>0</v>
      </c>
      <c r="I494" s="25">
        <f t="shared" si="0"/>
        <v>0</v>
      </c>
      <c r="J494" s="25">
        <f t="shared" si="0"/>
        <v>0</v>
      </c>
      <c r="K494" s="25">
        <f t="shared" si="0"/>
        <v>0</v>
      </c>
      <c r="L494" s="72">
        <f t="shared" si="0"/>
        <v>0</v>
      </c>
      <c r="M494" s="73">
        <f t="shared" si="0"/>
        <v>0</v>
      </c>
      <c r="N494" s="74">
        <f t="shared" si="0"/>
        <v>0</v>
      </c>
      <c r="O494" s="74">
        <f t="shared" si="0"/>
        <v>0</v>
      </c>
      <c r="P494" s="47">
        <f t="shared" si="0"/>
        <v>0</v>
      </c>
      <c r="Q494" s="48">
        <f t="shared" si="0"/>
        <v>0</v>
      </c>
      <c r="R494" s="49">
        <f t="shared" si="0"/>
        <v>0</v>
      </c>
      <c r="S494" s="50">
        <f t="shared" si="0"/>
        <v>0</v>
      </c>
      <c r="T494" s="51">
        <f t="shared" si="0"/>
        <v>0</v>
      </c>
      <c r="U494" s="52">
        <f t="shared" si="0"/>
        <v>0</v>
      </c>
      <c r="V494" s="53">
        <f t="shared" si="0"/>
        <v>0</v>
      </c>
      <c r="W494" s="54">
        <f t="shared" si="0"/>
        <v>0</v>
      </c>
      <c r="X494" s="55">
        <f t="shared" si="0"/>
        <v>0</v>
      </c>
      <c r="Y494" s="56">
        <f t="shared" si="0"/>
        <v>0</v>
      </c>
      <c r="Z494" s="57">
        <f t="shared" si="0"/>
        <v>0</v>
      </c>
    </row>
  </sheetData>
  <autoFilter ref="A14:AA14"/>
  <mergeCells count="36">
    <mergeCell ref="AA7:AA11"/>
    <mergeCell ref="I15:J15"/>
    <mergeCell ref="H12:K12"/>
    <mergeCell ref="P10:Q10"/>
    <mergeCell ref="L8:N8"/>
    <mergeCell ref="V8:W8"/>
    <mergeCell ref="V10:W10"/>
    <mergeCell ref="P12:R12"/>
    <mergeCell ref="V9:W9"/>
    <mergeCell ref="M15:N15"/>
    <mergeCell ref="L12:O12"/>
    <mergeCell ref="V12:X12"/>
    <mergeCell ref="E10:F10"/>
    <mergeCell ref="S7:T7"/>
    <mergeCell ref="P8:Q8"/>
    <mergeCell ref="L9:N9"/>
    <mergeCell ref="E9:F9"/>
    <mergeCell ref="S10:T10"/>
    <mergeCell ref="P7:Q7"/>
    <mergeCell ref="H8:J8"/>
    <mergeCell ref="B494:D494"/>
    <mergeCell ref="E12:G12"/>
    <mergeCell ref="A2:Z2"/>
    <mergeCell ref="S9:T9"/>
    <mergeCell ref="S12:U12"/>
    <mergeCell ref="L7:N7"/>
    <mergeCell ref="V7:W7"/>
    <mergeCell ref="Y12:Z12"/>
    <mergeCell ref="H10:J10"/>
    <mergeCell ref="E7:F7"/>
    <mergeCell ref="H9:J9"/>
    <mergeCell ref="E8:F8"/>
    <mergeCell ref="H7:J7"/>
    <mergeCell ref="P9:Q9"/>
    <mergeCell ref="S8:T8"/>
    <mergeCell ref="L10:N10"/>
  </mergeCells>
  <pageMargins left="0" right="0" top="0.15" bottom="0" header="0.15" footer="0"/>
  <pageSetup paperSize="9" fitToHeight="0" orientation="landscape" horizontalDpi="300" verticalDpi="300"/>
  <headerFooter alignWithMargins="0">
    <oddFooter>&amp;L&amp;"Aptos"&amp;10 &amp;K000000_x000D_# The information in this document is marked: [BUSINESS ONLY]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82"/>
  <sheetViews>
    <sheetView showGridLines="0" workbookViewId="0">
      <pane ySplit="4" topLeftCell="A5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45" style="31" customWidth="1"/>
    <col min="3" max="3" width="42" style="31" customWidth="1"/>
    <col min="4" max="4" width="20" style="31" customWidth="1"/>
  </cols>
  <sheetData>
    <row r="1" spans="1:8" ht="23.25" x14ac:dyDescent="0.35">
      <c r="A1" s="111" t="s">
        <v>101</v>
      </c>
      <c r="B1" s="109"/>
      <c r="C1" s="109"/>
      <c r="D1" s="109"/>
      <c r="E1" s="110"/>
      <c r="F1" s="110"/>
      <c r="G1" s="110"/>
      <c r="H1" s="110"/>
    </row>
    <row r="2" spans="1:8" x14ac:dyDescent="0.25">
      <c r="A2" s="108" t="s">
        <v>102</v>
      </c>
      <c r="B2" s="109"/>
      <c r="C2" s="109"/>
      <c r="D2" s="109"/>
      <c r="E2" s="110"/>
      <c r="F2" s="110"/>
      <c r="G2" s="110"/>
      <c r="H2" s="110"/>
    </row>
    <row r="4" spans="1:8" x14ac:dyDescent="0.25">
      <c r="A4" s="33" t="s">
        <v>103</v>
      </c>
      <c r="B4" s="33" t="s">
        <v>95</v>
      </c>
      <c r="C4" s="33" t="s">
        <v>93</v>
      </c>
      <c r="D4" s="33" t="s">
        <v>104</v>
      </c>
    </row>
    <row r="5" spans="1:8" x14ac:dyDescent="0.25">
      <c r="A5" s="26" t="s">
        <v>105</v>
      </c>
      <c r="B5" s="26" t="s">
        <v>106</v>
      </c>
      <c r="C5" s="26" t="s">
        <v>107</v>
      </c>
      <c r="D5" s="26" t="s">
        <v>35</v>
      </c>
    </row>
    <row r="6" spans="1:8" x14ac:dyDescent="0.25">
      <c r="A6" s="26" t="s">
        <v>108</v>
      </c>
      <c r="B6" s="26" t="s">
        <v>109</v>
      </c>
      <c r="C6" s="26" t="s">
        <v>107</v>
      </c>
      <c r="D6" s="26" t="s">
        <v>35</v>
      </c>
    </row>
    <row r="7" spans="1:8" x14ac:dyDescent="0.25">
      <c r="A7" s="26" t="s">
        <v>110</v>
      </c>
      <c r="B7" s="26" t="s">
        <v>111</v>
      </c>
      <c r="C7" s="26" t="s">
        <v>107</v>
      </c>
      <c r="D7" s="26" t="s">
        <v>35</v>
      </c>
    </row>
    <row r="8" spans="1:8" x14ac:dyDescent="0.25">
      <c r="A8" s="26" t="s">
        <v>112</v>
      </c>
      <c r="B8" s="26" t="s">
        <v>113</v>
      </c>
      <c r="C8" s="26" t="s">
        <v>107</v>
      </c>
      <c r="D8" s="26" t="s">
        <v>35</v>
      </c>
    </row>
    <row r="9" spans="1:8" x14ac:dyDescent="0.25">
      <c r="A9" s="26" t="s">
        <v>114</v>
      </c>
      <c r="B9" s="26" t="s">
        <v>115</v>
      </c>
      <c r="C9" s="26" t="s">
        <v>107</v>
      </c>
      <c r="D9" s="26" t="s">
        <v>35</v>
      </c>
    </row>
    <row r="10" spans="1:8" x14ac:dyDescent="0.25">
      <c r="A10" s="26" t="s">
        <v>116</v>
      </c>
      <c r="B10" s="26" t="s">
        <v>117</v>
      </c>
      <c r="C10" s="26" t="s">
        <v>107</v>
      </c>
      <c r="D10" s="26" t="s">
        <v>35</v>
      </c>
    </row>
    <row r="11" spans="1:8" x14ac:dyDescent="0.25">
      <c r="A11" s="26" t="s">
        <v>118</v>
      </c>
      <c r="B11" s="26" t="s">
        <v>119</v>
      </c>
      <c r="C11" s="26" t="s">
        <v>107</v>
      </c>
      <c r="D11" s="26" t="s">
        <v>35</v>
      </c>
    </row>
    <row r="12" spans="1:8" x14ac:dyDescent="0.25">
      <c r="A12" s="26" t="s">
        <v>120</v>
      </c>
      <c r="B12" s="26" t="s">
        <v>121</v>
      </c>
      <c r="C12" s="26" t="s">
        <v>107</v>
      </c>
      <c r="D12" s="26" t="s">
        <v>35</v>
      </c>
    </row>
    <row r="13" spans="1:8" x14ac:dyDescent="0.25">
      <c r="A13" s="26" t="s">
        <v>33</v>
      </c>
      <c r="B13" s="26" t="s">
        <v>34</v>
      </c>
      <c r="C13" s="26" t="s">
        <v>107</v>
      </c>
      <c r="D13" s="26" t="s">
        <v>35</v>
      </c>
    </row>
    <row r="14" spans="1:8" x14ac:dyDescent="0.25">
      <c r="A14" s="26" t="s">
        <v>122</v>
      </c>
      <c r="B14" s="26" t="s">
        <v>123</v>
      </c>
      <c r="C14" s="26" t="s">
        <v>124</v>
      </c>
      <c r="D14" s="26" t="s">
        <v>35</v>
      </c>
    </row>
    <row r="15" spans="1:8" x14ac:dyDescent="0.25">
      <c r="A15" s="26" t="s">
        <v>36</v>
      </c>
      <c r="B15" s="26" t="s">
        <v>37</v>
      </c>
      <c r="C15" s="26" t="s">
        <v>124</v>
      </c>
      <c r="D15" s="26" t="s">
        <v>35</v>
      </c>
    </row>
    <row r="16" spans="1:8" x14ac:dyDescent="0.25">
      <c r="A16" s="26" t="s">
        <v>125</v>
      </c>
      <c r="B16" s="26" t="s">
        <v>126</v>
      </c>
      <c r="C16" s="26" t="s">
        <v>124</v>
      </c>
      <c r="D16" s="26" t="s">
        <v>35</v>
      </c>
    </row>
    <row r="17" spans="1:4" x14ac:dyDescent="0.25">
      <c r="A17" s="26" t="s">
        <v>127</v>
      </c>
      <c r="B17" s="26" t="s">
        <v>128</v>
      </c>
      <c r="C17" s="26" t="s">
        <v>129</v>
      </c>
      <c r="D17" s="26" t="s">
        <v>35</v>
      </c>
    </row>
    <row r="18" spans="1:4" x14ac:dyDescent="0.25">
      <c r="A18" s="26" t="s">
        <v>130</v>
      </c>
      <c r="B18" s="26" t="s">
        <v>131</v>
      </c>
      <c r="C18" s="26" t="s">
        <v>129</v>
      </c>
      <c r="D18" s="26" t="s">
        <v>35</v>
      </c>
    </row>
    <row r="19" spans="1:4" x14ac:dyDescent="0.25">
      <c r="A19" s="26" t="s">
        <v>132</v>
      </c>
      <c r="B19" s="26" t="s">
        <v>133</v>
      </c>
      <c r="C19" s="26" t="s">
        <v>129</v>
      </c>
      <c r="D19" s="26" t="s">
        <v>35</v>
      </c>
    </row>
    <row r="20" spans="1:4" x14ac:dyDescent="0.25">
      <c r="A20" s="26" t="s">
        <v>134</v>
      </c>
      <c r="B20" s="26" t="s">
        <v>135</v>
      </c>
      <c r="C20" s="26" t="s">
        <v>129</v>
      </c>
      <c r="D20" s="26" t="s">
        <v>35</v>
      </c>
    </row>
    <row r="21" spans="1:4" x14ac:dyDescent="0.25">
      <c r="A21" s="26" t="s">
        <v>136</v>
      </c>
      <c r="B21" s="26" t="s">
        <v>137</v>
      </c>
      <c r="C21" s="26" t="s">
        <v>129</v>
      </c>
      <c r="D21" s="26" t="s">
        <v>35</v>
      </c>
    </row>
    <row r="22" spans="1:4" x14ac:dyDescent="0.25">
      <c r="A22" s="26" t="s">
        <v>138</v>
      </c>
      <c r="B22" s="26" t="s">
        <v>139</v>
      </c>
      <c r="C22" s="26" t="s">
        <v>129</v>
      </c>
      <c r="D22" s="26" t="s">
        <v>35</v>
      </c>
    </row>
    <row r="23" spans="1:4" x14ac:dyDescent="0.25">
      <c r="A23" s="26" t="s">
        <v>140</v>
      </c>
      <c r="B23" s="26" t="s">
        <v>141</v>
      </c>
      <c r="C23" s="26" t="s">
        <v>129</v>
      </c>
      <c r="D23" s="26" t="s">
        <v>35</v>
      </c>
    </row>
    <row r="24" spans="1:4" x14ac:dyDescent="0.25">
      <c r="A24" s="26" t="s">
        <v>142</v>
      </c>
      <c r="B24" s="26" t="s">
        <v>143</v>
      </c>
      <c r="C24" s="26" t="s">
        <v>129</v>
      </c>
      <c r="D24" s="26" t="s">
        <v>35</v>
      </c>
    </row>
    <row r="25" spans="1:4" x14ac:dyDescent="0.25">
      <c r="A25" s="26" t="s">
        <v>144</v>
      </c>
      <c r="B25" s="26" t="s">
        <v>145</v>
      </c>
      <c r="C25" s="26" t="s">
        <v>146</v>
      </c>
      <c r="D25" s="26" t="s">
        <v>35</v>
      </c>
    </row>
    <row r="26" spans="1:4" x14ac:dyDescent="0.25">
      <c r="A26" s="26" t="s">
        <v>147</v>
      </c>
      <c r="B26" s="26" t="s">
        <v>148</v>
      </c>
      <c r="C26" s="26" t="s">
        <v>146</v>
      </c>
      <c r="D26" s="26" t="s">
        <v>35</v>
      </c>
    </row>
    <row r="27" spans="1:4" x14ac:dyDescent="0.25">
      <c r="A27" s="26" t="s">
        <v>149</v>
      </c>
      <c r="B27" s="26" t="s">
        <v>150</v>
      </c>
      <c r="C27" s="26" t="s">
        <v>146</v>
      </c>
      <c r="D27" s="26" t="s">
        <v>35</v>
      </c>
    </row>
    <row r="28" spans="1:4" x14ac:dyDescent="0.25">
      <c r="A28" s="26" t="s">
        <v>151</v>
      </c>
      <c r="B28" s="26" t="s">
        <v>152</v>
      </c>
      <c r="C28" s="26" t="s">
        <v>146</v>
      </c>
      <c r="D28" s="26" t="s">
        <v>35</v>
      </c>
    </row>
    <row r="29" spans="1:4" x14ac:dyDescent="0.25">
      <c r="A29" s="26" t="s">
        <v>153</v>
      </c>
      <c r="B29" s="26" t="s">
        <v>154</v>
      </c>
      <c r="C29" s="26" t="s">
        <v>146</v>
      </c>
      <c r="D29" s="26" t="s">
        <v>35</v>
      </c>
    </row>
    <row r="30" spans="1:4" x14ac:dyDescent="0.25">
      <c r="A30" s="26" t="s">
        <v>155</v>
      </c>
      <c r="B30" s="26" t="s">
        <v>156</v>
      </c>
      <c r="C30" s="26" t="s">
        <v>146</v>
      </c>
      <c r="D30" s="26" t="s">
        <v>35</v>
      </c>
    </row>
    <row r="31" spans="1:4" x14ac:dyDescent="0.25">
      <c r="A31" s="26" t="s">
        <v>157</v>
      </c>
      <c r="B31" s="26" t="s">
        <v>158</v>
      </c>
      <c r="C31" s="26" t="s">
        <v>146</v>
      </c>
      <c r="D31" s="26" t="s">
        <v>35</v>
      </c>
    </row>
    <row r="32" spans="1:4" x14ac:dyDescent="0.25">
      <c r="A32" s="26" t="s">
        <v>159</v>
      </c>
      <c r="B32" s="26" t="s">
        <v>160</v>
      </c>
      <c r="C32" s="26" t="s">
        <v>146</v>
      </c>
      <c r="D32" s="26" t="s">
        <v>35</v>
      </c>
    </row>
    <row r="33" spans="1:4" x14ac:dyDescent="0.25">
      <c r="A33" s="26" t="s">
        <v>161</v>
      </c>
      <c r="B33" s="26" t="s">
        <v>162</v>
      </c>
      <c r="C33" s="26" t="s">
        <v>163</v>
      </c>
      <c r="D33" s="26" t="s">
        <v>35</v>
      </c>
    </row>
    <row r="34" spans="1:4" x14ac:dyDescent="0.25">
      <c r="A34" s="26" t="s">
        <v>164</v>
      </c>
      <c r="B34" s="26" t="s">
        <v>165</v>
      </c>
      <c r="C34" s="26" t="s">
        <v>166</v>
      </c>
      <c r="D34" s="26" t="s">
        <v>35</v>
      </c>
    </row>
    <row r="35" spans="1:4" x14ac:dyDescent="0.25">
      <c r="A35" s="26" t="s">
        <v>167</v>
      </c>
      <c r="B35" s="26" t="s">
        <v>168</v>
      </c>
      <c r="C35" s="26" t="s">
        <v>169</v>
      </c>
      <c r="D35" s="26" t="s">
        <v>35</v>
      </c>
    </row>
    <row r="36" spans="1:4" x14ac:dyDescent="0.25">
      <c r="A36" s="26" t="s">
        <v>170</v>
      </c>
      <c r="B36" s="26" t="s">
        <v>171</v>
      </c>
      <c r="C36" s="26" t="s">
        <v>169</v>
      </c>
      <c r="D36" s="26" t="s">
        <v>35</v>
      </c>
    </row>
    <row r="37" spans="1:4" x14ac:dyDescent="0.25">
      <c r="A37" s="26" t="s">
        <v>172</v>
      </c>
      <c r="B37" s="26" t="s">
        <v>173</v>
      </c>
      <c r="C37" s="26" t="s">
        <v>174</v>
      </c>
      <c r="D37" s="26" t="s">
        <v>35</v>
      </c>
    </row>
    <row r="38" spans="1:4" x14ac:dyDescent="0.25">
      <c r="A38" s="26" t="s">
        <v>175</v>
      </c>
      <c r="B38" s="26" t="s">
        <v>176</v>
      </c>
      <c r="C38" s="26" t="s">
        <v>174</v>
      </c>
      <c r="D38" s="26" t="s">
        <v>35</v>
      </c>
    </row>
    <row r="39" spans="1:4" x14ac:dyDescent="0.25">
      <c r="A39" s="26" t="s">
        <v>177</v>
      </c>
      <c r="B39" s="26" t="s">
        <v>178</v>
      </c>
      <c r="C39" s="26" t="s">
        <v>174</v>
      </c>
      <c r="D39" s="26" t="s">
        <v>35</v>
      </c>
    </row>
    <row r="40" spans="1:4" x14ac:dyDescent="0.25">
      <c r="A40" s="26" t="s">
        <v>179</v>
      </c>
      <c r="B40" s="26" t="s">
        <v>180</v>
      </c>
      <c r="C40" s="26" t="s">
        <v>181</v>
      </c>
      <c r="D40" s="26" t="s">
        <v>35</v>
      </c>
    </row>
    <row r="41" spans="1:4" x14ac:dyDescent="0.25">
      <c r="A41" s="26" t="s">
        <v>182</v>
      </c>
      <c r="B41" s="26" t="s">
        <v>49</v>
      </c>
      <c r="C41" s="26" t="s">
        <v>183</v>
      </c>
      <c r="D41" s="26" t="s">
        <v>184</v>
      </c>
    </row>
    <row r="42" spans="1:4" x14ac:dyDescent="0.25">
      <c r="A42" s="26" t="s">
        <v>185</v>
      </c>
      <c r="B42" s="26" t="s">
        <v>186</v>
      </c>
      <c r="C42" s="26" t="s">
        <v>183</v>
      </c>
      <c r="D42" s="26" t="s">
        <v>184</v>
      </c>
    </row>
    <row r="43" spans="1:4" x14ac:dyDescent="0.25">
      <c r="A43" s="26" t="s">
        <v>48</v>
      </c>
      <c r="B43" s="26" t="s">
        <v>49</v>
      </c>
      <c r="C43" s="26" t="s">
        <v>183</v>
      </c>
      <c r="D43" s="26" t="s">
        <v>50</v>
      </c>
    </row>
    <row r="44" spans="1:4" x14ac:dyDescent="0.25">
      <c r="A44" s="26" t="s">
        <v>187</v>
      </c>
      <c r="B44" s="26" t="s">
        <v>188</v>
      </c>
      <c r="C44" s="26" t="s">
        <v>189</v>
      </c>
      <c r="D44" s="26" t="s">
        <v>190</v>
      </c>
    </row>
    <row r="45" spans="1:4" x14ac:dyDescent="0.25">
      <c r="A45" s="26" t="s">
        <v>191</v>
      </c>
      <c r="B45" s="26" t="s">
        <v>192</v>
      </c>
      <c r="C45" s="26" t="s">
        <v>193</v>
      </c>
      <c r="D45" s="26" t="s">
        <v>194</v>
      </c>
    </row>
    <row r="46" spans="1:4" x14ac:dyDescent="0.25">
      <c r="A46" s="26" t="s">
        <v>51</v>
      </c>
      <c r="B46" s="26" t="s">
        <v>52</v>
      </c>
      <c r="C46" s="26" t="s">
        <v>129</v>
      </c>
      <c r="D46" s="26" t="s">
        <v>53</v>
      </c>
    </row>
    <row r="47" spans="1:4" x14ac:dyDescent="0.25">
      <c r="A47" s="26" t="s">
        <v>195</v>
      </c>
      <c r="B47" s="26" t="s">
        <v>196</v>
      </c>
      <c r="C47" s="26" t="s">
        <v>197</v>
      </c>
      <c r="D47" s="26" t="s">
        <v>35</v>
      </c>
    </row>
    <row r="48" spans="1:4" x14ac:dyDescent="0.25">
      <c r="A48" s="26" t="s">
        <v>198</v>
      </c>
      <c r="B48" s="26" t="s">
        <v>199</v>
      </c>
      <c r="C48" s="26" t="s">
        <v>197</v>
      </c>
      <c r="D48" s="26" t="s">
        <v>35</v>
      </c>
    </row>
    <row r="49" spans="1:4" x14ac:dyDescent="0.25">
      <c r="A49" s="26" t="s">
        <v>200</v>
      </c>
      <c r="B49" s="26" t="s">
        <v>201</v>
      </c>
      <c r="C49" s="26" t="s">
        <v>197</v>
      </c>
      <c r="D49" s="26" t="s">
        <v>35</v>
      </c>
    </row>
    <row r="50" spans="1:4" x14ac:dyDescent="0.25">
      <c r="A50" s="26" t="s">
        <v>202</v>
      </c>
      <c r="B50" s="26" t="s">
        <v>203</v>
      </c>
      <c r="C50" s="26" t="s">
        <v>204</v>
      </c>
      <c r="D50" s="26" t="s">
        <v>35</v>
      </c>
    </row>
    <row r="51" spans="1:4" x14ac:dyDescent="0.25">
      <c r="A51" s="26" t="s">
        <v>205</v>
      </c>
      <c r="B51" s="26" t="s">
        <v>206</v>
      </c>
      <c r="C51" s="26" t="s">
        <v>204</v>
      </c>
      <c r="D51" s="26" t="s">
        <v>35</v>
      </c>
    </row>
    <row r="52" spans="1:4" x14ac:dyDescent="0.25">
      <c r="A52" s="26" t="s">
        <v>207</v>
      </c>
      <c r="B52" s="26" t="s">
        <v>208</v>
      </c>
      <c r="C52" s="26" t="s">
        <v>204</v>
      </c>
      <c r="D52" s="26" t="s">
        <v>35</v>
      </c>
    </row>
    <row r="53" spans="1:4" x14ac:dyDescent="0.25">
      <c r="A53" s="26" t="s">
        <v>209</v>
      </c>
      <c r="B53" s="26" t="s">
        <v>39</v>
      </c>
      <c r="C53" s="26" t="s">
        <v>204</v>
      </c>
      <c r="D53" s="26" t="s">
        <v>35</v>
      </c>
    </row>
    <row r="54" spans="1:4" x14ac:dyDescent="0.25">
      <c r="A54" s="26" t="s">
        <v>210</v>
      </c>
      <c r="B54" s="26" t="s">
        <v>211</v>
      </c>
      <c r="C54" s="26" t="s">
        <v>204</v>
      </c>
      <c r="D54" s="26" t="s">
        <v>35</v>
      </c>
    </row>
    <row r="55" spans="1:4" x14ac:dyDescent="0.25">
      <c r="A55" s="26" t="s">
        <v>212</v>
      </c>
      <c r="B55" s="26" t="s">
        <v>213</v>
      </c>
      <c r="C55" s="26" t="s">
        <v>204</v>
      </c>
      <c r="D55" s="26" t="s">
        <v>35</v>
      </c>
    </row>
    <row r="56" spans="1:4" x14ac:dyDescent="0.25">
      <c r="A56" s="26" t="s">
        <v>38</v>
      </c>
      <c r="B56" s="26" t="s">
        <v>39</v>
      </c>
      <c r="C56" s="26" t="s">
        <v>204</v>
      </c>
      <c r="D56" s="26" t="s">
        <v>40</v>
      </c>
    </row>
    <row r="57" spans="1:4" x14ac:dyDescent="0.25">
      <c r="A57" s="26" t="s">
        <v>214</v>
      </c>
      <c r="B57" s="26" t="s">
        <v>215</v>
      </c>
      <c r="C57" s="26" t="s">
        <v>216</v>
      </c>
      <c r="D57" s="26" t="s">
        <v>35</v>
      </c>
    </row>
    <row r="58" spans="1:4" x14ac:dyDescent="0.25">
      <c r="A58" s="26" t="s">
        <v>217</v>
      </c>
      <c r="B58" s="26" t="s">
        <v>218</v>
      </c>
      <c r="C58" s="26" t="s">
        <v>216</v>
      </c>
      <c r="D58" s="26" t="s">
        <v>35</v>
      </c>
    </row>
    <row r="59" spans="1:4" x14ac:dyDescent="0.25">
      <c r="A59" s="26" t="s">
        <v>219</v>
      </c>
      <c r="B59" s="26" t="s">
        <v>220</v>
      </c>
      <c r="C59" s="26" t="s">
        <v>216</v>
      </c>
      <c r="D59" s="26" t="s">
        <v>35</v>
      </c>
    </row>
    <row r="60" spans="1:4" x14ac:dyDescent="0.25">
      <c r="A60" s="26" t="s">
        <v>221</v>
      </c>
      <c r="B60" s="26" t="s">
        <v>222</v>
      </c>
      <c r="C60" s="26" t="s">
        <v>216</v>
      </c>
      <c r="D60" s="26" t="s">
        <v>35</v>
      </c>
    </row>
    <row r="61" spans="1:4" x14ac:dyDescent="0.25">
      <c r="A61" s="26" t="s">
        <v>223</v>
      </c>
      <c r="B61" s="26" t="s">
        <v>224</v>
      </c>
      <c r="C61" s="26" t="s">
        <v>216</v>
      </c>
      <c r="D61" s="26" t="s">
        <v>35</v>
      </c>
    </row>
    <row r="62" spans="1:4" x14ac:dyDescent="0.25">
      <c r="A62" s="26" t="s">
        <v>225</v>
      </c>
      <c r="B62" s="26" t="s">
        <v>226</v>
      </c>
      <c r="C62" s="26" t="s">
        <v>216</v>
      </c>
      <c r="D62" s="26" t="s">
        <v>35</v>
      </c>
    </row>
    <row r="63" spans="1:4" x14ac:dyDescent="0.25">
      <c r="A63" s="26" t="s">
        <v>227</v>
      </c>
      <c r="B63" s="26" t="s">
        <v>228</v>
      </c>
      <c r="C63" s="26" t="s">
        <v>216</v>
      </c>
      <c r="D63" s="26" t="s">
        <v>35</v>
      </c>
    </row>
    <row r="64" spans="1:4" x14ac:dyDescent="0.25">
      <c r="A64" s="26" t="s">
        <v>229</v>
      </c>
      <c r="B64" s="26" t="s">
        <v>230</v>
      </c>
      <c r="C64" s="26" t="s">
        <v>231</v>
      </c>
      <c r="D64" s="26" t="s">
        <v>232</v>
      </c>
    </row>
    <row r="65" spans="1:4" x14ac:dyDescent="0.25">
      <c r="A65" s="26" t="s">
        <v>41</v>
      </c>
      <c r="B65" s="26" t="s">
        <v>42</v>
      </c>
      <c r="C65" s="26" t="s">
        <v>231</v>
      </c>
      <c r="D65" s="26" t="s">
        <v>43</v>
      </c>
    </row>
    <row r="66" spans="1:4" x14ac:dyDescent="0.25">
      <c r="A66" s="26" t="s">
        <v>233</v>
      </c>
      <c r="B66" s="26" t="s">
        <v>42</v>
      </c>
      <c r="C66" s="26" t="s">
        <v>231</v>
      </c>
      <c r="D66" s="26" t="s">
        <v>234</v>
      </c>
    </row>
    <row r="67" spans="1:4" x14ac:dyDescent="0.25">
      <c r="A67" s="26" t="s">
        <v>235</v>
      </c>
      <c r="B67" s="26" t="s">
        <v>236</v>
      </c>
      <c r="C67" s="26" t="s">
        <v>237</v>
      </c>
      <c r="D67" s="26" t="s">
        <v>35</v>
      </c>
    </row>
    <row r="68" spans="1:4" x14ac:dyDescent="0.25">
      <c r="A68" s="26" t="s">
        <v>238</v>
      </c>
      <c r="B68" s="26" t="s">
        <v>239</v>
      </c>
      <c r="C68" s="26" t="s">
        <v>237</v>
      </c>
      <c r="D68" s="26" t="s">
        <v>35</v>
      </c>
    </row>
    <row r="69" spans="1:4" x14ac:dyDescent="0.25">
      <c r="A69" s="26" t="s">
        <v>240</v>
      </c>
      <c r="B69" s="26" t="s">
        <v>241</v>
      </c>
      <c r="C69" s="26" t="s">
        <v>237</v>
      </c>
      <c r="D69" s="26" t="s">
        <v>35</v>
      </c>
    </row>
    <row r="70" spans="1:4" x14ac:dyDescent="0.25">
      <c r="A70" s="26" t="s">
        <v>242</v>
      </c>
      <c r="B70" s="26" t="s">
        <v>243</v>
      </c>
      <c r="C70" s="26" t="s">
        <v>237</v>
      </c>
      <c r="D70" s="26" t="s">
        <v>35</v>
      </c>
    </row>
    <row r="71" spans="1:4" x14ac:dyDescent="0.25">
      <c r="A71" s="26" t="s">
        <v>244</v>
      </c>
      <c r="B71" s="26" t="s">
        <v>245</v>
      </c>
      <c r="C71" s="26" t="s">
        <v>237</v>
      </c>
      <c r="D71" s="26" t="s">
        <v>35</v>
      </c>
    </row>
    <row r="72" spans="1:4" x14ac:dyDescent="0.25">
      <c r="A72" s="26" t="s">
        <v>246</v>
      </c>
      <c r="B72" s="26" t="s">
        <v>247</v>
      </c>
      <c r="C72" s="26" t="s">
        <v>237</v>
      </c>
      <c r="D72" s="26" t="s">
        <v>35</v>
      </c>
    </row>
    <row r="73" spans="1:4" x14ac:dyDescent="0.25">
      <c r="A73" s="26" t="s">
        <v>248</v>
      </c>
      <c r="B73" s="26" t="s">
        <v>249</v>
      </c>
      <c r="C73" s="26" t="s">
        <v>237</v>
      </c>
      <c r="D73" s="26" t="s">
        <v>35</v>
      </c>
    </row>
    <row r="74" spans="1:4" x14ac:dyDescent="0.25">
      <c r="A74" s="26" t="s">
        <v>250</v>
      </c>
      <c r="B74" s="26" t="s">
        <v>251</v>
      </c>
      <c r="C74" s="26" t="s">
        <v>237</v>
      </c>
      <c r="D74" s="26" t="s">
        <v>35</v>
      </c>
    </row>
    <row r="75" spans="1:4" x14ac:dyDescent="0.25">
      <c r="A75" s="26" t="s">
        <v>252</v>
      </c>
      <c r="B75" s="26" t="s">
        <v>253</v>
      </c>
      <c r="C75" s="26" t="s">
        <v>237</v>
      </c>
      <c r="D75" s="26" t="s">
        <v>35</v>
      </c>
    </row>
    <row r="76" spans="1:4" x14ac:dyDescent="0.25">
      <c r="A76" s="26" t="s">
        <v>254</v>
      </c>
      <c r="B76" s="26" t="s">
        <v>255</v>
      </c>
      <c r="C76" s="26" t="s">
        <v>237</v>
      </c>
      <c r="D76" s="26" t="s">
        <v>35</v>
      </c>
    </row>
    <row r="77" spans="1:4" x14ac:dyDescent="0.25">
      <c r="A77" s="26" t="s">
        <v>256</v>
      </c>
      <c r="B77" s="26" t="s">
        <v>257</v>
      </c>
      <c r="C77" s="26" t="s">
        <v>237</v>
      </c>
      <c r="D77" s="26" t="s">
        <v>35</v>
      </c>
    </row>
    <row r="78" spans="1:4" x14ac:dyDescent="0.25">
      <c r="A78" s="26" t="s">
        <v>258</v>
      </c>
      <c r="B78" s="26" t="s">
        <v>259</v>
      </c>
      <c r="C78" s="26" t="s">
        <v>237</v>
      </c>
      <c r="D78" s="26" t="s">
        <v>35</v>
      </c>
    </row>
    <row r="79" spans="1:4" x14ac:dyDescent="0.25">
      <c r="A79" s="26" t="s">
        <v>260</v>
      </c>
      <c r="B79" s="26" t="s">
        <v>261</v>
      </c>
      <c r="C79" s="26" t="s">
        <v>237</v>
      </c>
      <c r="D79" s="26" t="s">
        <v>35</v>
      </c>
    </row>
    <row r="80" spans="1:4" x14ac:dyDescent="0.25">
      <c r="A80" s="26" t="s">
        <v>262</v>
      </c>
      <c r="B80" s="26" t="s">
        <v>263</v>
      </c>
      <c r="C80" s="26" t="s">
        <v>237</v>
      </c>
      <c r="D80" s="26" t="s">
        <v>35</v>
      </c>
    </row>
    <row r="81" spans="1:4" x14ac:dyDescent="0.25">
      <c r="A81" s="26" t="s">
        <v>264</v>
      </c>
      <c r="B81" s="26" t="s">
        <v>265</v>
      </c>
      <c r="C81" s="26" t="s">
        <v>237</v>
      </c>
      <c r="D81" s="26" t="s">
        <v>35</v>
      </c>
    </row>
    <row r="82" spans="1:4" x14ac:dyDescent="0.25">
      <c r="A82" s="26" t="s">
        <v>266</v>
      </c>
      <c r="B82" s="26" t="s">
        <v>267</v>
      </c>
      <c r="C82" s="26" t="s">
        <v>237</v>
      </c>
      <c r="D82" s="26" t="s">
        <v>35</v>
      </c>
    </row>
    <row r="83" spans="1:4" x14ac:dyDescent="0.25">
      <c r="A83" s="26" t="s">
        <v>268</v>
      </c>
      <c r="B83" s="26" t="s">
        <v>269</v>
      </c>
      <c r="C83" s="26" t="s">
        <v>237</v>
      </c>
      <c r="D83" s="26" t="s">
        <v>35</v>
      </c>
    </row>
    <row r="84" spans="1:4" x14ac:dyDescent="0.25">
      <c r="A84" s="26" t="s">
        <v>270</v>
      </c>
      <c r="B84" s="26" t="s">
        <v>271</v>
      </c>
      <c r="C84" s="26" t="s">
        <v>237</v>
      </c>
      <c r="D84" s="26" t="s">
        <v>35</v>
      </c>
    </row>
    <row r="85" spans="1:4" x14ac:dyDescent="0.25">
      <c r="A85" s="26" t="s">
        <v>272</v>
      </c>
      <c r="B85" s="26" t="s">
        <v>273</v>
      </c>
      <c r="C85" s="26" t="s">
        <v>237</v>
      </c>
      <c r="D85" s="26" t="s">
        <v>35</v>
      </c>
    </row>
    <row r="86" spans="1:4" x14ac:dyDescent="0.25">
      <c r="A86" s="26" t="s">
        <v>274</v>
      </c>
      <c r="B86" s="26" t="s">
        <v>275</v>
      </c>
      <c r="C86" s="26" t="s">
        <v>237</v>
      </c>
      <c r="D86" s="26" t="s">
        <v>35</v>
      </c>
    </row>
    <row r="87" spans="1:4" x14ac:dyDescent="0.25">
      <c r="A87" s="26" t="s">
        <v>276</v>
      </c>
      <c r="B87" s="26" t="s">
        <v>277</v>
      </c>
      <c r="C87" s="26" t="s">
        <v>237</v>
      </c>
      <c r="D87" s="26" t="s">
        <v>35</v>
      </c>
    </row>
    <row r="88" spans="1:4" x14ac:dyDescent="0.25">
      <c r="A88" s="26" t="s">
        <v>278</v>
      </c>
      <c r="B88" s="26" t="s">
        <v>279</v>
      </c>
      <c r="C88" s="26" t="s">
        <v>237</v>
      </c>
      <c r="D88" s="26" t="s">
        <v>35</v>
      </c>
    </row>
    <row r="89" spans="1:4" x14ac:dyDescent="0.25">
      <c r="A89" s="26" t="s">
        <v>280</v>
      </c>
      <c r="B89" s="26" t="s">
        <v>281</v>
      </c>
      <c r="C89" s="26" t="s">
        <v>237</v>
      </c>
      <c r="D89" s="26" t="s">
        <v>35</v>
      </c>
    </row>
    <row r="90" spans="1:4" x14ac:dyDescent="0.25">
      <c r="A90" s="26" t="s">
        <v>282</v>
      </c>
      <c r="B90" s="26" t="s">
        <v>283</v>
      </c>
      <c r="C90" s="26" t="s">
        <v>237</v>
      </c>
      <c r="D90" s="26" t="s">
        <v>35</v>
      </c>
    </row>
    <row r="91" spans="1:4" x14ac:dyDescent="0.25">
      <c r="A91" s="26" t="s">
        <v>284</v>
      </c>
      <c r="B91" s="26" t="s">
        <v>285</v>
      </c>
      <c r="C91" s="26" t="s">
        <v>237</v>
      </c>
      <c r="D91" s="26" t="s">
        <v>35</v>
      </c>
    </row>
    <row r="92" spans="1:4" x14ac:dyDescent="0.25">
      <c r="A92" s="26" t="s">
        <v>286</v>
      </c>
      <c r="B92" s="26" t="s">
        <v>287</v>
      </c>
      <c r="C92" s="26" t="s">
        <v>237</v>
      </c>
      <c r="D92" s="26" t="s">
        <v>35</v>
      </c>
    </row>
    <row r="93" spans="1:4" x14ac:dyDescent="0.25">
      <c r="A93" s="26" t="s">
        <v>288</v>
      </c>
      <c r="B93" s="26" t="s">
        <v>289</v>
      </c>
      <c r="C93" s="26" t="s">
        <v>237</v>
      </c>
      <c r="D93" s="26" t="s">
        <v>35</v>
      </c>
    </row>
    <row r="94" spans="1:4" x14ac:dyDescent="0.25">
      <c r="A94" s="26" t="s">
        <v>290</v>
      </c>
      <c r="B94" s="26" t="s">
        <v>291</v>
      </c>
      <c r="C94" s="26" t="s">
        <v>237</v>
      </c>
      <c r="D94" s="26" t="s">
        <v>35</v>
      </c>
    </row>
    <row r="95" spans="1:4" x14ac:dyDescent="0.25">
      <c r="A95" s="26" t="s">
        <v>292</v>
      </c>
      <c r="B95" s="26" t="s">
        <v>293</v>
      </c>
      <c r="C95" s="26" t="s">
        <v>237</v>
      </c>
      <c r="D95" s="26" t="s">
        <v>35</v>
      </c>
    </row>
    <row r="96" spans="1:4" x14ac:dyDescent="0.25">
      <c r="A96" s="26" t="s">
        <v>294</v>
      </c>
      <c r="B96" s="26" t="s">
        <v>295</v>
      </c>
      <c r="C96" s="26" t="s">
        <v>237</v>
      </c>
      <c r="D96" s="26" t="s">
        <v>35</v>
      </c>
    </row>
    <row r="97" spans="1:4" x14ac:dyDescent="0.25">
      <c r="A97" s="26" t="s">
        <v>296</v>
      </c>
      <c r="B97" s="26" t="s">
        <v>297</v>
      </c>
      <c r="C97" s="26" t="s">
        <v>237</v>
      </c>
      <c r="D97" s="26" t="s">
        <v>35</v>
      </c>
    </row>
    <row r="98" spans="1:4" x14ac:dyDescent="0.25">
      <c r="A98" s="26" t="s">
        <v>298</v>
      </c>
      <c r="B98" s="26" t="s">
        <v>299</v>
      </c>
      <c r="C98" s="26" t="s">
        <v>237</v>
      </c>
      <c r="D98" s="26" t="s">
        <v>35</v>
      </c>
    </row>
    <row r="99" spans="1:4" x14ac:dyDescent="0.25">
      <c r="A99" s="26" t="s">
        <v>300</v>
      </c>
      <c r="B99" s="26" t="s">
        <v>301</v>
      </c>
      <c r="C99" s="26" t="s">
        <v>302</v>
      </c>
      <c r="D99" s="26" t="s">
        <v>35</v>
      </c>
    </row>
    <row r="100" spans="1:4" x14ac:dyDescent="0.25">
      <c r="A100" s="26" t="s">
        <v>303</v>
      </c>
      <c r="B100" s="26" t="s">
        <v>304</v>
      </c>
      <c r="C100" s="26" t="s">
        <v>302</v>
      </c>
      <c r="D100" s="26" t="s">
        <v>35</v>
      </c>
    </row>
    <row r="101" spans="1:4" x14ac:dyDescent="0.25">
      <c r="A101" s="26" t="s">
        <v>305</v>
      </c>
      <c r="B101" s="26" t="s">
        <v>306</v>
      </c>
      <c r="C101" s="26" t="s">
        <v>307</v>
      </c>
      <c r="D101" s="26" t="s">
        <v>35</v>
      </c>
    </row>
    <row r="102" spans="1:4" x14ac:dyDescent="0.25">
      <c r="A102" s="26" t="s">
        <v>308</v>
      </c>
      <c r="B102" s="26" t="s">
        <v>241</v>
      </c>
      <c r="C102" s="26" t="s">
        <v>307</v>
      </c>
      <c r="D102" s="26" t="s">
        <v>35</v>
      </c>
    </row>
    <row r="103" spans="1:4" x14ac:dyDescent="0.25">
      <c r="A103" s="26" t="s">
        <v>309</v>
      </c>
      <c r="B103" s="26" t="s">
        <v>310</v>
      </c>
      <c r="C103" s="26" t="s">
        <v>307</v>
      </c>
      <c r="D103" s="26" t="s">
        <v>35</v>
      </c>
    </row>
    <row r="104" spans="1:4" x14ac:dyDescent="0.25">
      <c r="A104" s="26" t="s">
        <v>311</v>
      </c>
      <c r="B104" s="26" t="s">
        <v>251</v>
      </c>
      <c r="C104" s="26" t="s">
        <v>307</v>
      </c>
      <c r="D104" s="26" t="s">
        <v>35</v>
      </c>
    </row>
    <row r="105" spans="1:4" x14ac:dyDescent="0.25">
      <c r="A105" s="26" t="s">
        <v>312</v>
      </c>
      <c r="B105" s="26" t="s">
        <v>313</v>
      </c>
      <c r="C105" s="26" t="s">
        <v>307</v>
      </c>
      <c r="D105" s="26" t="s">
        <v>314</v>
      </c>
    </row>
    <row r="106" spans="1:4" x14ac:dyDescent="0.25">
      <c r="A106" s="26" t="s">
        <v>315</v>
      </c>
      <c r="B106" s="26" t="s">
        <v>316</v>
      </c>
      <c r="C106" s="26" t="s">
        <v>307</v>
      </c>
      <c r="D106" s="26" t="s">
        <v>35</v>
      </c>
    </row>
    <row r="107" spans="1:4" x14ac:dyDescent="0.25">
      <c r="A107" s="26" t="s">
        <v>317</v>
      </c>
      <c r="B107" s="26" t="s">
        <v>318</v>
      </c>
      <c r="C107" s="26" t="s">
        <v>307</v>
      </c>
      <c r="D107" s="26" t="s">
        <v>35</v>
      </c>
    </row>
    <row r="108" spans="1:4" x14ac:dyDescent="0.25">
      <c r="A108" s="26" t="s">
        <v>319</v>
      </c>
      <c r="B108" s="26" t="s">
        <v>320</v>
      </c>
      <c r="C108" s="26" t="s">
        <v>307</v>
      </c>
      <c r="D108" s="26" t="s">
        <v>35</v>
      </c>
    </row>
    <row r="109" spans="1:4" x14ac:dyDescent="0.25">
      <c r="A109" s="26" t="s">
        <v>321</v>
      </c>
      <c r="B109" s="26" t="s">
        <v>322</v>
      </c>
      <c r="C109" s="26" t="s">
        <v>307</v>
      </c>
      <c r="D109" s="26" t="s">
        <v>35</v>
      </c>
    </row>
    <row r="110" spans="1:4" x14ac:dyDescent="0.25">
      <c r="A110" s="26" t="s">
        <v>323</v>
      </c>
      <c r="B110" s="26" t="s">
        <v>313</v>
      </c>
      <c r="C110" s="26" t="s">
        <v>307</v>
      </c>
      <c r="D110" s="26" t="s">
        <v>35</v>
      </c>
    </row>
    <row r="111" spans="1:4" x14ac:dyDescent="0.25">
      <c r="A111" s="26" t="s">
        <v>324</v>
      </c>
      <c r="B111" s="26" t="s">
        <v>325</v>
      </c>
      <c r="C111" s="26" t="s">
        <v>307</v>
      </c>
      <c r="D111" s="26" t="s">
        <v>35</v>
      </c>
    </row>
    <row r="112" spans="1:4" x14ac:dyDescent="0.25">
      <c r="A112" s="26" t="s">
        <v>326</v>
      </c>
      <c r="B112" s="26" t="s">
        <v>291</v>
      </c>
      <c r="C112" s="26" t="s">
        <v>307</v>
      </c>
      <c r="D112" s="26" t="s">
        <v>35</v>
      </c>
    </row>
    <row r="113" spans="1:4" x14ac:dyDescent="0.25">
      <c r="A113" s="26" t="s">
        <v>327</v>
      </c>
      <c r="B113" s="26" t="s">
        <v>328</v>
      </c>
      <c r="C113" s="26" t="s">
        <v>307</v>
      </c>
      <c r="D113" s="26" t="s">
        <v>35</v>
      </c>
    </row>
    <row r="114" spans="1:4" x14ac:dyDescent="0.25">
      <c r="A114" s="26" t="s">
        <v>54</v>
      </c>
      <c r="B114" s="26" t="s">
        <v>55</v>
      </c>
      <c r="C114" s="26" t="s">
        <v>307</v>
      </c>
      <c r="D114" s="26" t="s">
        <v>35</v>
      </c>
    </row>
    <row r="115" spans="1:4" x14ac:dyDescent="0.25">
      <c r="A115" s="26" t="s">
        <v>329</v>
      </c>
      <c r="B115" s="26" t="s">
        <v>330</v>
      </c>
      <c r="C115" s="26" t="s">
        <v>307</v>
      </c>
      <c r="D115" s="26" t="s">
        <v>35</v>
      </c>
    </row>
    <row r="116" spans="1:4" x14ac:dyDescent="0.25">
      <c r="A116" s="26" t="s">
        <v>331</v>
      </c>
      <c r="B116" s="26" t="s">
        <v>332</v>
      </c>
      <c r="C116" s="26" t="s">
        <v>237</v>
      </c>
      <c r="D116" s="26" t="s">
        <v>333</v>
      </c>
    </row>
    <row r="117" spans="1:4" x14ac:dyDescent="0.25">
      <c r="A117" s="26" t="s">
        <v>334</v>
      </c>
      <c r="B117" s="26" t="s">
        <v>335</v>
      </c>
      <c r="C117" s="26" t="s">
        <v>336</v>
      </c>
      <c r="D117" s="26" t="s">
        <v>35</v>
      </c>
    </row>
    <row r="118" spans="1:4" x14ac:dyDescent="0.25">
      <c r="A118" s="26" t="s">
        <v>337</v>
      </c>
      <c r="B118" s="26" t="s">
        <v>338</v>
      </c>
      <c r="C118" s="26" t="s">
        <v>336</v>
      </c>
      <c r="D118" s="26" t="s">
        <v>35</v>
      </c>
    </row>
    <row r="119" spans="1:4" x14ac:dyDescent="0.25">
      <c r="A119" s="26" t="s">
        <v>339</v>
      </c>
      <c r="B119" s="26" t="s">
        <v>340</v>
      </c>
      <c r="C119" s="26" t="s">
        <v>336</v>
      </c>
      <c r="D119" s="26" t="s">
        <v>314</v>
      </c>
    </row>
    <row r="120" spans="1:4" x14ac:dyDescent="0.25">
      <c r="A120" s="26" t="s">
        <v>341</v>
      </c>
      <c r="B120" s="26" t="s">
        <v>342</v>
      </c>
      <c r="C120" s="26" t="s">
        <v>336</v>
      </c>
      <c r="D120" s="26" t="s">
        <v>35</v>
      </c>
    </row>
    <row r="121" spans="1:4" x14ac:dyDescent="0.25">
      <c r="A121" s="26" t="s">
        <v>343</v>
      </c>
      <c r="B121" s="26" t="s">
        <v>344</v>
      </c>
      <c r="C121" s="26" t="s">
        <v>336</v>
      </c>
      <c r="D121" s="26" t="s">
        <v>35</v>
      </c>
    </row>
    <row r="122" spans="1:4" x14ac:dyDescent="0.25">
      <c r="A122" s="26" t="s">
        <v>345</v>
      </c>
      <c r="B122" s="26" t="s">
        <v>346</v>
      </c>
      <c r="C122" s="26" t="s">
        <v>336</v>
      </c>
      <c r="D122" s="26" t="s">
        <v>35</v>
      </c>
    </row>
    <row r="123" spans="1:4" x14ac:dyDescent="0.25">
      <c r="A123" s="26" t="s">
        <v>347</v>
      </c>
      <c r="B123" s="26" t="s">
        <v>348</v>
      </c>
      <c r="C123" s="26" t="s">
        <v>336</v>
      </c>
      <c r="D123" s="26" t="s">
        <v>35</v>
      </c>
    </row>
    <row r="124" spans="1:4" x14ac:dyDescent="0.25">
      <c r="A124" s="26" t="s">
        <v>349</v>
      </c>
      <c r="B124" s="26" t="s">
        <v>350</v>
      </c>
      <c r="C124" s="26" t="s">
        <v>351</v>
      </c>
      <c r="D124" s="26" t="s">
        <v>352</v>
      </c>
    </row>
    <row r="125" spans="1:4" x14ac:dyDescent="0.25">
      <c r="A125" s="26" t="s">
        <v>353</v>
      </c>
      <c r="B125" s="26" t="s">
        <v>354</v>
      </c>
      <c r="C125" s="26" t="s">
        <v>351</v>
      </c>
      <c r="D125" s="26" t="s">
        <v>355</v>
      </c>
    </row>
    <row r="126" spans="1:4" x14ac:dyDescent="0.25">
      <c r="A126" s="26" t="s">
        <v>356</v>
      </c>
      <c r="B126" s="26" t="s">
        <v>357</v>
      </c>
      <c r="C126" s="26" t="s">
        <v>351</v>
      </c>
      <c r="D126" s="26" t="s">
        <v>355</v>
      </c>
    </row>
    <row r="127" spans="1:4" x14ac:dyDescent="0.25">
      <c r="A127" s="26" t="s">
        <v>358</v>
      </c>
      <c r="B127" s="26" t="s">
        <v>350</v>
      </c>
      <c r="C127" s="26" t="s">
        <v>351</v>
      </c>
      <c r="D127" s="26" t="s">
        <v>359</v>
      </c>
    </row>
    <row r="128" spans="1:4" x14ac:dyDescent="0.25">
      <c r="A128" s="26" t="s">
        <v>360</v>
      </c>
      <c r="B128" s="26" t="s">
        <v>354</v>
      </c>
      <c r="C128" s="26" t="s">
        <v>351</v>
      </c>
      <c r="D128" s="26" t="s">
        <v>361</v>
      </c>
    </row>
    <row r="129" spans="1:4" x14ac:dyDescent="0.25">
      <c r="A129" s="26" t="s">
        <v>362</v>
      </c>
      <c r="B129" s="26" t="s">
        <v>363</v>
      </c>
      <c r="C129" s="26" t="s">
        <v>364</v>
      </c>
      <c r="D129" s="26" t="s">
        <v>35</v>
      </c>
    </row>
    <row r="130" spans="1:4" x14ac:dyDescent="0.25">
      <c r="A130" s="26" t="s">
        <v>365</v>
      </c>
      <c r="B130" s="26" t="s">
        <v>366</v>
      </c>
      <c r="C130" s="26" t="s">
        <v>364</v>
      </c>
      <c r="D130" s="26" t="s">
        <v>35</v>
      </c>
    </row>
    <row r="131" spans="1:4" x14ac:dyDescent="0.25">
      <c r="A131" s="26" t="s">
        <v>367</v>
      </c>
      <c r="B131" s="26" t="s">
        <v>368</v>
      </c>
      <c r="C131" s="26" t="s">
        <v>364</v>
      </c>
      <c r="D131" s="26" t="s">
        <v>35</v>
      </c>
    </row>
    <row r="132" spans="1:4" x14ac:dyDescent="0.25">
      <c r="A132" s="26" t="s">
        <v>369</v>
      </c>
      <c r="B132" s="26" t="s">
        <v>370</v>
      </c>
      <c r="C132" s="26" t="s">
        <v>364</v>
      </c>
      <c r="D132" s="26" t="s">
        <v>35</v>
      </c>
    </row>
    <row r="133" spans="1:4" x14ac:dyDescent="0.25">
      <c r="A133" s="26" t="s">
        <v>371</v>
      </c>
      <c r="B133" s="26" t="s">
        <v>372</v>
      </c>
      <c r="C133" s="26" t="s">
        <v>364</v>
      </c>
      <c r="D133" s="26" t="s">
        <v>35</v>
      </c>
    </row>
    <row r="134" spans="1:4" x14ac:dyDescent="0.25">
      <c r="A134" s="26" t="s">
        <v>373</v>
      </c>
      <c r="B134" s="26" t="s">
        <v>374</v>
      </c>
      <c r="C134" s="26" t="s">
        <v>364</v>
      </c>
      <c r="D134" s="26" t="s">
        <v>35</v>
      </c>
    </row>
    <row r="135" spans="1:4" x14ac:dyDescent="0.25">
      <c r="A135" s="26" t="s">
        <v>375</v>
      </c>
      <c r="B135" s="26" t="s">
        <v>376</v>
      </c>
      <c r="C135" s="26" t="s">
        <v>364</v>
      </c>
      <c r="D135" s="26" t="s">
        <v>35</v>
      </c>
    </row>
    <row r="136" spans="1:4" x14ac:dyDescent="0.25">
      <c r="A136" s="26" t="s">
        <v>377</v>
      </c>
      <c r="B136" s="26" t="s">
        <v>378</v>
      </c>
      <c r="C136" s="26" t="s">
        <v>364</v>
      </c>
      <c r="D136" s="26" t="s">
        <v>35</v>
      </c>
    </row>
    <row r="137" spans="1:4" x14ac:dyDescent="0.25">
      <c r="A137" s="26" t="s">
        <v>379</v>
      </c>
      <c r="B137" s="26" t="s">
        <v>380</v>
      </c>
      <c r="C137" s="26" t="s">
        <v>364</v>
      </c>
      <c r="D137" s="26" t="s">
        <v>35</v>
      </c>
    </row>
    <row r="138" spans="1:4" x14ac:dyDescent="0.25">
      <c r="A138" s="26" t="s">
        <v>381</v>
      </c>
      <c r="B138" s="26" t="s">
        <v>382</v>
      </c>
      <c r="C138" s="26" t="s">
        <v>364</v>
      </c>
      <c r="D138" s="26" t="s">
        <v>35</v>
      </c>
    </row>
    <row r="139" spans="1:4" x14ac:dyDescent="0.25">
      <c r="A139" s="26" t="s">
        <v>383</v>
      </c>
      <c r="B139" s="26" t="s">
        <v>384</v>
      </c>
      <c r="C139" s="26" t="s">
        <v>364</v>
      </c>
      <c r="D139" s="26" t="s">
        <v>35</v>
      </c>
    </row>
    <row r="140" spans="1:4" x14ac:dyDescent="0.25">
      <c r="A140" s="26" t="s">
        <v>385</v>
      </c>
      <c r="B140" s="26" t="s">
        <v>386</v>
      </c>
      <c r="C140" s="26" t="s">
        <v>364</v>
      </c>
      <c r="D140" s="26" t="s">
        <v>35</v>
      </c>
    </row>
    <row r="141" spans="1:4" x14ac:dyDescent="0.25">
      <c r="A141" s="26" t="s">
        <v>387</v>
      </c>
      <c r="B141" s="26" t="s">
        <v>45</v>
      </c>
      <c r="C141" s="26" t="s">
        <v>388</v>
      </c>
      <c r="D141" s="26" t="s">
        <v>35</v>
      </c>
    </row>
    <row r="142" spans="1:4" x14ac:dyDescent="0.25">
      <c r="A142" s="26" t="s">
        <v>389</v>
      </c>
      <c r="B142" s="26" t="s">
        <v>390</v>
      </c>
      <c r="C142" s="26" t="s">
        <v>388</v>
      </c>
      <c r="D142" s="26" t="s">
        <v>35</v>
      </c>
    </row>
    <row r="143" spans="1:4" x14ac:dyDescent="0.25">
      <c r="A143" s="26" t="s">
        <v>391</v>
      </c>
      <c r="B143" s="26" t="s">
        <v>392</v>
      </c>
      <c r="C143" s="26" t="s">
        <v>388</v>
      </c>
      <c r="D143" s="26" t="s">
        <v>35</v>
      </c>
    </row>
    <row r="144" spans="1:4" x14ac:dyDescent="0.25">
      <c r="A144" s="26" t="s">
        <v>393</v>
      </c>
      <c r="B144" s="26" t="s">
        <v>394</v>
      </c>
      <c r="C144" s="26" t="s">
        <v>388</v>
      </c>
      <c r="D144" s="26" t="s">
        <v>35</v>
      </c>
    </row>
    <row r="145" spans="1:4" x14ac:dyDescent="0.25">
      <c r="A145" s="26" t="s">
        <v>44</v>
      </c>
      <c r="B145" s="26" t="s">
        <v>45</v>
      </c>
      <c r="C145" s="26" t="s">
        <v>388</v>
      </c>
      <c r="D145" s="26" t="s">
        <v>46</v>
      </c>
    </row>
    <row r="146" spans="1:4" x14ac:dyDescent="0.25">
      <c r="A146" s="26" t="s">
        <v>395</v>
      </c>
      <c r="B146" s="26" t="s">
        <v>390</v>
      </c>
      <c r="C146" s="26" t="s">
        <v>388</v>
      </c>
      <c r="D146" s="26" t="s">
        <v>46</v>
      </c>
    </row>
    <row r="147" spans="1:4" x14ac:dyDescent="0.25">
      <c r="A147" s="26" t="s">
        <v>396</v>
      </c>
      <c r="B147" s="26" t="s">
        <v>397</v>
      </c>
      <c r="C147" s="26" t="s">
        <v>398</v>
      </c>
      <c r="D147" s="26" t="s">
        <v>352</v>
      </c>
    </row>
    <row r="148" spans="1:4" x14ac:dyDescent="0.25">
      <c r="A148" s="26" t="s">
        <v>399</v>
      </c>
      <c r="B148" s="26" t="s">
        <v>400</v>
      </c>
      <c r="C148" s="26" t="s">
        <v>398</v>
      </c>
      <c r="D148" s="26" t="s">
        <v>401</v>
      </c>
    </row>
    <row r="149" spans="1:4" x14ac:dyDescent="0.25">
      <c r="A149" s="26" t="s">
        <v>402</v>
      </c>
      <c r="B149" s="26" t="s">
        <v>397</v>
      </c>
      <c r="C149" s="26" t="s">
        <v>398</v>
      </c>
      <c r="D149" s="26" t="s">
        <v>355</v>
      </c>
    </row>
    <row r="150" spans="1:4" x14ac:dyDescent="0.25">
      <c r="A150" s="26" t="s">
        <v>403</v>
      </c>
      <c r="B150" s="26" t="s">
        <v>397</v>
      </c>
      <c r="C150" s="26" t="s">
        <v>398</v>
      </c>
      <c r="D150" s="26" t="s">
        <v>401</v>
      </c>
    </row>
    <row r="151" spans="1:4" x14ac:dyDescent="0.25">
      <c r="A151" s="26" t="s">
        <v>404</v>
      </c>
      <c r="B151" s="26" t="s">
        <v>382</v>
      </c>
      <c r="C151" s="26" t="s">
        <v>398</v>
      </c>
      <c r="D151" s="26" t="s">
        <v>352</v>
      </c>
    </row>
    <row r="152" spans="1:4" x14ac:dyDescent="0.25">
      <c r="A152" s="26" t="s">
        <v>405</v>
      </c>
      <c r="B152" s="26" t="s">
        <v>397</v>
      </c>
      <c r="C152" s="26" t="s">
        <v>398</v>
      </c>
      <c r="D152" s="26" t="s">
        <v>361</v>
      </c>
    </row>
    <row r="153" spans="1:4" x14ac:dyDescent="0.25">
      <c r="A153" s="26" t="s">
        <v>406</v>
      </c>
      <c r="B153" s="26" t="s">
        <v>407</v>
      </c>
      <c r="C153" s="26" t="s">
        <v>408</v>
      </c>
      <c r="D153" s="26" t="s">
        <v>35</v>
      </c>
    </row>
    <row r="154" spans="1:4" x14ac:dyDescent="0.25">
      <c r="A154" s="26" t="s">
        <v>409</v>
      </c>
      <c r="B154" s="26" t="s">
        <v>410</v>
      </c>
      <c r="C154" s="26" t="s">
        <v>408</v>
      </c>
      <c r="D154" s="26" t="s">
        <v>35</v>
      </c>
    </row>
    <row r="155" spans="1:4" x14ac:dyDescent="0.25">
      <c r="A155" s="26" t="s">
        <v>411</v>
      </c>
      <c r="B155" s="26" t="s">
        <v>412</v>
      </c>
      <c r="C155" s="26" t="s">
        <v>408</v>
      </c>
      <c r="D155" s="26" t="s">
        <v>35</v>
      </c>
    </row>
    <row r="156" spans="1:4" x14ac:dyDescent="0.25">
      <c r="A156" s="26" t="s">
        <v>413</v>
      </c>
      <c r="B156" s="26" t="s">
        <v>414</v>
      </c>
      <c r="C156" s="26" t="s">
        <v>408</v>
      </c>
      <c r="D156" s="26" t="s">
        <v>415</v>
      </c>
    </row>
    <row r="157" spans="1:4" x14ac:dyDescent="0.25">
      <c r="A157" s="26" t="s">
        <v>416</v>
      </c>
      <c r="B157" s="26" t="s">
        <v>417</v>
      </c>
      <c r="C157" s="26" t="s">
        <v>408</v>
      </c>
      <c r="D157" s="26" t="s">
        <v>415</v>
      </c>
    </row>
    <row r="158" spans="1:4" x14ac:dyDescent="0.25">
      <c r="A158" s="26" t="s">
        <v>418</v>
      </c>
      <c r="B158" s="26" t="s">
        <v>419</v>
      </c>
      <c r="C158" s="26" t="s">
        <v>408</v>
      </c>
      <c r="D158" s="26" t="s">
        <v>35</v>
      </c>
    </row>
    <row r="159" spans="1:4" x14ac:dyDescent="0.25">
      <c r="A159" s="26" t="s">
        <v>420</v>
      </c>
      <c r="B159" s="26" t="s">
        <v>421</v>
      </c>
      <c r="C159" s="26" t="s">
        <v>408</v>
      </c>
      <c r="D159" s="26" t="s">
        <v>314</v>
      </c>
    </row>
    <row r="160" spans="1:4" x14ac:dyDescent="0.25">
      <c r="A160" s="26" t="s">
        <v>422</v>
      </c>
      <c r="B160" s="26" t="s">
        <v>423</v>
      </c>
      <c r="C160" s="26" t="s">
        <v>424</v>
      </c>
      <c r="D160" s="26" t="s">
        <v>35</v>
      </c>
    </row>
    <row r="161" spans="1:4" x14ac:dyDescent="0.25">
      <c r="A161" s="26" t="s">
        <v>425</v>
      </c>
      <c r="B161" s="26" t="s">
        <v>426</v>
      </c>
      <c r="C161" s="26" t="s">
        <v>424</v>
      </c>
      <c r="D161" s="26" t="s">
        <v>35</v>
      </c>
    </row>
    <row r="162" spans="1:4" x14ac:dyDescent="0.25">
      <c r="A162" s="26" t="s">
        <v>427</v>
      </c>
      <c r="B162" s="26" t="s">
        <v>428</v>
      </c>
      <c r="C162" s="26" t="s">
        <v>424</v>
      </c>
      <c r="D162" s="26" t="s">
        <v>35</v>
      </c>
    </row>
    <row r="163" spans="1:4" x14ac:dyDescent="0.25">
      <c r="A163" s="26" t="s">
        <v>429</v>
      </c>
      <c r="B163" s="26" t="s">
        <v>430</v>
      </c>
      <c r="C163" s="26" t="s">
        <v>431</v>
      </c>
      <c r="D163" s="26" t="s">
        <v>35</v>
      </c>
    </row>
    <row r="164" spans="1:4" x14ac:dyDescent="0.25">
      <c r="A164" s="26" t="s">
        <v>432</v>
      </c>
      <c r="B164" s="26" t="s">
        <v>433</v>
      </c>
      <c r="C164" s="26" t="s">
        <v>431</v>
      </c>
      <c r="D164" s="26" t="s">
        <v>415</v>
      </c>
    </row>
    <row r="165" spans="1:4" x14ac:dyDescent="0.25">
      <c r="A165" s="26" t="s">
        <v>434</v>
      </c>
      <c r="B165" s="26" t="s">
        <v>435</v>
      </c>
      <c r="C165" s="26" t="s">
        <v>431</v>
      </c>
      <c r="D165" s="26" t="s">
        <v>35</v>
      </c>
    </row>
    <row r="166" spans="1:4" x14ac:dyDescent="0.25">
      <c r="A166" s="26" t="s">
        <v>436</v>
      </c>
      <c r="B166" s="26" t="s">
        <v>437</v>
      </c>
      <c r="C166" s="26" t="s">
        <v>438</v>
      </c>
      <c r="D166" s="26" t="s">
        <v>35</v>
      </c>
    </row>
    <row r="167" spans="1:4" x14ac:dyDescent="0.25">
      <c r="A167" s="26" t="s">
        <v>439</v>
      </c>
      <c r="B167" s="26" t="s">
        <v>440</v>
      </c>
      <c r="C167" s="26" t="s">
        <v>438</v>
      </c>
      <c r="D167" s="26" t="s">
        <v>441</v>
      </c>
    </row>
    <row r="168" spans="1:4" x14ac:dyDescent="0.25">
      <c r="A168" s="26" t="s">
        <v>56</v>
      </c>
      <c r="B168" s="26" t="s">
        <v>57</v>
      </c>
      <c r="C168" s="26" t="s">
        <v>438</v>
      </c>
      <c r="D168" s="26" t="s">
        <v>58</v>
      </c>
    </row>
    <row r="169" spans="1:4" x14ac:dyDescent="0.25">
      <c r="A169" s="26" t="s">
        <v>442</v>
      </c>
      <c r="B169" s="26" t="s">
        <v>443</v>
      </c>
      <c r="C169" s="26" t="s">
        <v>438</v>
      </c>
      <c r="D169" s="26" t="s">
        <v>415</v>
      </c>
    </row>
    <row r="170" spans="1:4" x14ac:dyDescent="0.25">
      <c r="A170" s="26" t="s">
        <v>444</v>
      </c>
      <c r="B170" s="26" t="s">
        <v>445</v>
      </c>
      <c r="C170" s="26" t="s">
        <v>438</v>
      </c>
      <c r="D170" s="26" t="s">
        <v>446</v>
      </c>
    </row>
    <row r="171" spans="1:4" x14ac:dyDescent="0.25">
      <c r="A171" s="26" t="s">
        <v>447</v>
      </c>
      <c r="B171" s="26" t="s">
        <v>448</v>
      </c>
      <c r="C171" s="26" t="s">
        <v>438</v>
      </c>
      <c r="D171" s="26" t="s">
        <v>314</v>
      </c>
    </row>
    <row r="172" spans="1:4" x14ac:dyDescent="0.25">
      <c r="A172" s="26" t="s">
        <v>449</v>
      </c>
      <c r="B172" s="26" t="s">
        <v>450</v>
      </c>
      <c r="C172" s="26" t="s">
        <v>438</v>
      </c>
      <c r="D172" s="26" t="s">
        <v>441</v>
      </c>
    </row>
    <row r="173" spans="1:4" x14ac:dyDescent="0.25">
      <c r="A173" s="26" t="s">
        <v>451</v>
      </c>
      <c r="B173" s="26" t="s">
        <v>452</v>
      </c>
      <c r="C173" s="26" t="s">
        <v>453</v>
      </c>
      <c r="D173" s="26" t="s">
        <v>415</v>
      </c>
    </row>
    <row r="174" spans="1:4" x14ac:dyDescent="0.25">
      <c r="A174" s="26" t="s">
        <v>454</v>
      </c>
      <c r="B174" s="26" t="s">
        <v>455</v>
      </c>
      <c r="C174" s="26" t="s">
        <v>453</v>
      </c>
      <c r="D174" s="26" t="s">
        <v>314</v>
      </c>
    </row>
    <row r="175" spans="1:4" x14ac:dyDescent="0.25">
      <c r="A175" s="26" t="s">
        <v>456</v>
      </c>
      <c r="B175" s="26" t="s">
        <v>457</v>
      </c>
      <c r="C175" s="26" t="s">
        <v>453</v>
      </c>
      <c r="D175" s="26" t="s">
        <v>458</v>
      </c>
    </row>
    <row r="176" spans="1:4" x14ac:dyDescent="0.25">
      <c r="A176" s="26" t="s">
        <v>459</v>
      </c>
      <c r="B176" s="26" t="s">
        <v>460</v>
      </c>
      <c r="C176" s="26" t="s">
        <v>453</v>
      </c>
      <c r="D176" s="26" t="s">
        <v>314</v>
      </c>
    </row>
    <row r="177" spans="1:4" x14ac:dyDescent="0.25">
      <c r="A177" s="26" t="s">
        <v>461</v>
      </c>
      <c r="B177" s="26" t="s">
        <v>462</v>
      </c>
      <c r="C177" s="26" t="s">
        <v>463</v>
      </c>
      <c r="D177" s="26" t="s">
        <v>464</v>
      </c>
    </row>
    <row r="178" spans="1:4" x14ac:dyDescent="0.25">
      <c r="A178" s="26" t="s">
        <v>465</v>
      </c>
      <c r="B178" s="26" t="s">
        <v>466</v>
      </c>
      <c r="C178" s="26" t="s">
        <v>463</v>
      </c>
      <c r="D178" s="26" t="s">
        <v>464</v>
      </c>
    </row>
    <row r="179" spans="1:4" x14ac:dyDescent="0.25">
      <c r="A179" s="26" t="s">
        <v>467</v>
      </c>
      <c r="B179" s="26" t="s">
        <v>468</v>
      </c>
      <c r="C179" s="26" t="s">
        <v>463</v>
      </c>
      <c r="D179" s="26" t="s">
        <v>46</v>
      </c>
    </row>
    <row r="180" spans="1:4" x14ac:dyDescent="0.25">
      <c r="A180" s="26" t="s">
        <v>469</v>
      </c>
      <c r="B180" s="26" t="s">
        <v>470</v>
      </c>
      <c r="C180" s="26" t="s">
        <v>463</v>
      </c>
      <c r="D180" s="26" t="s">
        <v>471</v>
      </c>
    </row>
    <row r="181" spans="1:4" x14ac:dyDescent="0.25">
      <c r="A181" s="26" t="s">
        <v>472</v>
      </c>
      <c r="B181" s="26" t="s">
        <v>473</v>
      </c>
      <c r="C181" s="26" t="s">
        <v>463</v>
      </c>
      <c r="D181" s="26" t="s">
        <v>474</v>
      </c>
    </row>
    <row r="182" spans="1:4" x14ac:dyDescent="0.25">
      <c r="A182" s="26" t="s">
        <v>475</v>
      </c>
      <c r="B182" s="26" t="s">
        <v>476</v>
      </c>
      <c r="C182" s="26" t="s">
        <v>463</v>
      </c>
      <c r="D182" s="26" t="s">
        <v>458</v>
      </c>
    </row>
    <row r="183" spans="1:4" x14ac:dyDescent="0.25">
      <c r="A183" s="26" t="s">
        <v>477</v>
      </c>
      <c r="B183" s="26" t="s">
        <v>478</v>
      </c>
      <c r="C183" s="26" t="s">
        <v>463</v>
      </c>
      <c r="D183" s="26" t="s">
        <v>479</v>
      </c>
    </row>
    <row r="184" spans="1:4" x14ac:dyDescent="0.25">
      <c r="A184" s="26" t="s">
        <v>480</v>
      </c>
      <c r="B184" s="26" t="s">
        <v>470</v>
      </c>
      <c r="C184" s="26" t="s">
        <v>463</v>
      </c>
      <c r="D184" s="26" t="s">
        <v>464</v>
      </c>
    </row>
    <row r="185" spans="1:4" x14ac:dyDescent="0.25">
      <c r="A185" s="26" t="s">
        <v>481</v>
      </c>
      <c r="B185" s="26" t="s">
        <v>478</v>
      </c>
      <c r="C185" s="26" t="s">
        <v>463</v>
      </c>
      <c r="D185" s="26" t="s">
        <v>464</v>
      </c>
    </row>
    <row r="186" spans="1:4" x14ac:dyDescent="0.25">
      <c r="A186" s="26" t="s">
        <v>482</v>
      </c>
      <c r="B186" s="26" t="s">
        <v>483</v>
      </c>
      <c r="C186" s="26" t="s">
        <v>463</v>
      </c>
      <c r="D186" s="26" t="s">
        <v>479</v>
      </c>
    </row>
    <row r="187" spans="1:4" x14ac:dyDescent="0.25">
      <c r="A187" s="26" t="s">
        <v>484</v>
      </c>
      <c r="B187" s="26" t="s">
        <v>485</v>
      </c>
      <c r="C187" s="26" t="s">
        <v>463</v>
      </c>
      <c r="D187" s="26" t="s">
        <v>46</v>
      </c>
    </row>
    <row r="188" spans="1:4" x14ac:dyDescent="0.25">
      <c r="A188" s="26" t="s">
        <v>486</v>
      </c>
      <c r="B188" s="26" t="s">
        <v>468</v>
      </c>
      <c r="C188" s="26" t="s">
        <v>463</v>
      </c>
      <c r="D188" s="26" t="s">
        <v>474</v>
      </c>
    </row>
    <row r="189" spans="1:4" x14ac:dyDescent="0.25">
      <c r="A189" s="26" t="s">
        <v>487</v>
      </c>
      <c r="B189" s="26" t="s">
        <v>488</v>
      </c>
      <c r="C189" s="26" t="s">
        <v>489</v>
      </c>
      <c r="D189" s="26" t="s">
        <v>490</v>
      </c>
    </row>
    <row r="190" spans="1:4" x14ac:dyDescent="0.25">
      <c r="A190" s="26" t="s">
        <v>491</v>
      </c>
      <c r="B190" s="26" t="s">
        <v>492</v>
      </c>
      <c r="C190" s="26" t="s">
        <v>489</v>
      </c>
      <c r="D190" s="26" t="s">
        <v>493</v>
      </c>
    </row>
    <row r="191" spans="1:4" x14ac:dyDescent="0.25">
      <c r="A191" s="26" t="s">
        <v>494</v>
      </c>
      <c r="B191" s="26" t="s">
        <v>495</v>
      </c>
      <c r="C191" s="26" t="s">
        <v>489</v>
      </c>
      <c r="D191" s="26" t="s">
        <v>194</v>
      </c>
    </row>
    <row r="192" spans="1:4" x14ac:dyDescent="0.25">
      <c r="A192" s="26" t="s">
        <v>496</v>
      </c>
      <c r="B192" s="26" t="s">
        <v>497</v>
      </c>
      <c r="C192" s="26" t="s">
        <v>489</v>
      </c>
      <c r="D192" s="26" t="s">
        <v>490</v>
      </c>
    </row>
    <row r="193" spans="1:4" x14ac:dyDescent="0.25">
      <c r="A193" s="26" t="s">
        <v>498</v>
      </c>
      <c r="B193" s="26" t="s">
        <v>499</v>
      </c>
      <c r="C193" s="26" t="s">
        <v>489</v>
      </c>
      <c r="D193" s="26" t="s">
        <v>194</v>
      </c>
    </row>
    <row r="194" spans="1:4" x14ac:dyDescent="0.25">
      <c r="A194" s="26" t="s">
        <v>500</v>
      </c>
      <c r="B194" s="26" t="s">
        <v>501</v>
      </c>
      <c r="C194" s="26" t="s">
        <v>408</v>
      </c>
      <c r="D194" s="26" t="s">
        <v>314</v>
      </c>
    </row>
    <row r="195" spans="1:4" x14ac:dyDescent="0.25">
      <c r="A195" s="26" t="s">
        <v>502</v>
      </c>
      <c r="B195" s="26" t="s">
        <v>501</v>
      </c>
      <c r="C195" s="26" t="s">
        <v>408</v>
      </c>
      <c r="D195" s="26" t="s">
        <v>415</v>
      </c>
    </row>
    <row r="196" spans="1:4" x14ac:dyDescent="0.25">
      <c r="A196" s="26" t="s">
        <v>503</v>
      </c>
      <c r="B196" s="26" t="s">
        <v>504</v>
      </c>
      <c r="C196" s="26" t="s">
        <v>489</v>
      </c>
      <c r="D196" s="26" t="s">
        <v>505</v>
      </c>
    </row>
    <row r="197" spans="1:4" x14ac:dyDescent="0.25">
      <c r="A197" s="26" t="s">
        <v>506</v>
      </c>
      <c r="B197" s="26" t="s">
        <v>499</v>
      </c>
      <c r="C197" s="26" t="s">
        <v>489</v>
      </c>
      <c r="D197" s="26" t="s">
        <v>507</v>
      </c>
    </row>
    <row r="198" spans="1:4" x14ac:dyDescent="0.25">
      <c r="A198" s="26" t="s">
        <v>508</v>
      </c>
      <c r="B198" s="26" t="s">
        <v>509</v>
      </c>
      <c r="C198" s="26" t="s">
        <v>489</v>
      </c>
      <c r="D198" s="26" t="s">
        <v>510</v>
      </c>
    </row>
    <row r="199" spans="1:4" x14ac:dyDescent="0.25">
      <c r="A199" s="26" t="s">
        <v>511</v>
      </c>
      <c r="B199" s="26" t="s">
        <v>492</v>
      </c>
      <c r="C199" s="26" t="s">
        <v>489</v>
      </c>
      <c r="D199" s="26" t="s">
        <v>512</v>
      </c>
    </row>
    <row r="200" spans="1:4" x14ac:dyDescent="0.25">
      <c r="A200" s="26" t="s">
        <v>513</v>
      </c>
      <c r="B200" s="26" t="s">
        <v>488</v>
      </c>
      <c r="C200" s="26" t="s">
        <v>489</v>
      </c>
      <c r="D200" s="26" t="s">
        <v>514</v>
      </c>
    </row>
    <row r="201" spans="1:4" x14ac:dyDescent="0.25">
      <c r="A201" s="26" t="s">
        <v>515</v>
      </c>
      <c r="B201" s="26" t="s">
        <v>497</v>
      </c>
      <c r="C201" s="26" t="s">
        <v>489</v>
      </c>
      <c r="D201" s="26" t="s">
        <v>514</v>
      </c>
    </row>
    <row r="202" spans="1:4" x14ac:dyDescent="0.25">
      <c r="A202" s="26" t="s">
        <v>516</v>
      </c>
      <c r="B202" s="26" t="s">
        <v>517</v>
      </c>
      <c r="C202" s="26" t="s">
        <v>489</v>
      </c>
      <c r="D202" s="26" t="s">
        <v>518</v>
      </c>
    </row>
    <row r="203" spans="1:4" x14ac:dyDescent="0.25">
      <c r="A203" s="26" t="s">
        <v>519</v>
      </c>
      <c r="B203" s="26" t="s">
        <v>492</v>
      </c>
      <c r="C203" s="26" t="s">
        <v>489</v>
      </c>
      <c r="D203" s="26" t="s">
        <v>520</v>
      </c>
    </row>
    <row r="204" spans="1:4" x14ac:dyDescent="0.25">
      <c r="A204" s="26" t="s">
        <v>521</v>
      </c>
      <c r="B204" s="26" t="s">
        <v>509</v>
      </c>
      <c r="C204" s="26" t="s">
        <v>489</v>
      </c>
      <c r="D204" s="26" t="s">
        <v>194</v>
      </c>
    </row>
    <row r="205" spans="1:4" x14ac:dyDescent="0.25">
      <c r="A205" s="26" t="s">
        <v>522</v>
      </c>
      <c r="B205" s="26" t="s">
        <v>523</v>
      </c>
      <c r="C205" s="26" t="s">
        <v>524</v>
      </c>
      <c r="D205" s="26" t="s">
        <v>525</v>
      </c>
    </row>
    <row r="206" spans="1:4" x14ac:dyDescent="0.25">
      <c r="A206" s="26" t="s">
        <v>526</v>
      </c>
      <c r="B206" s="26" t="s">
        <v>527</v>
      </c>
      <c r="C206" s="26" t="s">
        <v>524</v>
      </c>
      <c r="D206" s="26" t="s">
        <v>190</v>
      </c>
    </row>
    <row r="207" spans="1:4" x14ac:dyDescent="0.25">
      <c r="A207" s="26" t="s">
        <v>528</v>
      </c>
      <c r="B207" s="26" t="s">
        <v>529</v>
      </c>
      <c r="C207" s="26" t="s">
        <v>530</v>
      </c>
      <c r="D207" s="26" t="s">
        <v>531</v>
      </c>
    </row>
    <row r="208" spans="1:4" x14ac:dyDescent="0.25">
      <c r="A208" s="26" t="s">
        <v>532</v>
      </c>
      <c r="B208" s="26" t="s">
        <v>533</v>
      </c>
      <c r="C208" s="26" t="s">
        <v>534</v>
      </c>
      <c r="D208" s="26" t="s">
        <v>531</v>
      </c>
    </row>
    <row r="209" spans="1:4" x14ac:dyDescent="0.25">
      <c r="A209" s="26" t="s">
        <v>535</v>
      </c>
      <c r="B209" s="26" t="s">
        <v>536</v>
      </c>
      <c r="C209" s="26" t="s">
        <v>534</v>
      </c>
      <c r="D209" s="26" t="s">
        <v>531</v>
      </c>
    </row>
    <row r="210" spans="1:4" x14ac:dyDescent="0.25">
      <c r="A210" s="26" t="s">
        <v>537</v>
      </c>
      <c r="B210" s="26" t="s">
        <v>538</v>
      </c>
      <c r="C210" s="26" t="s">
        <v>534</v>
      </c>
      <c r="D210" s="26" t="s">
        <v>531</v>
      </c>
    </row>
    <row r="211" spans="1:4" x14ac:dyDescent="0.25">
      <c r="A211" s="26" t="s">
        <v>539</v>
      </c>
      <c r="B211" s="26" t="s">
        <v>540</v>
      </c>
      <c r="C211" s="26" t="s">
        <v>541</v>
      </c>
      <c r="D211" s="26" t="s">
        <v>542</v>
      </c>
    </row>
    <row r="212" spans="1:4" x14ac:dyDescent="0.25">
      <c r="A212" s="26" t="s">
        <v>543</v>
      </c>
      <c r="B212" s="26" t="s">
        <v>544</v>
      </c>
      <c r="C212" s="26" t="s">
        <v>541</v>
      </c>
      <c r="D212" s="26" t="s">
        <v>542</v>
      </c>
    </row>
    <row r="213" spans="1:4" x14ac:dyDescent="0.25">
      <c r="A213" s="26" t="s">
        <v>545</v>
      </c>
      <c r="B213" s="26" t="s">
        <v>546</v>
      </c>
      <c r="C213" s="26" t="s">
        <v>547</v>
      </c>
      <c r="D213" s="26" t="s">
        <v>35</v>
      </c>
    </row>
    <row r="214" spans="1:4" x14ac:dyDescent="0.25">
      <c r="A214" s="26" t="s">
        <v>548</v>
      </c>
      <c r="B214" s="26" t="s">
        <v>549</v>
      </c>
      <c r="C214" s="26" t="s">
        <v>547</v>
      </c>
      <c r="D214" s="26" t="s">
        <v>35</v>
      </c>
    </row>
    <row r="215" spans="1:4" x14ac:dyDescent="0.25">
      <c r="A215" s="26" t="s">
        <v>550</v>
      </c>
      <c r="B215" s="26" t="s">
        <v>551</v>
      </c>
      <c r="C215" s="26" t="s">
        <v>547</v>
      </c>
      <c r="D215" s="26" t="s">
        <v>35</v>
      </c>
    </row>
    <row r="216" spans="1:4" x14ac:dyDescent="0.25">
      <c r="A216" s="26" t="s">
        <v>552</v>
      </c>
      <c r="B216" s="26" t="s">
        <v>553</v>
      </c>
      <c r="C216" s="26" t="s">
        <v>547</v>
      </c>
      <c r="D216" s="26" t="s">
        <v>35</v>
      </c>
    </row>
    <row r="217" spans="1:4" x14ac:dyDescent="0.25">
      <c r="A217" s="26" t="s">
        <v>59</v>
      </c>
      <c r="B217" s="26" t="s">
        <v>60</v>
      </c>
      <c r="C217" s="26" t="s">
        <v>547</v>
      </c>
      <c r="D217" s="26" t="s">
        <v>61</v>
      </c>
    </row>
    <row r="218" spans="1:4" x14ac:dyDescent="0.25">
      <c r="A218" s="26" t="s">
        <v>554</v>
      </c>
      <c r="B218" s="26" t="s">
        <v>555</v>
      </c>
      <c r="C218" s="26" t="s">
        <v>547</v>
      </c>
      <c r="D218" s="26" t="s">
        <v>464</v>
      </c>
    </row>
    <row r="219" spans="1:4" x14ac:dyDescent="0.25">
      <c r="A219" s="26" t="s">
        <v>556</v>
      </c>
      <c r="B219" s="26" t="s">
        <v>553</v>
      </c>
      <c r="C219" s="26" t="s">
        <v>547</v>
      </c>
      <c r="D219" s="26" t="s">
        <v>61</v>
      </c>
    </row>
    <row r="220" spans="1:4" x14ac:dyDescent="0.25">
      <c r="A220" s="26" t="s">
        <v>557</v>
      </c>
      <c r="B220" s="26" t="s">
        <v>558</v>
      </c>
      <c r="C220" s="26" t="s">
        <v>559</v>
      </c>
      <c r="D220" s="26" t="s">
        <v>531</v>
      </c>
    </row>
    <row r="221" spans="1:4" x14ac:dyDescent="0.25">
      <c r="A221" s="26" t="s">
        <v>560</v>
      </c>
      <c r="B221" s="26" t="s">
        <v>561</v>
      </c>
      <c r="C221" s="26" t="s">
        <v>559</v>
      </c>
      <c r="D221" s="26" t="s">
        <v>531</v>
      </c>
    </row>
    <row r="222" spans="1:4" x14ac:dyDescent="0.25">
      <c r="A222" s="26" t="s">
        <v>562</v>
      </c>
      <c r="B222" s="26" t="s">
        <v>563</v>
      </c>
      <c r="C222" s="26" t="s">
        <v>559</v>
      </c>
      <c r="D222" s="26" t="s">
        <v>531</v>
      </c>
    </row>
    <row r="223" spans="1:4" x14ac:dyDescent="0.25">
      <c r="A223" s="26" t="s">
        <v>564</v>
      </c>
      <c r="B223" s="26" t="s">
        <v>558</v>
      </c>
      <c r="C223" s="26" t="s">
        <v>559</v>
      </c>
      <c r="D223" s="26" t="s">
        <v>565</v>
      </c>
    </row>
    <row r="224" spans="1:4" x14ac:dyDescent="0.25">
      <c r="A224" s="26" t="s">
        <v>566</v>
      </c>
      <c r="B224" s="26" t="s">
        <v>567</v>
      </c>
      <c r="C224" s="26" t="s">
        <v>568</v>
      </c>
      <c r="D224" s="26" t="s">
        <v>569</v>
      </c>
    </row>
    <row r="225" spans="1:4" x14ac:dyDescent="0.25">
      <c r="A225" s="26" t="s">
        <v>570</v>
      </c>
      <c r="B225" s="26" t="s">
        <v>571</v>
      </c>
      <c r="C225" s="26" t="s">
        <v>568</v>
      </c>
      <c r="D225" s="26" t="s">
        <v>572</v>
      </c>
    </row>
    <row r="226" spans="1:4" x14ac:dyDescent="0.25">
      <c r="A226" s="26" t="s">
        <v>573</v>
      </c>
      <c r="B226" s="26" t="s">
        <v>574</v>
      </c>
      <c r="C226" s="26" t="s">
        <v>575</v>
      </c>
      <c r="D226" s="26" t="s">
        <v>58</v>
      </c>
    </row>
    <row r="227" spans="1:4" x14ac:dyDescent="0.25">
      <c r="A227" s="26" t="s">
        <v>576</v>
      </c>
      <c r="B227" s="26" t="s">
        <v>577</v>
      </c>
      <c r="C227" s="26" t="s">
        <v>575</v>
      </c>
      <c r="D227" s="26" t="s">
        <v>58</v>
      </c>
    </row>
    <row r="228" spans="1:4" x14ac:dyDescent="0.25">
      <c r="A228" s="26" t="s">
        <v>578</v>
      </c>
      <c r="B228" s="26" t="s">
        <v>544</v>
      </c>
      <c r="C228" s="26" t="s">
        <v>541</v>
      </c>
      <c r="D228" s="26" t="s">
        <v>579</v>
      </c>
    </row>
    <row r="229" spans="1:4" x14ac:dyDescent="0.25">
      <c r="A229" s="26" t="s">
        <v>580</v>
      </c>
      <c r="B229" s="26" t="s">
        <v>540</v>
      </c>
      <c r="C229" s="26" t="s">
        <v>541</v>
      </c>
      <c r="D229" s="26" t="s">
        <v>579</v>
      </c>
    </row>
    <row r="230" spans="1:4" x14ac:dyDescent="0.25">
      <c r="A230" s="26" t="s">
        <v>581</v>
      </c>
      <c r="B230" s="26" t="s">
        <v>582</v>
      </c>
      <c r="C230" s="26" t="s">
        <v>583</v>
      </c>
      <c r="D230" s="26" t="s">
        <v>531</v>
      </c>
    </row>
    <row r="231" spans="1:4" x14ac:dyDescent="0.25">
      <c r="A231" s="26" t="s">
        <v>584</v>
      </c>
      <c r="B231" s="26" t="s">
        <v>585</v>
      </c>
      <c r="C231" s="26" t="s">
        <v>583</v>
      </c>
      <c r="D231" s="26" t="s">
        <v>531</v>
      </c>
    </row>
    <row r="232" spans="1:4" x14ac:dyDescent="0.25">
      <c r="A232" s="26" t="s">
        <v>586</v>
      </c>
      <c r="B232" s="26" t="s">
        <v>587</v>
      </c>
      <c r="C232" s="26" t="s">
        <v>583</v>
      </c>
      <c r="D232" s="26" t="s">
        <v>531</v>
      </c>
    </row>
    <row r="233" spans="1:4" x14ac:dyDescent="0.25">
      <c r="A233" s="26" t="s">
        <v>588</v>
      </c>
      <c r="B233" s="26" t="s">
        <v>589</v>
      </c>
      <c r="C233" s="26" t="s">
        <v>583</v>
      </c>
      <c r="D233" s="26" t="s">
        <v>590</v>
      </c>
    </row>
    <row r="234" spans="1:4" x14ac:dyDescent="0.25">
      <c r="A234" s="26" t="s">
        <v>591</v>
      </c>
      <c r="B234" s="26" t="s">
        <v>589</v>
      </c>
      <c r="C234" s="26" t="s">
        <v>583</v>
      </c>
      <c r="D234" s="26" t="s">
        <v>592</v>
      </c>
    </row>
    <row r="235" spans="1:4" x14ac:dyDescent="0.25">
      <c r="A235" s="26" t="s">
        <v>593</v>
      </c>
      <c r="B235" s="26" t="s">
        <v>594</v>
      </c>
      <c r="C235" s="26" t="s">
        <v>595</v>
      </c>
      <c r="D235" s="26" t="s">
        <v>596</v>
      </c>
    </row>
    <row r="236" spans="1:4" x14ac:dyDescent="0.25">
      <c r="A236" s="26" t="s">
        <v>597</v>
      </c>
      <c r="B236" s="26" t="s">
        <v>598</v>
      </c>
      <c r="C236" s="26" t="s">
        <v>595</v>
      </c>
      <c r="D236" s="26" t="s">
        <v>599</v>
      </c>
    </row>
    <row r="237" spans="1:4" x14ac:dyDescent="0.25">
      <c r="A237" s="26" t="s">
        <v>600</v>
      </c>
      <c r="B237" s="26" t="s">
        <v>601</v>
      </c>
      <c r="C237" s="26" t="s">
        <v>595</v>
      </c>
      <c r="D237" s="26" t="s">
        <v>602</v>
      </c>
    </row>
    <row r="238" spans="1:4" x14ac:dyDescent="0.25">
      <c r="A238" s="26" t="s">
        <v>603</v>
      </c>
      <c r="B238" s="26" t="s">
        <v>604</v>
      </c>
      <c r="C238" s="26" t="s">
        <v>605</v>
      </c>
      <c r="D238" s="26" t="s">
        <v>606</v>
      </c>
    </row>
    <row r="239" spans="1:4" x14ac:dyDescent="0.25">
      <c r="A239" s="26" t="s">
        <v>607</v>
      </c>
      <c r="B239" s="26" t="s">
        <v>608</v>
      </c>
      <c r="C239" s="26" t="s">
        <v>605</v>
      </c>
      <c r="D239" s="26" t="s">
        <v>609</v>
      </c>
    </row>
    <row r="240" spans="1:4" x14ac:dyDescent="0.25">
      <c r="A240" s="26" t="s">
        <v>610</v>
      </c>
      <c r="B240" s="26" t="s">
        <v>611</v>
      </c>
      <c r="C240" s="26" t="s">
        <v>605</v>
      </c>
      <c r="D240" s="26" t="s">
        <v>609</v>
      </c>
    </row>
    <row r="241" spans="1:4" x14ac:dyDescent="0.25">
      <c r="A241" s="26" t="s">
        <v>612</v>
      </c>
      <c r="B241" s="26" t="s">
        <v>613</v>
      </c>
      <c r="C241" s="26" t="s">
        <v>605</v>
      </c>
      <c r="D241" s="26" t="s">
        <v>67</v>
      </c>
    </row>
    <row r="242" spans="1:4" x14ac:dyDescent="0.25">
      <c r="A242" s="26" t="s">
        <v>614</v>
      </c>
      <c r="B242" s="26" t="s">
        <v>594</v>
      </c>
      <c r="C242" s="26" t="s">
        <v>595</v>
      </c>
      <c r="D242" s="26" t="s">
        <v>615</v>
      </c>
    </row>
    <row r="243" spans="1:4" x14ac:dyDescent="0.25">
      <c r="A243" s="26" t="s">
        <v>616</v>
      </c>
      <c r="B243" s="26" t="s">
        <v>617</v>
      </c>
      <c r="C243" s="26" t="s">
        <v>595</v>
      </c>
      <c r="D243" s="26" t="s">
        <v>618</v>
      </c>
    </row>
    <row r="244" spans="1:4" x14ac:dyDescent="0.25">
      <c r="A244" s="26" t="s">
        <v>619</v>
      </c>
      <c r="B244" s="26" t="s">
        <v>620</v>
      </c>
      <c r="C244" s="26" t="s">
        <v>595</v>
      </c>
      <c r="D244" s="26" t="s">
        <v>621</v>
      </c>
    </row>
    <row r="245" spans="1:4" x14ac:dyDescent="0.25">
      <c r="A245" s="26" t="s">
        <v>622</v>
      </c>
      <c r="B245" s="26" t="s">
        <v>620</v>
      </c>
      <c r="C245" s="26" t="s">
        <v>595</v>
      </c>
      <c r="D245" s="26" t="s">
        <v>623</v>
      </c>
    </row>
    <row r="246" spans="1:4" x14ac:dyDescent="0.25">
      <c r="A246" s="26" t="s">
        <v>624</v>
      </c>
      <c r="B246" s="26" t="s">
        <v>598</v>
      </c>
      <c r="C246" s="26" t="s">
        <v>595</v>
      </c>
      <c r="D246" s="26" t="s">
        <v>625</v>
      </c>
    </row>
    <row r="247" spans="1:4" x14ac:dyDescent="0.25">
      <c r="A247" s="26" t="s">
        <v>626</v>
      </c>
      <c r="B247" s="26" t="s">
        <v>627</v>
      </c>
      <c r="C247" s="26" t="s">
        <v>628</v>
      </c>
      <c r="D247" s="26" t="s">
        <v>629</v>
      </c>
    </row>
    <row r="248" spans="1:4" x14ac:dyDescent="0.25">
      <c r="A248" s="26" t="s">
        <v>630</v>
      </c>
      <c r="B248" s="26" t="s">
        <v>631</v>
      </c>
      <c r="C248" s="26" t="s">
        <v>628</v>
      </c>
      <c r="D248" s="26" t="s">
        <v>632</v>
      </c>
    </row>
    <row r="249" spans="1:4" x14ac:dyDescent="0.25">
      <c r="A249" s="26" t="s">
        <v>633</v>
      </c>
      <c r="B249" s="26" t="s">
        <v>627</v>
      </c>
      <c r="C249" s="26" t="s">
        <v>628</v>
      </c>
      <c r="D249" s="26" t="s">
        <v>632</v>
      </c>
    </row>
    <row r="250" spans="1:4" x14ac:dyDescent="0.25">
      <c r="A250" s="26" t="s">
        <v>634</v>
      </c>
      <c r="B250" s="26" t="s">
        <v>635</v>
      </c>
      <c r="C250" s="26" t="s">
        <v>636</v>
      </c>
      <c r="D250" s="26" t="s">
        <v>637</v>
      </c>
    </row>
    <row r="251" spans="1:4" x14ac:dyDescent="0.25">
      <c r="A251" s="26" t="s">
        <v>62</v>
      </c>
      <c r="B251" s="26" t="s">
        <v>63</v>
      </c>
      <c r="C251" s="26" t="s">
        <v>636</v>
      </c>
      <c r="D251" s="26" t="s">
        <v>64</v>
      </c>
    </row>
    <row r="252" spans="1:4" x14ac:dyDescent="0.25">
      <c r="A252" s="26" t="s">
        <v>638</v>
      </c>
      <c r="B252" s="26" t="s">
        <v>639</v>
      </c>
      <c r="C252" s="26" t="s">
        <v>636</v>
      </c>
      <c r="D252" s="26" t="s">
        <v>64</v>
      </c>
    </row>
    <row r="253" spans="1:4" x14ac:dyDescent="0.25">
      <c r="A253" s="26" t="s">
        <v>640</v>
      </c>
      <c r="B253" s="26" t="s">
        <v>641</v>
      </c>
      <c r="C253" s="26" t="s">
        <v>636</v>
      </c>
      <c r="D253" s="26" t="s">
        <v>642</v>
      </c>
    </row>
    <row r="254" spans="1:4" x14ac:dyDescent="0.25">
      <c r="A254" s="26" t="s">
        <v>643</v>
      </c>
      <c r="B254" s="26" t="s">
        <v>644</v>
      </c>
      <c r="C254" s="26" t="s">
        <v>636</v>
      </c>
      <c r="D254" s="26" t="s">
        <v>645</v>
      </c>
    </row>
    <row r="255" spans="1:4" x14ac:dyDescent="0.25">
      <c r="A255" s="26" t="s">
        <v>646</v>
      </c>
      <c r="B255" s="26" t="s">
        <v>647</v>
      </c>
      <c r="C255" s="26" t="s">
        <v>636</v>
      </c>
      <c r="D255" s="26" t="s">
        <v>637</v>
      </c>
    </row>
    <row r="256" spans="1:4" x14ac:dyDescent="0.25">
      <c r="A256" s="26" t="s">
        <v>648</v>
      </c>
      <c r="B256" s="26" t="s">
        <v>649</v>
      </c>
      <c r="C256" s="26" t="s">
        <v>636</v>
      </c>
      <c r="D256" s="26" t="s">
        <v>609</v>
      </c>
    </row>
    <row r="257" spans="1:4" x14ac:dyDescent="0.25">
      <c r="A257" s="26" t="s">
        <v>650</v>
      </c>
      <c r="B257" s="26" t="s">
        <v>651</v>
      </c>
      <c r="C257" s="26" t="s">
        <v>636</v>
      </c>
      <c r="D257" s="26" t="s">
        <v>652</v>
      </c>
    </row>
    <row r="258" spans="1:4" x14ac:dyDescent="0.25">
      <c r="A258" s="26" t="s">
        <v>653</v>
      </c>
      <c r="B258" s="26" t="s">
        <v>654</v>
      </c>
      <c r="C258" s="26" t="s">
        <v>636</v>
      </c>
      <c r="D258" s="26" t="s">
        <v>655</v>
      </c>
    </row>
    <row r="259" spans="1:4" x14ac:dyDescent="0.25">
      <c r="A259" s="26" t="s">
        <v>656</v>
      </c>
      <c r="B259" s="26" t="s">
        <v>657</v>
      </c>
      <c r="C259" s="26" t="s">
        <v>636</v>
      </c>
      <c r="D259" s="26" t="s">
        <v>415</v>
      </c>
    </row>
    <row r="260" spans="1:4" x14ac:dyDescent="0.25">
      <c r="A260" s="26" t="s">
        <v>65</v>
      </c>
      <c r="B260" s="26" t="s">
        <v>66</v>
      </c>
      <c r="C260" s="26" t="s">
        <v>636</v>
      </c>
      <c r="D260" s="26" t="s">
        <v>67</v>
      </c>
    </row>
    <row r="261" spans="1:4" x14ac:dyDescent="0.25">
      <c r="A261" s="26" t="s">
        <v>658</v>
      </c>
      <c r="B261" s="26" t="s">
        <v>659</v>
      </c>
      <c r="C261" s="26" t="s">
        <v>636</v>
      </c>
      <c r="D261" s="26" t="s">
        <v>660</v>
      </c>
    </row>
    <row r="262" spans="1:4" x14ac:dyDescent="0.25">
      <c r="A262" s="26" t="s">
        <v>661</v>
      </c>
      <c r="B262" s="26" t="s">
        <v>662</v>
      </c>
      <c r="C262" s="26" t="s">
        <v>636</v>
      </c>
      <c r="D262" s="26" t="s">
        <v>632</v>
      </c>
    </row>
    <row r="263" spans="1:4" x14ac:dyDescent="0.25">
      <c r="A263" s="26" t="s">
        <v>663</v>
      </c>
      <c r="B263" s="26" t="s">
        <v>664</v>
      </c>
      <c r="C263" s="26" t="s">
        <v>636</v>
      </c>
      <c r="D263" s="26" t="s">
        <v>665</v>
      </c>
    </row>
    <row r="264" spans="1:4" x14ac:dyDescent="0.25">
      <c r="A264" s="26" t="s">
        <v>666</v>
      </c>
      <c r="B264" s="26" t="s">
        <v>667</v>
      </c>
      <c r="C264" s="26" t="s">
        <v>636</v>
      </c>
      <c r="D264" s="26" t="s">
        <v>668</v>
      </c>
    </row>
    <row r="265" spans="1:4" x14ac:dyDescent="0.25">
      <c r="A265" s="26" t="s">
        <v>669</v>
      </c>
      <c r="B265" s="26" t="s">
        <v>670</v>
      </c>
      <c r="C265" s="26" t="s">
        <v>636</v>
      </c>
      <c r="D265" s="26" t="s">
        <v>652</v>
      </c>
    </row>
    <row r="266" spans="1:4" x14ac:dyDescent="0.25">
      <c r="A266" s="26" t="s">
        <v>671</v>
      </c>
      <c r="B266" s="26" t="s">
        <v>670</v>
      </c>
      <c r="C266" s="26" t="s">
        <v>636</v>
      </c>
      <c r="D266" s="26" t="s">
        <v>609</v>
      </c>
    </row>
    <row r="267" spans="1:4" x14ac:dyDescent="0.25">
      <c r="A267" s="26" t="s">
        <v>672</v>
      </c>
      <c r="B267" s="26" t="s">
        <v>673</v>
      </c>
      <c r="C267" s="26" t="s">
        <v>636</v>
      </c>
      <c r="D267" s="26" t="s">
        <v>674</v>
      </c>
    </row>
    <row r="268" spans="1:4" x14ac:dyDescent="0.25">
      <c r="A268" s="26" t="s">
        <v>675</v>
      </c>
      <c r="B268" s="26" t="s">
        <v>676</v>
      </c>
      <c r="C268" s="26" t="s">
        <v>636</v>
      </c>
      <c r="D268" s="26" t="s">
        <v>677</v>
      </c>
    </row>
    <row r="269" spans="1:4" x14ac:dyDescent="0.25">
      <c r="A269" s="26" t="s">
        <v>678</v>
      </c>
      <c r="B269" s="26" t="s">
        <v>679</v>
      </c>
      <c r="C269" s="26" t="s">
        <v>636</v>
      </c>
      <c r="D269" s="26" t="s">
        <v>680</v>
      </c>
    </row>
    <row r="270" spans="1:4" x14ac:dyDescent="0.25">
      <c r="A270" s="26" t="s">
        <v>681</v>
      </c>
      <c r="B270" s="26" t="s">
        <v>682</v>
      </c>
      <c r="C270" s="26" t="s">
        <v>636</v>
      </c>
      <c r="D270" s="26" t="s">
        <v>683</v>
      </c>
    </row>
    <row r="271" spans="1:4" x14ac:dyDescent="0.25">
      <c r="A271" s="26" t="s">
        <v>684</v>
      </c>
      <c r="B271" s="26" t="s">
        <v>685</v>
      </c>
      <c r="C271" s="26" t="s">
        <v>636</v>
      </c>
      <c r="D271" s="26" t="s">
        <v>686</v>
      </c>
    </row>
    <row r="272" spans="1:4" x14ac:dyDescent="0.25">
      <c r="A272" s="26" t="s">
        <v>687</v>
      </c>
      <c r="B272" s="26" t="s">
        <v>635</v>
      </c>
      <c r="C272" s="26" t="s">
        <v>636</v>
      </c>
      <c r="D272" s="26" t="s">
        <v>645</v>
      </c>
    </row>
    <row r="273" spans="1:4" x14ac:dyDescent="0.25">
      <c r="A273" s="26" t="s">
        <v>688</v>
      </c>
      <c r="B273" s="26" t="s">
        <v>689</v>
      </c>
      <c r="C273" s="26" t="s">
        <v>636</v>
      </c>
      <c r="D273" s="26" t="s">
        <v>690</v>
      </c>
    </row>
    <row r="274" spans="1:4" x14ac:dyDescent="0.25">
      <c r="A274" s="26" t="s">
        <v>691</v>
      </c>
      <c r="B274" s="26" t="s">
        <v>635</v>
      </c>
      <c r="C274" s="26" t="s">
        <v>636</v>
      </c>
      <c r="D274" s="26" t="s">
        <v>692</v>
      </c>
    </row>
    <row r="275" spans="1:4" x14ac:dyDescent="0.25">
      <c r="A275" s="26" t="s">
        <v>693</v>
      </c>
      <c r="B275" s="26" t="s">
        <v>694</v>
      </c>
      <c r="C275" s="26" t="s">
        <v>695</v>
      </c>
      <c r="D275" s="26" t="s">
        <v>479</v>
      </c>
    </row>
    <row r="276" spans="1:4" x14ac:dyDescent="0.25">
      <c r="A276" s="26" t="s">
        <v>696</v>
      </c>
      <c r="B276" s="26" t="s">
        <v>697</v>
      </c>
      <c r="C276" s="26" t="s">
        <v>695</v>
      </c>
      <c r="D276" s="26" t="s">
        <v>479</v>
      </c>
    </row>
    <row r="277" spans="1:4" x14ac:dyDescent="0.25">
      <c r="A277" s="26" t="s">
        <v>698</v>
      </c>
      <c r="B277" s="26" t="s">
        <v>694</v>
      </c>
      <c r="C277" s="26" t="s">
        <v>695</v>
      </c>
      <c r="D277" s="26" t="s">
        <v>333</v>
      </c>
    </row>
    <row r="278" spans="1:4" x14ac:dyDescent="0.25">
      <c r="A278" s="26" t="s">
        <v>699</v>
      </c>
      <c r="B278" s="26" t="s">
        <v>697</v>
      </c>
      <c r="C278" s="26" t="s">
        <v>695</v>
      </c>
      <c r="D278" s="26" t="s">
        <v>700</v>
      </c>
    </row>
    <row r="279" spans="1:4" x14ac:dyDescent="0.25">
      <c r="A279" s="26" t="s">
        <v>701</v>
      </c>
      <c r="B279" s="26" t="s">
        <v>702</v>
      </c>
      <c r="C279" s="26" t="s">
        <v>703</v>
      </c>
      <c r="D279" s="26" t="s">
        <v>314</v>
      </c>
    </row>
    <row r="280" spans="1:4" x14ac:dyDescent="0.25">
      <c r="A280" s="26" t="s">
        <v>704</v>
      </c>
      <c r="B280" s="26" t="s">
        <v>705</v>
      </c>
      <c r="C280" s="26" t="s">
        <v>703</v>
      </c>
      <c r="D280" s="26" t="s">
        <v>314</v>
      </c>
    </row>
    <row r="281" spans="1:4" x14ac:dyDescent="0.25">
      <c r="A281" s="26" t="s">
        <v>706</v>
      </c>
      <c r="B281" s="26" t="s">
        <v>707</v>
      </c>
      <c r="C281" s="26" t="s">
        <v>703</v>
      </c>
      <c r="D281" s="26" t="s">
        <v>708</v>
      </c>
    </row>
    <row r="282" spans="1:4" x14ac:dyDescent="0.25">
      <c r="A282" s="26" t="s">
        <v>709</v>
      </c>
      <c r="B282" s="26" t="s">
        <v>710</v>
      </c>
      <c r="C282" s="26" t="s">
        <v>711</v>
      </c>
      <c r="D282" s="26" t="s">
        <v>479</v>
      </c>
    </row>
    <row r="283" spans="1:4" x14ac:dyDescent="0.25">
      <c r="A283" s="26" t="s">
        <v>712</v>
      </c>
      <c r="B283" s="26" t="s">
        <v>713</v>
      </c>
      <c r="C283" s="26" t="s">
        <v>711</v>
      </c>
      <c r="D283" s="26" t="s">
        <v>333</v>
      </c>
    </row>
    <row r="284" spans="1:4" x14ac:dyDescent="0.25">
      <c r="A284" s="26" t="s">
        <v>714</v>
      </c>
      <c r="B284" s="26" t="s">
        <v>715</v>
      </c>
      <c r="C284" s="26" t="s">
        <v>711</v>
      </c>
      <c r="D284" s="26" t="s">
        <v>716</v>
      </c>
    </row>
    <row r="285" spans="1:4" x14ac:dyDescent="0.25">
      <c r="A285" s="26" t="s">
        <v>717</v>
      </c>
      <c r="B285" s="26" t="s">
        <v>718</v>
      </c>
      <c r="C285" s="26" t="s">
        <v>711</v>
      </c>
      <c r="D285" s="26" t="s">
        <v>719</v>
      </c>
    </row>
    <row r="286" spans="1:4" x14ac:dyDescent="0.25">
      <c r="A286" s="26" t="s">
        <v>720</v>
      </c>
      <c r="B286" s="26" t="s">
        <v>721</v>
      </c>
      <c r="C286" s="26" t="s">
        <v>711</v>
      </c>
      <c r="D286" s="26" t="s">
        <v>722</v>
      </c>
    </row>
    <row r="287" spans="1:4" x14ac:dyDescent="0.25">
      <c r="A287" s="26" t="s">
        <v>723</v>
      </c>
      <c r="B287" s="26" t="s">
        <v>724</v>
      </c>
      <c r="C287" s="26" t="s">
        <v>711</v>
      </c>
      <c r="D287" s="26" t="s">
        <v>725</v>
      </c>
    </row>
    <row r="288" spans="1:4" x14ac:dyDescent="0.25">
      <c r="A288" s="26" t="s">
        <v>726</v>
      </c>
      <c r="B288" s="26" t="s">
        <v>727</v>
      </c>
      <c r="C288" s="26" t="s">
        <v>711</v>
      </c>
      <c r="D288" s="26" t="s">
        <v>61</v>
      </c>
    </row>
    <row r="289" spans="1:4" x14ac:dyDescent="0.25">
      <c r="A289" s="26" t="s">
        <v>728</v>
      </c>
      <c r="B289" s="26" t="s">
        <v>710</v>
      </c>
      <c r="C289" s="26" t="s">
        <v>711</v>
      </c>
      <c r="D289" s="26" t="s">
        <v>722</v>
      </c>
    </row>
    <row r="290" spans="1:4" x14ac:dyDescent="0.25">
      <c r="A290" s="26" t="s">
        <v>729</v>
      </c>
      <c r="B290" s="26" t="s">
        <v>730</v>
      </c>
      <c r="C290" s="26" t="s">
        <v>711</v>
      </c>
      <c r="D290" s="26" t="s">
        <v>415</v>
      </c>
    </row>
    <row r="291" spans="1:4" x14ac:dyDescent="0.25">
      <c r="A291" s="26" t="s">
        <v>731</v>
      </c>
      <c r="B291" s="26" t="s">
        <v>727</v>
      </c>
      <c r="C291" s="26" t="s">
        <v>711</v>
      </c>
      <c r="D291" s="26" t="s">
        <v>35</v>
      </c>
    </row>
    <row r="292" spans="1:4" x14ac:dyDescent="0.25">
      <c r="A292" s="26" t="s">
        <v>732</v>
      </c>
      <c r="B292" s="26" t="s">
        <v>715</v>
      </c>
      <c r="C292" s="26" t="s">
        <v>711</v>
      </c>
      <c r="D292" s="26" t="s">
        <v>733</v>
      </c>
    </row>
    <row r="293" spans="1:4" x14ac:dyDescent="0.25">
      <c r="A293" s="26" t="s">
        <v>734</v>
      </c>
      <c r="B293" s="26" t="s">
        <v>735</v>
      </c>
      <c r="C293" s="26" t="s">
        <v>711</v>
      </c>
      <c r="D293" s="26" t="s">
        <v>458</v>
      </c>
    </row>
    <row r="294" spans="1:4" x14ac:dyDescent="0.25">
      <c r="A294" s="26" t="s">
        <v>736</v>
      </c>
      <c r="B294" s="26" t="s">
        <v>737</v>
      </c>
      <c r="C294" s="26" t="s">
        <v>738</v>
      </c>
      <c r="D294" s="26" t="s">
        <v>35</v>
      </c>
    </row>
    <row r="295" spans="1:4" x14ac:dyDescent="0.25">
      <c r="A295" s="26" t="s">
        <v>739</v>
      </c>
      <c r="B295" s="26" t="s">
        <v>740</v>
      </c>
      <c r="C295" s="26" t="s">
        <v>741</v>
      </c>
      <c r="D295" s="26" t="s">
        <v>415</v>
      </c>
    </row>
    <row r="296" spans="1:4" x14ac:dyDescent="0.25">
      <c r="A296" s="26" t="s">
        <v>742</v>
      </c>
      <c r="B296" s="26" t="s">
        <v>743</v>
      </c>
      <c r="C296" s="26" t="s">
        <v>741</v>
      </c>
      <c r="D296" s="26" t="s">
        <v>415</v>
      </c>
    </row>
    <row r="297" spans="1:4" x14ac:dyDescent="0.25">
      <c r="A297" s="26" t="s">
        <v>744</v>
      </c>
      <c r="B297" s="26" t="s">
        <v>745</v>
      </c>
      <c r="C297" s="26" t="s">
        <v>741</v>
      </c>
      <c r="D297" s="26" t="s">
        <v>680</v>
      </c>
    </row>
    <row r="298" spans="1:4" x14ac:dyDescent="0.25">
      <c r="A298" s="26" t="s">
        <v>746</v>
      </c>
      <c r="B298" s="26" t="s">
        <v>747</v>
      </c>
      <c r="C298" s="26" t="s">
        <v>741</v>
      </c>
      <c r="D298" s="26" t="s">
        <v>314</v>
      </c>
    </row>
    <row r="299" spans="1:4" x14ac:dyDescent="0.25">
      <c r="A299" s="26" t="s">
        <v>748</v>
      </c>
      <c r="B299" s="26" t="s">
        <v>749</v>
      </c>
      <c r="C299" s="26" t="s">
        <v>741</v>
      </c>
      <c r="D299" s="26" t="s">
        <v>35</v>
      </c>
    </row>
    <row r="300" spans="1:4" x14ac:dyDescent="0.25">
      <c r="A300" s="26" t="s">
        <v>750</v>
      </c>
      <c r="B300" s="26" t="s">
        <v>751</v>
      </c>
      <c r="C300" s="26" t="s">
        <v>741</v>
      </c>
      <c r="D300" s="26" t="s">
        <v>415</v>
      </c>
    </row>
    <row r="301" spans="1:4" x14ac:dyDescent="0.25">
      <c r="A301" s="26" t="s">
        <v>752</v>
      </c>
      <c r="B301" s="26" t="s">
        <v>753</v>
      </c>
      <c r="C301" s="26" t="s">
        <v>741</v>
      </c>
      <c r="D301" s="26" t="s">
        <v>754</v>
      </c>
    </row>
    <row r="302" spans="1:4" x14ac:dyDescent="0.25">
      <c r="A302" s="26" t="s">
        <v>755</v>
      </c>
      <c r="B302" s="26" t="s">
        <v>753</v>
      </c>
      <c r="C302" s="26" t="s">
        <v>741</v>
      </c>
      <c r="D302" s="26" t="s">
        <v>464</v>
      </c>
    </row>
    <row r="303" spans="1:4" x14ac:dyDescent="0.25">
      <c r="A303" s="26" t="s">
        <v>756</v>
      </c>
      <c r="B303" s="26" t="s">
        <v>757</v>
      </c>
      <c r="C303" s="26" t="s">
        <v>741</v>
      </c>
      <c r="D303" s="26" t="s">
        <v>314</v>
      </c>
    </row>
    <row r="304" spans="1:4" x14ac:dyDescent="0.25">
      <c r="A304" s="26" t="s">
        <v>758</v>
      </c>
      <c r="B304" s="26" t="s">
        <v>759</v>
      </c>
      <c r="C304" s="26" t="s">
        <v>741</v>
      </c>
      <c r="D304" s="26" t="s">
        <v>314</v>
      </c>
    </row>
    <row r="305" spans="1:4" x14ac:dyDescent="0.25">
      <c r="A305" s="26" t="s">
        <v>760</v>
      </c>
      <c r="B305" s="26" t="s">
        <v>740</v>
      </c>
      <c r="C305" s="26" t="s">
        <v>741</v>
      </c>
      <c r="D305" s="26" t="s">
        <v>761</v>
      </c>
    </row>
    <row r="306" spans="1:4" x14ac:dyDescent="0.25">
      <c r="A306" s="26" t="s">
        <v>762</v>
      </c>
      <c r="B306" s="26" t="s">
        <v>763</v>
      </c>
      <c r="C306" s="26" t="s">
        <v>764</v>
      </c>
      <c r="D306" s="26" t="s">
        <v>70</v>
      </c>
    </row>
    <row r="307" spans="1:4" x14ac:dyDescent="0.25">
      <c r="A307" s="26" t="s">
        <v>765</v>
      </c>
      <c r="B307" s="26" t="s">
        <v>766</v>
      </c>
      <c r="C307" s="26" t="s">
        <v>764</v>
      </c>
      <c r="D307" s="26" t="s">
        <v>767</v>
      </c>
    </row>
    <row r="308" spans="1:4" x14ac:dyDescent="0.25">
      <c r="A308" s="26" t="s">
        <v>768</v>
      </c>
      <c r="B308" s="26" t="s">
        <v>769</v>
      </c>
      <c r="C308" s="26" t="s">
        <v>764</v>
      </c>
      <c r="D308" s="26" t="s">
        <v>767</v>
      </c>
    </row>
    <row r="309" spans="1:4" x14ac:dyDescent="0.25">
      <c r="A309" s="26" t="s">
        <v>770</v>
      </c>
      <c r="B309" s="26" t="s">
        <v>771</v>
      </c>
      <c r="C309" s="26" t="s">
        <v>764</v>
      </c>
      <c r="D309" s="26" t="s">
        <v>767</v>
      </c>
    </row>
    <row r="310" spans="1:4" x14ac:dyDescent="0.25">
      <c r="A310" s="26" t="s">
        <v>772</v>
      </c>
      <c r="B310" s="26" t="s">
        <v>769</v>
      </c>
      <c r="C310" s="26" t="s">
        <v>764</v>
      </c>
      <c r="D310" s="26" t="s">
        <v>773</v>
      </c>
    </row>
    <row r="311" spans="1:4" x14ac:dyDescent="0.25">
      <c r="A311" s="26" t="s">
        <v>774</v>
      </c>
      <c r="B311" s="26" t="s">
        <v>775</v>
      </c>
      <c r="C311" s="26" t="s">
        <v>764</v>
      </c>
      <c r="D311" s="26" t="s">
        <v>623</v>
      </c>
    </row>
    <row r="312" spans="1:4" x14ac:dyDescent="0.25">
      <c r="A312" s="26" t="s">
        <v>776</v>
      </c>
      <c r="B312" s="26" t="s">
        <v>763</v>
      </c>
      <c r="C312" s="26" t="s">
        <v>764</v>
      </c>
      <c r="D312" s="26" t="s">
        <v>777</v>
      </c>
    </row>
    <row r="313" spans="1:4" x14ac:dyDescent="0.25">
      <c r="A313" s="26" t="s">
        <v>778</v>
      </c>
      <c r="B313" s="26" t="s">
        <v>779</v>
      </c>
      <c r="C313" s="26" t="s">
        <v>764</v>
      </c>
      <c r="D313" s="26" t="s">
        <v>780</v>
      </c>
    </row>
    <row r="314" spans="1:4" x14ac:dyDescent="0.25">
      <c r="A314" s="26" t="s">
        <v>68</v>
      </c>
      <c r="B314" s="26" t="s">
        <v>69</v>
      </c>
      <c r="C314" s="26" t="s">
        <v>764</v>
      </c>
      <c r="D314" s="26" t="s">
        <v>70</v>
      </c>
    </row>
    <row r="315" spans="1:4" x14ac:dyDescent="0.25">
      <c r="A315" s="26" t="s">
        <v>781</v>
      </c>
      <c r="B315" s="26" t="s">
        <v>782</v>
      </c>
      <c r="C315" s="26" t="s">
        <v>764</v>
      </c>
      <c r="D315" s="26" t="s">
        <v>780</v>
      </c>
    </row>
    <row r="316" spans="1:4" x14ac:dyDescent="0.25">
      <c r="A316" s="26" t="s">
        <v>783</v>
      </c>
      <c r="B316" s="26" t="s">
        <v>779</v>
      </c>
      <c r="C316" s="26" t="s">
        <v>764</v>
      </c>
      <c r="D316" s="26" t="s">
        <v>623</v>
      </c>
    </row>
    <row r="317" spans="1:4" x14ac:dyDescent="0.25">
      <c r="A317" s="26" t="s">
        <v>784</v>
      </c>
      <c r="B317" s="26" t="s">
        <v>69</v>
      </c>
      <c r="C317" s="26" t="s">
        <v>764</v>
      </c>
      <c r="D317" s="26" t="s">
        <v>785</v>
      </c>
    </row>
    <row r="318" spans="1:4" x14ac:dyDescent="0.25">
      <c r="A318" s="26" t="s">
        <v>786</v>
      </c>
      <c r="B318" s="26" t="s">
        <v>782</v>
      </c>
      <c r="C318" s="26" t="s">
        <v>764</v>
      </c>
      <c r="D318" s="26" t="s">
        <v>787</v>
      </c>
    </row>
    <row r="319" spans="1:4" x14ac:dyDescent="0.25">
      <c r="A319" s="26" t="s">
        <v>788</v>
      </c>
      <c r="B319" s="26" t="s">
        <v>789</v>
      </c>
      <c r="C319" s="26" t="s">
        <v>790</v>
      </c>
      <c r="D319" s="26" t="s">
        <v>35</v>
      </c>
    </row>
    <row r="320" spans="1:4" x14ac:dyDescent="0.25">
      <c r="A320" s="26" t="s">
        <v>791</v>
      </c>
      <c r="B320" s="26" t="s">
        <v>792</v>
      </c>
      <c r="C320" s="26" t="s">
        <v>790</v>
      </c>
      <c r="D320" s="26" t="s">
        <v>35</v>
      </c>
    </row>
    <row r="321" spans="1:4" x14ac:dyDescent="0.25">
      <c r="A321" s="26" t="s">
        <v>793</v>
      </c>
      <c r="B321" s="26" t="s">
        <v>794</v>
      </c>
      <c r="C321" s="26" t="s">
        <v>790</v>
      </c>
      <c r="D321" s="26" t="s">
        <v>35</v>
      </c>
    </row>
    <row r="322" spans="1:4" x14ac:dyDescent="0.25">
      <c r="A322" s="26" t="s">
        <v>795</v>
      </c>
      <c r="B322" s="26" t="s">
        <v>796</v>
      </c>
      <c r="C322" s="26" t="s">
        <v>797</v>
      </c>
      <c r="D322" s="26" t="s">
        <v>609</v>
      </c>
    </row>
    <row r="323" spans="1:4" x14ac:dyDescent="0.25">
      <c r="A323" s="26" t="s">
        <v>798</v>
      </c>
      <c r="B323" s="26" t="s">
        <v>799</v>
      </c>
      <c r="C323" s="26" t="s">
        <v>797</v>
      </c>
      <c r="D323" s="26" t="s">
        <v>609</v>
      </c>
    </row>
    <row r="324" spans="1:4" x14ac:dyDescent="0.25">
      <c r="A324" s="26" t="s">
        <v>800</v>
      </c>
      <c r="B324" s="26" t="s">
        <v>801</v>
      </c>
      <c r="C324" s="26" t="s">
        <v>802</v>
      </c>
      <c r="D324" s="26" t="s">
        <v>803</v>
      </c>
    </row>
    <row r="325" spans="1:4" x14ac:dyDescent="0.25">
      <c r="A325" s="26" t="s">
        <v>804</v>
      </c>
      <c r="B325" s="26" t="s">
        <v>805</v>
      </c>
      <c r="C325" s="26" t="s">
        <v>806</v>
      </c>
      <c r="D325" s="26" t="s">
        <v>531</v>
      </c>
    </row>
    <row r="326" spans="1:4" x14ac:dyDescent="0.25">
      <c r="A326" s="26" t="s">
        <v>807</v>
      </c>
      <c r="B326" s="26" t="s">
        <v>808</v>
      </c>
      <c r="C326" s="26" t="s">
        <v>806</v>
      </c>
      <c r="D326" s="26" t="s">
        <v>531</v>
      </c>
    </row>
    <row r="327" spans="1:4" x14ac:dyDescent="0.25">
      <c r="A327" s="26" t="s">
        <v>809</v>
      </c>
      <c r="B327" s="26" t="s">
        <v>810</v>
      </c>
      <c r="C327" s="26" t="s">
        <v>806</v>
      </c>
      <c r="D327" s="26" t="s">
        <v>531</v>
      </c>
    </row>
    <row r="328" spans="1:4" x14ac:dyDescent="0.25">
      <c r="A328" s="26" t="s">
        <v>811</v>
      </c>
      <c r="B328" s="26" t="s">
        <v>812</v>
      </c>
      <c r="C328" s="26" t="s">
        <v>806</v>
      </c>
      <c r="D328" s="26" t="s">
        <v>531</v>
      </c>
    </row>
    <row r="329" spans="1:4" x14ac:dyDescent="0.25">
      <c r="A329" s="26" t="s">
        <v>813</v>
      </c>
      <c r="B329" s="26" t="s">
        <v>47</v>
      </c>
      <c r="C329" s="26" t="s">
        <v>806</v>
      </c>
      <c r="D329" s="26" t="s">
        <v>531</v>
      </c>
    </row>
    <row r="330" spans="1:4" x14ac:dyDescent="0.25">
      <c r="A330" s="26" t="s">
        <v>814</v>
      </c>
      <c r="B330" s="26" t="s">
        <v>815</v>
      </c>
      <c r="C330" s="26" t="s">
        <v>806</v>
      </c>
      <c r="D330" s="26" t="s">
        <v>531</v>
      </c>
    </row>
    <row r="331" spans="1:4" x14ac:dyDescent="0.25">
      <c r="A331" s="26" t="s">
        <v>816</v>
      </c>
      <c r="B331" s="26" t="s">
        <v>817</v>
      </c>
      <c r="C331" s="26" t="s">
        <v>806</v>
      </c>
      <c r="D331" s="26" t="s">
        <v>531</v>
      </c>
    </row>
    <row r="332" spans="1:4" x14ac:dyDescent="0.25">
      <c r="A332" s="26" t="s">
        <v>818</v>
      </c>
      <c r="B332" s="26" t="s">
        <v>819</v>
      </c>
      <c r="C332" s="26" t="s">
        <v>820</v>
      </c>
      <c r="D332" s="26" t="s">
        <v>505</v>
      </c>
    </row>
    <row r="333" spans="1:4" x14ac:dyDescent="0.25">
      <c r="A333" s="26" t="s">
        <v>821</v>
      </c>
      <c r="B333" s="26" t="s">
        <v>822</v>
      </c>
      <c r="C333" s="26" t="s">
        <v>820</v>
      </c>
      <c r="D333" s="26" t="s">
        <v>505</v>
      </c>
    </row>
    <row r="334" spans="1:4" x14ac:dyDescent="0.25">
      <c r="A334" s="26" t="s">
        <v>823</v>
      </c>
      <c r="B334" s="26" t="s">
        <v>824</v>
      </c>
      <c r="C334" s="26" t="s">
        <v>820</v>
      </c>
      <c r="D334" s="26" t="s">
        <v>825</v>
      </c>
    </row>
    <row r="335" spans="1:4" x14ac:dyDescent="0.25">
      <c r="A335" s="26" t="s">
        <v>826</v>
      </c>
      <c r="B335" s="26" t="s">
        <v>819</v>
      </c>
      <c r="C335" s="26" t="s">
        <v>820</v>
      </c>
      <c r="D335" s="26" t="s">
        <v>827</v>
      </c>
    </row>
    <row r="336" spans="1:4" x14ac:dyDescent="0.25">
      <c r="A336" s="26" t="s">
        <v>828</v>
      </c>
      <c r="B336" s="26" t="s">
        <v>829</v>
      </c>
      <c r="C336" s="26" t="s">
        <v>820</v>
      </c>
      <c r="D336" s="26" t="s">
        <v>830</v>
      </c>
    </row>
    <row r="337" spans="1:4" x14ac:dyDescent="0.25">
      <c r="A337" s="26" t="s">
        <v>831</v>
      </c>
      <c r="B337" s="26" t="s">
        <v>822</v>
      </c>
      <c r="C337" s="26" t="s">
        <v>820</v>
      </c>
      <c r="D337" s="26" t="s">
        <v>827</v>
      </c>
    </row>
    <row r="338" spans="1:4" x14ac:dyDescent="0.25">
      <c r="A338" s="26" t="s">
        <v>832</v>
      </c>
      <c r="B338" s="26" t="s">
        <v>833</v>
      </c>
      <c r="C338" s="26" t="s">
        <v>834</v>
      </c>
      <c r="D338" s="26" t="s">
        <v>53</v>
      </c>
    </row>
    <row r="339" spans="1:4" x14ac:dyDescent="0.25">
      <c r="A339" s="26" t="s">
        <v>835</v>
      </c>
      <c r="B339" s="26" t="s">
        <v>836</v>
      </c>
      <c r="C339" s="26" t="s">
        <v>834</v>
      </c>
      <c r="D339" s="26" t="s">
        <v>837</v>
      </c>
    </row>
    <row r="340" spans="1:4" x14ac:dyDescent="0.25">
      <c r="A340" s="26" t="s">
        <v>838</v>
      </c>
      <c r="B340" s="26" t="s">
        <v>839</v>
      </c>
      <c r="C340" s="26" t="s">
        <v>834</v>
      </c>
      <c r="D340" s="26" t="s">
        <v>840</v>
      </c>
    </row>
    <row r="341" spans="1:4" x14ac:dyDescent="0.25">
      <c r="A341" s="26" t="s">
        <v>841</v>
      </c>
      <c r="B341" s="26" t="s">
        <v>842</v>
      </c>
      <c r="C341" s="26" t="s">
        <v>834</v>
      </c>
      <c r="D341" s="26" t="s">
        <v>415</v>
      </c>
    </row>
    <row r="342" spans="1:4" x14ac:dyDescent="0.25">
      <c r="A342" s="26" t="s">
        <v>843</v>
      </c>
      <c r="B342" s="26" t="s">
        <v>844</v>
      </c>
      <c r="C342" s="26" t="s">
        <v>834</v>
      </c>
      <c r="D342" s="26" t="s">
        <v>53</v>
      </c>
    </row>
    <row r="343" spans="1:4" x14ac:dyDescent="0.25">
      <c r="A343" s="26" t="s">
        <v>845</v>
      </c>
      <c r="B343" s="26" t="s">
        <v>846</v>
      </c>
      <c r="C343" s="26" t="s">
        <v>193</v>
      </c>
      <c r="D343" s="26" t="s">
        <v>847</v>
      </c>
    </row>
    <row r="344" spans="1:4" x14ac:dyDescent="0.25">
      <c r="A344" s="26" t="s">
        <v>848</v>
      </c>
      <c r="B344" s="26" t="s">
        <v>849</v>
      </c>
      <c r="C344" s="26" t="s">
        <v>636</v>
      </c>
      <c r="D344" s="26" t="s">
        <v>850</v>
      </c>
    </row>
    <row r="345" spans="1:4" x14ac:dyDescent="0.25">
      <c r="A345" s="26" t="s">
        <v>851</v>
      </c>
      <c r="B345" s="26" t="s">
        <v>676</v>
      </c>
      <c r="C345" s="26" t="s">
        <v>636</v>
      </c>
      <c r="D345" s="26" t="s">
        <v>660</v>
      </c>
    </row>
    <row r="346" spans="1:4" x14ac:dyDescent="0.25">
      <c r="A346" s="26" t="s">
        <v>852</v>
      </c>
      <c r="B346" s="26" t="s">
        <v>853</v>
      </c>
      <c r="C346" s="26" t="s">
        <v>636</v>
      </c>
      <c r="D346" s="26" t="s">
        <v>854</v>
      </c>
    </row>
    <row r="347" spans="1:4" x14ac:dyDescent="0.25">
      <c r="A347" s="26" t="s">
        <v>855</v>
      </c>
      <c r="B347" s="26" t="s">
        <v>856</v>
      </c>
      <c r="C347" s="26" t="s">
        <v>193</v>
      </c>
      <c r="D347" s="26" t="s">
        <v>803</v>
      </c>
    </row>
    <row r="348" spans="1:4" x14ac:dyDescent="0.25">
      <c r="A348" s="26" t="s">
        <v>857</v>
      </c>
      <c r="B348" s="26" t="s">
        <v>858</v>
      </c>
      <c r="C348" s="26" t="s">
        <v>859</v>
      </c>
      <c r="D348" s="26" t="s">
        <v>35</v>
      </c>
    </row>
    <row r="349" spans="1:4" x14ac:dyDescent="0.25">
      <c r="A349" s="26" t="s">
        <v>860</v>
      </c>
      <c r="B349" s="26" t="s">
        <v>861</v>
      </c>
      <c r="C349" s="26" t="s">
        <v>859</v>
      </c>
      <c r="D349" s="26" t="s">
        <v>35</v>
      </c>
    </row>
    <row r="350" spans="1:4" x14ac:dyDescent="0.25">
      <c r="A350" s="26" t="s">
        <v>862</v>
      </c>
      <c r="B350" s="26" t="s">
        <v>863</v>
      </c>
      <c r="C350" s="26" t="s">
        <v>864</v>
      </c>
      <c r="D350" s="26" t="s">
        <v>194</v>
      </c>
    </row>
    <row r="351" spans="1:4" x14ac:dyDescent="0.25">
      <c r="A351" s="26" t="s">
        <v>865</v>
      </c>
      <c r="B351" s="26" t="s">
        <v>866</v>
      </c>
      <c r="C351" s="26" t="s">
        <v>867</v>
      </c>
      <c r="D351" s="26" t="s">
        <v>464</v>
      </c>
    </row>
    <row r="352" spans="1:4" x14ac:dyDescent="0.25">
      <c r="A352" s="26" t="s">
        <v>868</v>
      </c>
      <c r="B352" s="26" t="s">
        <v>869</v>
      </c>
      <c r="C352" s="26" t="s">
        <v>870</v>
      </c>
      <c r="D352" s="26" t="s">
        <v>479</v>
      </c>
    </row>
    <row r="353" spans="1:4" x14ac:dyDescent="0.25">
      <c r="A353" s="26" t="s">
        <v>871</v>
      </c>
      <c r="B353" s="26" t="s">
        <v>872</v>
      </c>
      <c r="C353" s="26" t="s">
        <v>873</v>
      </c>
      <c r="D353" s="26" t="s">
        <v>780</v>
      </c>
    </row>
    <row r="354" spans="1:4" x14ac:dyDescent="0.25">
      <c r="A354" s="26" t="s">
        <v>874</v>
      </c>
      <c r="B354" s="26" t="s">
        <v>875</v>
      </c>
      <c r="C354" s="26" t="s">
        <v>873</v>
      </c>
      <c r="D354" s="26" t="s">
        <v>780</v>
      </c>
    </row>
    <row r="355" spans="1:4" x14ac:dyDescent="0.25">
      <c r="A355" s="26" t="s">
        <v>876</v>
      </c>
      <c r="B355" s="26" t="s">
        <v>877</v>
      </c>
      <c r="C355" s="26" t="s">
        <v>873</v>
      </c>
      <c r="D355" s="26" t="s">
        <v>665</v>
      </c>
    </row>
    <row r="356" spans="1:4" x14ac:dyDescent="0.25">
      <c r="A356" s="26" t="s">
        <v>878</v>
      </c>
      <c r="B356" s="26" t="s">
        <v>875</v>
      </c>
      <c r="C356" s="26" t="s">
        <v>873</v>
      </c>
      <c r="D356" s="26" t="s">
        <v>879</v>
      </c>
    </row>
    <row r="357" spans="1:4" x14ac:dyDescent="0.25">
      <c r="A357" s="26" t="s">
        <v>880</v>
      </c>
      <c r="B357" s="26" t="s">
        <v>881</v>
      </c>
      <c r="C357" s="26" t="s">
        <v>882</v>
      </c>
      <c r="D357" s="26" t="s">
        <v>35</v>
      </c>
    </row>
    <row r="358" spans="1:4" x14ac:dyDescent="0.25">
      <c r="A358" s="26" t="s">
        <v>883</v>
      </c>
      <c r="B358" s="26" t="s">
        <v>884</v>
      </c>
      <c r="C358" s="26" t="s">
        <v>882</v>
      </c>
      <c r="D358" s="26" t="s">
        <v>35</v>
      </c>
    </row>
    <row r="359" spans="1:4" x14ac:dyDescent="0.25">
      <c r="A359" s="26" t="s">
        <v>885</v>
      </c>
      <c r="B359" s="26" t="s">
        <v>886</v>
      </c>
      <c r="C359" s="26" t="s">
        <v>882</v>
      </c>
      <c r="D359" s="26" t="s">
        <v>35</v>
      </c>
    </row>
    <row r="360" spans="1:4" x14ac:dyDescent="0.25">
      <c r="A360" s="26" t="s">
        <v>887</v>
      </c>
      <c r="B360" s="26" t="s">
        <v>886</v>
      </c>
      <c r="C360" s="26" t="s">
        <v>882</v>
      </c>
      <c r="D360" s="26" t="s">
        <v>314</v>
      </c>
    </row>
    <row r="361" spans="1:4" x14ac:dyDescent="0.25">
      <c r="A361" s="26" t="s">
        <v>888</v>
      </c>
      <c r="B361" s="26" t="s">
        <v>889</v>
      </c>
      <c r="C361" s="26" t="s">
        <v>882</v>
      </c>
      <c r="D361" s="26" t="s">
        <v>733</v>
      </c>
    </row>
    <row r="362" spans="1:4" x14ac:dyDescent="0.25">
      <c r="A362" s="26" t="s">
        <v>890</v>
      </c>
      <c r="B362" s="26" t="s">
        <v>891</v>
      </c>
      <c r="C362" s="26" t="s">
        <v>892</v>
      </c>
      <c r="D362" s="26" t="s">
        <v>893</v>
      </c>
    </row>
    <row r="363" spans="1:4" x14ac:dyDescent="0.25">
      <c r="A363" s="26" t="s">
        <v>894</v>
      </c>
      <c r="B363" s="26" t="s">
        <v>895</v>
      </c>
      <c r="C363" s="26" t="s">
        <v>892</v>
      </c>
      <c r="D363" s="26" t="s">
        <v>479</v>
      </c>
    </row>
    <row r="364" spans="1:4" x14ac:dyDescent="0.25">
      <c r="A364" s="26" t="s">
        <v>896</v>
      </c>
      <c r="B364" s="26" t="s">
        <v>891</v>
      </c>
      <c r="C364" s="26" t="s">
        <v>892</v>
      </c>
      <c r="D364" s="26" t="s">
        <v>479</v>
      </c>
    </row>
    <row r="365" spans="1:4" x14ac:dyDescent="0.25">
      <c r="A365" s="26" t="s">
        <v>897</v>
      </c>
      <c r="B365" s="26" t="s">
        <v>898</v>
      </c>
      <c r="C365" s="26" t="s">
        <v>892</v>
      </c>
      <c r="D365" s="26" t="s">
        <v>899</v>
      </c>
    </row>
    <row r="366" spans="1:4" x14ac:dyDescent="0.25">
      <c r="A366" s="26" t="s">
        <v>900</v>
      </c>
      <c r="B366" s="26" t="s">
        <v>898</v>
      </c>
      <c r="C366" s="26" t="s">
        <v>892</v>
      </c>
      <c r="D366" s="26" t="s">
        <v>901</v>
      </c>
    </row>
    <row r="367" spans="1:4" x14ac:dyDescent="0.25">
      <c r="A367" s="26" t="s">
        <v>902</v>
      </c>
      <c r="B367" s="26" t="s">
        <v>718</v>
      </c>
      <c r="C367" s="26" t="s">
        <v>711</v>
      </c>
      <c r="D367" s="26" t="s">
        <v>458</v>
      </c>
    </row>
    <row r="368" spans="1:4" x14ac:dyDescent="0.25">
      <c r="A368" s="26" t="s">
        <v>903</v>
      </c>
      <c r="B368" s="26" t="s">
        <v>904</v>
      </c>
      <c r="C368" s="26" t="s">
        <v>711</v>
      </c>
      <c r="D368" s="26" t="s">
        <v>415</v>
      </c>
    </row>
    <row r="369" spans="1:4" x14ac:dyDescent="0.25">
      <c r="A369" s="26" t="s">
        <v>905</v>
      </c>
      <c r="B369" s="26" t="s">
        <v>906</v>
      </c>
      <c r="C369" s="26" t="s">
        <v>711</v>
      </c>
      <c r="D369" s="26" t="s">
        <v>314</v>
      </c>
    </row>
    <row r="370" spans="1:4" x14ac:dyDescent="0.25">
      <c r="A370" s="26" t="s">
        <v>907</v>
      </c>
      <c r="B370" s="26" t="s">
        <v>908</v>
      </c>
      <c r="C370" s="26" t="s">
        <v>711</v>
      </c>
      <c r="D370" s="26" t="s">
        <v>314</v>
      </c>
    </row>
    <row r="371" spans="1:4" x14ac:dyDescent="0.25">
      <c r="A371" s="26" t="s">
        <v>909</v>
      </c>
      <c r="B371" s="26" t="s">
        <v>910</v>
      </c>
      <c r="C371" s="26" t="s">
        <v>711</v>
      </c>
      <c r="D371" s="26" t="s">
        <v>314</v>
      </c>
    </row>
    <row r="372" spans="1:4" x14ac:dyDescent="0.25">
      <c r="A372" s="26" t="s">
        <v>911</v>
      </c>
      <c r="B372" s="26" t="s">
        <v>715</v>
      </c>
      <c r="C372" s="26" t="s">
        <v>711</v>
      </c>
      <c r="D372" s="26" t="s">
        <v>474</v>
      </c>
    </row>
    <row r="373" spans="1:4" x14ac:dyDescent="0.25">
      <c r="A373" s="26" t="s">
        <v>912</v>
      </c>
      <c r="B373" s="26" t="s">
        <v>724</v>
      </c>
      <c r="C373" s="26" t="s">
        <v>711</v>
      </c>
      <c r="D373" s="26" t="s">
        <v>474</v>
      </c>
    </row>
    <row r="374" spans="1:4" x14ac:dyDescent="0.25">
      <c r="A374" s="26" t="s">
        <v>913</v>
      </c>
      <c r="B374" s="26" t="s">
        <v>724</v>
      </c>
      <c r="C374" s="26" t="s">
        <v>711</v>
      </c>
      <c r="D374" s="26" t="s">
        <v>719</v>
      </c>
    </row>
    <row r="375" spans="1:4" x14ac:dyDescent="0.25">
      <c r="A375" s="26" t="s">
        <v>914</v>
      </c>
      <c r="B375" s="26" t="s">
        <v>727</v>
      </c>
      <c r="C375" s="26" t="s">
        <v>711</v>
      </c>
      <c r="D375" s="26" t="s">
        <v>46</v>
      </c>
    </row>
    <row r="376" spans="1:4" x14ac:dyDescent="0.25">
      <c r="A376" s="26" t="s">
        <v>915</v>
      </c>
      <c r="B376" s="26" t="s">
        <v>908</v>
      </c>
      <c r="C376" s="26" t="s">
        <v>711</v>
      </c>
      <c r="D376" s="26" t="s">
        <v>916</v>
      </c>
    </row>
    <row r="377" spans="1:4" x14ac:dyDescent="0.25">
      <c r="A377" s="26" t="s">
        <v>917</v>
      </c>
      <c r="B377" s="26" t="s">
        <v>918</v>
      </c>
      <c r="C377" s="26" t="s">
        <v>711</v>
      </c>
      <c r="D377" s="26" t="s">
        <v>847</v>
      </c>
    </row>
    <row r="378" spans="1:4" x14ac:dyDescent="0.25">
      <c r="A378" s="26" t="s">
        <v>919</v>
      </c>
      <c r="B378" s="26" t="s">
        <v>920</v>
      </c>
      <c r="C378" s="26" t="s">
        <v>595</v>
      </c>
      <c r="D378" s="26" t="s">
        <v>921</v>
      </c>
    </row>
    <row r="379" spans="1:4" x14ac:dyDescent="0.25">
      <c r="A379" s="26" t="s">
        <v>922</v>
      </c>
      <c r="B379" s="26" t="s">
        <v>553</v>
      </c>
      <c r="C379" s="26" t="s">
        <v>547</v>
      </c>
      <c r="D379" s="26" t="s">
        <v>923</v>
      </c>
    </row>
    <row r="380" spans="1:4" x14ac:dyDescent="0.25">
      <c r="A380" s="26" t="s">
        <v>924</v>
      </c>
      <c r="B380" s="26" t="s">
        <v>925</v>
      </c>
      <c r="C380" s="26" t="s">
        <v>741</v>
      </c>
      <c r="D380" s="26" t="s">
        <v>926</v>
      </c>
    </row>
    <row r="381" spans="1:4" x14ac:dyDescent="0.25">
      <c r="A381" s="26" t="s">
        <v>927</v>
      </c>
      <c r="B381" s="26" t="s">
        <v>504</v>
      </c>
      <c r="C381" s="26" t="s">
        <v>489</v>
      </c>
      <c r="D381" s="26" t="s">
        <v>928</v>
      </c>
    </row>
    <row r="382" spans="1:4" x14ac:dyDescent="0.25">
      <c r="A382" s="26" t="s">
        <v>929</v>
      </c>
      <c r="B382" s="26" t="s">
        <v>563</v>
      </c>
      <c r="C382" s="26" t="s">
        <v>559</v>
      </c>
      <c r="D382" s="26" t="s">
        <v>565</v>
      </c>
    </row>
    <row r="383" spans="1:4" x14ac:dyDescent="0.25">
      <c r="A383" s="26">
        <v>1010090</v>
      </c>
      <c r="B383" s="26" t="s">
        <v>107</v>
      </c>
      <c r="C383" s="26" t="s">
        <v>1012</v>
      </c>
      <c r="D383" s="26" t="s">
        <v>35</v>
      </c>
    </row>
    <row r="384" spans="1:4" x14ac:dyDescent="0.25">
      <c r="A384" s="26">
        <v>1030011</v>
      </c>
      <c r="B384" s="26" t="s">
        <v>124</v>
      </c>
      <c r="C384" s="26" t="s">
        <v>1013</v>
      </c>
      <c r="D384" s="26" t="s">
        <v>35</v>
      </c>
    </row>
    <row r="385" spans="1:4" x14ac:dyDescent="0.25">
      <c r="A385" s="26">
        <v>2030055</v>
      </c>
      <c r="B385" s="26" t="s">
        <v>204</v>
      </c>
      <c r="C385" s="26" t="s">
        <v>1014</v>
      </c>
      <c r="D385" s="26" t="s">
        <v>35</v>
      </c>
    </row>
    <row r="386" spans="1:4" x14ac:dyDescent="0.25">
      <c r="A386" s="26">
        <v>2050050</v>
      </c>
      <c r="B386" s="26" t="s">
        <v>216</v>
      </c>
      <c r="C386" s="26" t="s">
        <v>1015</v>
      </c>
      <c r="D386" s="26" t="s">
        <v>35</v>
      </c>
    </row>
    <row r="387" spans="1:4" x14ac:dyDescent="0.25">
      <c r="A387" s="26">
        <v>2510200</v>
      </c>
      <c r="B387" s="26" t="s">
        <v>237</v>
      </c>
      <c r="C387" s="26" t="s">
        <v>1016</v>
      </c>
      <c r="D387" s="26" t="s">
        <v>35</v>
      </c>
    </row>
    <row r="388" spans="1:4" x14ac:dyDescent="0.25">
      <c r="A388" s="26">
        <v>3010190</v>
      </c>
      <c r="B388" s="26" t="s">
        <v>364</v>
      </c>
      <c r="C388" s="26" t="s">
        <v>400</v>
      </c>
      <c r="D388" s="26" t="s">
        <v>35</v>
      </c>
    </row>
    <row r="389" spans="1:4" x14ac:dyDescent="0.25">
      <c r="A389" s="26">
        <v>30201011</v>
      </c>
      <c r="B389" s="26" t="s">
        <v>388</v>
      </c>
      <c r="C389" s="26" t="s">
        <v>392</v>
      </c>
      <c r="D389" s="26" t="s">
        <v>474</v>
      </c>
    </row>
    <row r="390" spans="1:4" x14ac:dyDescent="0.25">
      <c r="A390" s="26">
        <v>3530130</v>
      </c>
      <c r="B390" s="26" t="s">
        <v>431</v>
      </c>
      <c r="C390" s="26" t="s">
        <v>1017</v>
      </c>
      <c r="D390" s="26" t="s">
        <v>415</v>
      </c>
    </row>
    <row r="391" spans="1:4" x14ac:dyDescent="0.25">
      <c r="A391" s="26">
        <v>35702282</v>
      </c>
      <c r="B391" s="26" t="s">
        <v>489</v>
      </c>
      <c r="C391" s="26" t="s">
        <v>509</v>
      </c>
      <c r="D391" s="26" t="s">
        <v>1018</v>
      </c>
    </row>
    <row r="392" spans="1:4" x14ac:dyDescent="0.25">
      <c r="A392" s="26">
        <v>4020045</v>
      </c>
      <c r="B392" s="26" t="s">
        <v>530</v>
      </c>
      <c r="C392" s="26" t="s">
        <v>1019</v>
      </c>
      <c r="D392" s="26" t="s">
        <v>35</v>
      </c>
    </row>
    <row r="393" spans="1:4" x14ac:dyDescent="0.25">
      <c r="A393" s="26">
        <v>4020060</v>
      </c>
      <c r="B393" s="26" t="s">
        <v>530</v>
      </c>
      <c r="C393" s="26" t="s">
        <v>1020</v>
      </c>
      <c r="D393" s="26" t="s">
        <v>531</v>
      </c>
    </row>
    <row r="394" spans="1:4" x14ac:dyDescent="0.25">
      <c r="A394" s="26">
        <v>4040040</v>
      </c>
      <c r="B394" s="26" t="s">
        <v>541</v>
      </c>
      <c r="C394" s="26" t="s">
        <v>1021</v>
      </c>
      <c r="D394" s="26" t="s">
        <v>542</v>
      </c>
    </row>
    <row r="395" spans="1:4" x14ac:dyDescent="0.25">
      <c r="A395" s="26">
        <v>4040050</v>
      </c>
      <c r="B395" s="26" t="s">
        <v>541</v>
      </c>
      <c r="C395" s="26" t="s">
        <v>544</v>
      </c>
      <c r="D395" s="26" t="s">
        <v>531</v>
      </c>
    </row>
    <row r="396" spans="1:4" x14ac:dyDescent="0.25">
      <c r="A396" s="26">
        <v>40901555</v>
      </c>
      <c r="B396" s="26" t="s">
        <v>583</v>
      </c>
      <c r="C396" s="26" t="s">
        <v>1022</v>
      </c>
      <c r="D396" s="26" t="s">
        <v>1023</v>
      </c>
    </row>
    <row r="397" spans="1:4" x14ac:dyDescent="0.25">
      <c r="A397" s="26">
        <v>4091107</v>
      </c>
      <c r="B397" s="26" t="s">
        <v>583</v>
      </c>
      <c r="C397" s="26" t="s">
        <v>1024</v>
      </c>
      <c r="D397" s="26" t="s">
        <v>652</v>
      </c>
    </row>
    <row r="398" spans="1:4" x14ac:dyDescent="0.25">
      <c r="A398" s="26">
        <v>5520320</v>
      </c>
      <c r="B398" s="26" t="s">
        <v>738</v>
      </c>
      <c r="C398" s="26" t="s">
        <v>737</v>
      </c>
      <c r="D398" s="26" t="s">
        <v>314</v>
      </c>
    </row>
    <row r="399" spans="1:4" x14ac:dyDescent="0.25">
      <c r="A399" s="26">
        <v>6010060</v>
      </c>
      <c r="B399" s="26" t="s">
        <v>741</v>
      </c>
      <c r="C399" s="26" t="s">
        <v>753</v>
      </c>
      <c r="D399" s="26" t="s">
        <v>35</v>
      </c>
    </row>
    <row r="400" spans="1:4" x14ac:dyDescent="0.25">
      <c r="A400" s="26">
        <v>60101210</v>
      </c>
      <c r="B400" s="26" t="s">
        <v>741</v>
      </c>
      <c r="C400" s="26" t="s">
        <v>1025</v>
      </c>
      <c r="D400" s="26" t="s">
        <v>921</v>
      </c>
    </row>
    <row r="401" spans="1:4" x14ac:dyDescent="0.25">
      <c r="A401" s="26">
        <v>6111931</v>
      </c>
      <c r="B401" s="26" t="s">
        <v>802</v>
      </c>
      <c r="C401" s="26" t="s">
        <v>1026</v>
      </c>
      <c r="D401" s="26" t="s">
        <v>1027</v>
      </c>
    </row>
    <row r="402" spans="1:4" x14ac:dyDescent="0.25">
      <c r="A402" s="26">
        <v>6510120</v>
      </c>
      <c r="B402" s="26" t="s">
        <v>806</v>
      </c>
      <c r="C402" s="26" t="s">
        <v>1028</v>
      </c>
      <c r="D402" s="26" t="s">
        <v>531</v>
      </c>
    </row>
    <row r="403" spans="1:4" x14ac:dyDescent="0.25">
      <c r="A403" s="26">
        <v>7540030</v>
      </c>
      <c r="B403" s="26" t="s">
        <v>870</v>
      </c>
      <c r="C403" s="26" t="s">
        <v>1029</v>
      </c>
      <c r="D403" s="26" t="s">
        <v>1030</v>
      </c>
    </row>
    <row r="404" spans="1:4" x14ac:dyDescent="0.25">
      <c r="A404" s="26">
        <v>9811170</v>
      </c>
      <c r="B404" s="26" t="s">
        <v>489</v>
      </c>
      <c r="C404" s="26" t="s">
        <v>504</v>
      </c>
      <c r="D404" s="26" t="s">
        <v>194</v>
      </c>
    </row>
    <row r="405" spans="1:4" x14ac:dyDescent="0.25">
      <c r="A405" s="26" t="s">
        <v>1031</v>
      </c>
      <c r="B405" s="26"/>
      <c r="C405" s="26"/>
      <c r="D405" s="26"/>
    </row>
    <row r="406" spans="1:4" x14ac:dyDescent="0.25">
      <c r="A406" s="26"/>
      <c r="B406" s="26"/>
      <c r="C406" s="26"/>
      <c r="D406" s="26"/>
    </row>
    <row r="407" spans="1:4" x14ac:dyDescent="0.25">
      <c r="A407" s="26"/>
      <c r="B407" s="26"/>
      <c r="C407" s="26"/>
      <c r="D407" s="26"/>
    </row>
    <row r="408" spans="1:4" x14ac:dyDescent="0.25">
      <c r="A408" s="26"/>
      <c r="B408" s="26"/>
      <c r="C408" s="26"/>
      <c r="D408" s="26"/>
    </row>
    <row r="409" spans="1:4" x14ac:dyDescent="0.25">
      <c r="A409" s="26"/>
      <c r="B409" s="26"/>
      <c r="C409" s="26"/>
      <c r="D409" s="26"/>
    </row>
    <row r="410" spans="1:4" x14ac:dyDescent="0.25">
      <c r="A410" s="26"/>
      <c r="B410" s="26"/>
      <c r="C410" s="26"/>
      <c r="D410" s="26"/>
    </row>
    <row r="411" spans="1:4" x14ac:dyDescent="0.25">
      <c r="A411" s="26"/>
      <c r="B411" s="26"/>
      <c r="C411" s="26"/>
      <c r="D411" s="26"/>
    </row>
    <row r="412" spans="1:4" x14ac:dyDescent="0.25">
      <c r="A412" s="26"/>
      <c r="B412" s="26"/>
      <c r="C412" s="26"/>
      <c r="D412" s="26"/>
    </row>
    <row r="413" spans="1:4" x14ac:dyDescent="0.25">
      <c r="A413" s="26"/>
      <c r="B413" s="26"/>
      <c r="C413" s="26"/>
      <c r="D413" s="26"/>
    </row>
    <row r="414" spans="1:4" x14ac:dyDescent="0.25">
      <c r="A414" s="26"/>
      <c r="B414" s="26"/>
      <c r="C414" s="26"/>
      <c r="D414" s="26"/>
    </row>
    <row r="415" spans="1:4" x14ac:dyDescent="0.25">
      <c r="A415" s="26"/>
      <c r="B415" s="26"/>
      <c r="C415" s="26"/>
      <c r="D415" s="26"/>
    </row>
    <row r="416" spans="1:4" x14ac:dyDescent="0.25">
      <c r="A416" s="26"/>
      <c r="B416" s="26"/>
      <c r="C416" s="26"/>
      <c r="D416" s="26"/>
    </row>
    <row r="417" spans="1:4" x14ac:dyDescent="0.25">
      <c r="A417" s="26"/>
      <c r="B417" s="26"/>
      <c r="C417" s="26"/>
      <c r="D417" s="26"/>
    </row>
    <row r="418" spans="1:4" x14ac:dyDescent="0.25">
      <c r="A418" s="26"/>
      <c r="B418" s="26"/>
      <c r="C418" s="26"/>
      <c r="D418" s="26"/>
    </row>
    <row r="419" spans="1:4" x14ac:dyDescent="0.25">
      <c r="A419" s="26"/>
      <c r="B419" s="26"/>
      <c r="C419" s="26"/>
      <c r="D419" s="26"/>
    </row>
    <row r="420" spans="1:4" x14ac:dyDescent="0.25">
      <c r="A420" s="26"/>
      <c r="B420" s="26"/>
      <c r="C420" s="26"/>
      <c r="D420" s="26"/>
    </row>
    <row r="421" spans="1:4" x14ac:dyDescent="0.25">
      <c r="A421" s="26"/>
      <c r="B421" s="26"/>
      <c r="C421" s="26"/>
      <c r="D421" s="26"/>
    </row>
    <row r="422" spans="1:4" x14ac:dyDescent="0.25">
      <c r="A422" s="26"/>
      <c r="B422" s="26"/>
      <c r="C422" s="26"/>
      <c r="D422" s="26"/>
    </row>
    <row r="423" spans="1:4" x14ac:dyDescent="0.25">
      <c r="A423" s="26"/>
      <c r="B423" s="26"/>
      <c r="C423" s="26"/>
      <c r="D423" s="26"/>
    </row>
    <row r="424" spans="1:4" x14ac:dyDescent="0.25">
      <c r="A424" s="26"/>
      <c r="B424" s="26"/>
      <c r="C424" s="26"/>
      <c r="D424" s="26"/>
    </row>
    <row r="425" spans="1:4" x14ac:dyDescent="0.25">
      <c r="A425" s="26"/>
      <c r="B425" s="26"/>
      <c r="C425" s="26"/>
      <c r="D425" s="26"/>
    </row>
    <row r="426" spans="1:4" x14ac:dyDescent="0.25">
      <c r="A426" s="26"/>
      <c r="B426" s="26"/>
      <c r="C426" s="26"/>
      <c r="D426" s="26"/>
    </row>
    <row r="427" spans="1:4" x14ac:dyDescent="0.25">
      <c r="A427" s="26"/>
      <c r="B427" s="26"/>
      <c r="C427" s="26"/>
      <c r="D427" s="26"/>
    </row>
    <row r="428" spans="1:4" x14ac:dyDescent="0.25">
      <c r="A428" s="26"/>
      <c r="B428" s="26"/>
      <c r="C428" s="26"/>
      <c r="D428" s="26"/>
    </row>
    <row r="429" spans="1:4" x14ac:dyDescent="0.25">
      <c r="A429" s="26"/>
      <c r="B429" s="26"/>
      <c r="C429" s="26"/>
      <c r="D429" s="26"/>
    </row>
    <row r="430" spans="1:4" x14ac:dyDescent="0.25">
      <c r="A430" s="26"/>
      <c r="B430" s="26"/>
      <c r="C430" s="26"/>
      <c r="D430" s="26"/>
    </row>
    <row r="431" spans="1:4" x14ac:dyDescent="0.25">
      <c r="A431" s="26"/>
      <c r="B431" s="26"/>
      <c r="C431" s="26"/>
      <c r="D431" s="26"/>
    </row>
    <row r="432" spans="1:4" x14ac:dyDescent="0.25">
      <c r="A432" s="26"/>
      <c r="B432" s="26"/>
      <c r="C432" s="26"/>
      <c r="D432" s="26"/>
    </row>
    <row r="433" spans="1:4" x14ac:dyDescent="0.25">
      <c r="A433" s="26"/>
      <c r="B433" s="26"/>
      <c r="C433" s="26"/>
      <c r="D433" s="26"/>
    </row>
    <row r="434" spans="1:4" x14ac:dyDescent="0.25">
      <c r="A434" s="26"/>
      <c r="B434" s="26"/>
      <c r="C434" s="26"/>
      <c r="D434" s="26"/>
    </row>
    <row r="435" spans="1:4" x14ac:dyDescent="0.25">
      <c r="A435" s="26"/>
      <c r="B435" s="26"/>
      <c r="C435" s="26"/>
      <c r="D435" s="26"/>
    </row>
    <row r="436" spans="1:4" x14ac:dyDescent="0.25">
      <c r="A436" s="26"/>
      <c r="B436" s="26"/>
      <c r="C436" s="26"/>
      <c r="D436" s="26"/>
    </row>
    <row r="437" spans="1:4" x14ac:dyDescent="0.25">
      <c r="A437" s="26"/>
      <c r="B437" s="26"/>
      <c r="C437" s="26"/>
      <c r="D437" s="26"/>
    </row>
    <row r="438" spans="1:4" x14ac:dyDescent="0.25">
      <c r="A438" s="26"/>
      <c r="B438" s="26"/>
      <c r="C438" s="26"/>
      <c r="D438" s="26"/>
    </row>
    <row r="439" spans="1:4" x14ac:dyDescent="0.25">
      <c r="A439" s="26"/>
      <c r="B439" s="26"/>
      <c r="C439" s="26"/>
      <c r="D439" s="26"/>
    </row>
    <row r="440" spans="1:4" x14ac:dyDescent="0.25">
      <c r="A440" s="26"/>
      <c r="B440" s="26"/>
      <c r="C440" s="26"/>
      <c r="D440" s="26"/>
    </row>
    <row r="441" spans="1:4" x14ac:dyDescent="0.25">
      <c r="A441" s="26"/>
      <c r="B441" s="26"/>
      <c r="C441" s="26"/>
      <c r="D441" s="26"/>
    </row>
    <row r="442" spans="1:4" x14ac:dyDescent="0.25">
      <c r="A442" s="26"/>
      <c r="B442" s="26"/>
      <c r="C442" s="26"/>
      <c r="D442" s="26"/>
    </row>
    <row r="443" spans="1:4" x14ac:dyDescent="0.25">
      <c r="A443" s="26"/>
      <c r="B443" s="26"/>
      <c r="C443" s="26"/>
      <c r="D443" s="26"/>
    </row>
    <row r="444" spans="1:4" x14ac:dyDescent="0.25">
      <c r="A444" s="26"/>
      <c r="B444" s="26"/>
      <c r="C444" s="26"/>
      <c r="D444" s="26"/>
    </row>
    <row r="445" spans="1:4" x14ac:dyDescent="0.25">
      <c r="A445" s="26"/>
      <c r="B445" s="26"/>
      <c r="C445" s="26"/>
      <c r="D445" s="26"/>
    </row>
    <row r="446" spans="1:4" x14ac:dyDescent="0.25">
      <c r="A446" s="26"/>
      <c r="B446" s="26"/>
      <c r="C446" s="26"/>
      <c r="D446" s="26"/>
    </row>
    <row r="447" spans="1:4" x14ac:dyDescent="0.25">
      <c r="A447" s="26"/>
      <c r="B447" s="26"/>
      <c r="C447" s="26"/>
      <c r="D447" s="26"/>
    </row>
    <row r="448" spans="1:4" x14ac:dyDescent="0.25">
      <c r="A448" s="26"/>
      <c r="B448" s="26"/>
      <c r="C448" s="26"/>
      <c r="D448" s="26"/>
    </row>
    <row r="449" spans="1:4" x14ac:dyDescent="0.25">
      <c r="A449" s="26"/>
      <c r="B449" s="26"/>
      <c r="C449" s="26"/>
      <c r="D449" s="26"/>
    </row>
    <row r="450" spans="1:4" x14ac:dyDescent="0.25">
      <c r="A450" s="26"/>
      <c r="B450" s="26"/>
      <c r="C450" s="26"/>
      <c r="D450" s="26"/>
    </row>
    <row r="451" spans="1:4" x14ac:dyDescent="0.25">
      <c r="A451" s="26"/>
      <c r="B451" s="26"/>
      <c r="C451" s="26"/>
      <c r="D451" s="26"/>
    </row>
    <row r="452" spans="1:4" x14ac:dyDescent="0.25">
      <c r="A452" s="26"/>
      <c r="B452" s="26"/>
      <c r="C452" s="26"/>
      <c r="D452" s="26"/>
    </row>
    <row r="453" spans="1:4" x14ac:dyDescent="0.25">
      <c r="A453" s="26"/>
      <c r="B453" s="26"/>
      <c r="C453" s="26"/>
      <c r="D453" s="26"/>
    </row>
    <row r="454" spans="1:4" x14ac:dyDescent="0.25">
      <c r="A454" s="26"/>
      <c r="B454" s="26"/>
      <c r="C454" s="26"/>
      <c r="D454" s="26"/>
    </row>
    <row r="455" spans="1:4" x14ac:dyDescent="0.25">
      <c r="A455" s="26"/>
      <c r="B455" s="26"/>
      <c r="C455" s="26"/>
      <c r="D455" s="26"/>
    </row>
    <row r="456" spans="1:4" x14ac:dyDescent="0.25">
      <c r="A456" s="26"/>
      <c r="B456" s="26"/>
      <c r="C456" s="26"/>
      <c r="D456" s="26"/>
    </row>
    <row r="457" spans="1:4" x14ac:dyDescent="0.25">
      <c r="A457" s="26"/>
      <c r="B457" s="26"/>
      <c r="C457" s="26"/>
      <c r="D457" s="26"/>
    </row>
    <row r="458" spans="1:4" x14ac:dyDescent="0.25">
      <c r="A458" s="26"/>
      <c r="B458" s="26"/>
      <c r="C458" s="26"/>
      <c r="D458" s="26"/>
    </row>
    <row r="459" spans="1:4" x14ac:dyDescent="0.25">
      <c r="A459" s="26"/>
      <c r="B459" s="26"/>
      <c r="C459" s="26"/>
      <c r="D459" s="26"/>
    </row>
    <row r="460" spans="1:4" x14ac:dyDescent="0.25">
      <c r="A460" s="26"/>
      <c r="B460" s="26"/>
      <c r="C460" s="26"/>
      <c r="D460" s="26"/>
    </row>
    <row r="461" spans="1:4" x14ac:dyDescent="0.25">
      <c r="A461" s="26"/>
      <c r="B461" s="26"/>
      <c r="C461" s="26"/>
      <c r="D461" s="26"/>
    </row>
    <row r="462" spans="1:4" x14ac:dyDescent="0.25">
      <c r="A462" s="26"/>
      <c r="B462" s="26"/>
      <c r="C462" s="26"/>
      <c r="D462" s="26"/>
    </row>
    <row r="463" spans="1:4" x14ac:dyDescent="0.25">
      <c r="A463" s="26"/>
      <c r="B463" s="26"/>
      <c r="C463" s="26"/>
      <c r="D463" s="26"/>
    </row>
    <row r="464" spans="1:4" x14ac:dyDescent="0.25">
      <c r="A464" s="26"/>
      <c r="B464" s="26"/>
      <c r="C464" s="26"/>
      <c r="D464" s="26"/>
    </row>
    <row r="465" spans="1:4" x14ac:dyDescent="0.25">
      <c r="A465" s="26"/>
      <c r="B465" s="26"/>
      <c r="C465" s="26"/>
      <c r="D465" s="26"/>
    </row>
    <row r="466" spans="1:4" x14ac:dyDescent="0.25">
      <c r="A466" s="26"/>
      <c r="B466" s="26"/>
      <c r="C466" s="26"/>
      <c r="D466" s="26"/>
    </row>
    <row r="467" spans="1:4" x14ac:dyDescent="0.25">
      <c r="A467" s="26"/>
      <c r="B467" s="26"/>
      <c r="C467" s="26"/>
      <c r="D467" s="26"/>
    </row>
    <row r="468" spans="1:4" x14ac:dyDescent="0.25">
      <c r="A468" s="26"/>
      <c r="B468" s="26"/>
      <c r="C468" s="26"/>
      <c r="D468" s="26"/>
    </row>
    <row r="469" spans="1:4" x14ac:dyDescent="0.25">
      <c r="A469" s="26"/>
      <c r="B469" s="26"/>
      <c r="C469" s="26"/>
      <c r="D469" s="26"/>
    </row>
    <row r="470" spans="1:4" x14ac:dyDescent="0.25">
      <c r="A470" s="26"/>
      <c r="B470" s="26"/>
      <c r="C470" s="26"/>
      <c r="D470" s="26"/>
    </row>
    <row r="471" spans="1:4" x14ac:dyDescent="0.25">
      <c r="A471" s="26"/>
      <c r="B471" s="26"/>
      <c r="C471" s="26"/>
      <c r="D471" s="26"/>
    </row>
    <row r="472" spans="1:4" x14ac:dyDescent="0.25">
      <c r="A472" s="26"/>
      <c r="B472" s="26"/>
      <c r="C472" s="26"/>
      <c r="D472" s="26"/>
    </row>
    <row r="473" spans="1:4" x14ac:dyDescent="0.25">
      <c r="A473" s="26"/>
      <c r="B473" s="26"/>
      <c r="C473" s="26"/>
      <c r="D473" s="26"/>
    </row>
    <row r="474" spans="1:4" x14ac:dyDescent="0.25">
      <c r="A474" s="26"/>
      <c r="B474" s="26"/>
      <c r="C474" s="26"/>
      <c r="D474" s="26"/>
    </row>
    <row r="475" spans="1:4" x14ac:dyDescent="0.25">
      <c r="A475" s="26"/>
      <c r="B475" s="26"/>
      <c r="C475" s="26"/>
      <c r="D475" s="26"/>
    </row>
    <row r="476" spans="1:4" x14ac:dyDescent="0.25">
      <c r="A476" s="26"/>
      <c r="B476" s="26"/>
      <c r="C476" s="26"/>
      <c r="D476" s="26"/>
    </row>
    <row r="477" spans="1:4" x14ac:dyDescent="0.25">
      <c r="A477" s="26"/>
      <c r="B477" s="26"/>
      <c r="C477" s="26"/>
      <c r="D477" s="26"/>
    </row>
    <row r="478" spans="1:4" x14ac:dyDescent="0.25">
      <c r="A478" s="26"/>
      <c r="B478" s="26"/>
      <c r="C478" s="26"/>
      <c r="D478" s="26"/>
    </row>
    <row r="479" spans="1:4" x14ac:dyDescent="0.25">
      <c r="A479" s="26"/>
      <c r="B479" s="26"/>
      <c r="C479" s="26"/>
      <c r="D479" s="26"/>
    </row>
    <row r="480" spans="1:4" x14ac:dyDescent="0.25">
      <c r="A480" s="26"/>
      <c r="B480" s="26"/>
      <c r="C480" s="26"/>
      <c r="D480" s="26"/>
    </row>
    <row r="481" spans="1:4" x14ac:dyDescent="0.25">
      <c r="A481" s="26"/>
      <c r="B481" s="26"/>
      <c r="C481" s="26"/>
      <c r="D481" s="26"/>
    </row>
    <row r="482" spans="1:4" x14ac:dyDescent="0.25">
      <c r="A482" s="26"/>
      <c r="B482" s="26"/>
      <c r="C482" s="26"/>
      <c r="D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4B183"/>
  </sheetPr>
  <dimension ref="A1:H482"/>
  <sheetViews>
    <sheetView showGridLines="0" workbookViewId="0">
      <pane ySplit="4" topLeftCell="A83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45" style="31" customWidth="1"/>
    <col min="3" max="3" width="18" style="31" customWidth="1"/>
    <col min="4" max="4" width="22" style="31" customWidth="1"/>
    <col min="5" max="5" width="18" style="31" customWidth="1"/>
  </cols>
  <sheetData>
    <row r="1" spans="1:8" ht="23.25" x14ac:dyDescent="0.35">
      <c r="A1" s="111" t="s">
        <v>930</v>
      </c>
      <c r="B1" s="109"/>
      <c r="C1" s="109"/>
      <c r="D1" s="109"/>
      <c r="E1" s="109"/>
      <c r="F1" s="110"/>
      <c r="G1" s="110"/>
      <c r="H1" s="110"/>
    </row>
    <row r="2" spans="1:8" x14ac:dyDescent="0.25">
      <c r="A2" s="108" t="s">
        <v>931</v>
      </c>
      <c r="B2" s="109"/>
      <c r="C2" s="109"/>
      <c r="D2" s="109"/>
      <c r="E2" s="109"/>
      <c r="F2" s="110"/>
      <c r="G2" s="110"/>
      <c r="H2" s="110"/>
    </row>
    <row r="4" spans="1:8" x14ac:dyDescent="0.25">
      <c r="A4" s="33" t="s">
        <v>103</v>
      </c>
      <c r="B4" s="33" t="s">
        <v>95</v>
      </c>
      <c r="C4" s="33" t="s">
        <v>104</v>
      </c>
      <c r="D4" s="33" t="s">
        <v>932</v>
      </c>
      <c r="E4" s="33" t="s">
        <v>933</v>
      </c>
      <c r="F4" s="26" t="s">
        <v>934</v>
      </c>
      <c r="G4" s="26" t="s">
        <v>935</v>
      </c>
    </row>
    <row r="5" spans="1:8" x14ac:dyDescent="0.25">
      <c r="A5" s="26">
        <v>1010010</v>
      </c>
      <c r="B5" s="26" t="s">
        <v>107</v>
      </c>
      <c r="C5" s="26" t="s">
        <v>35</v>
      </c>
      <c r="D5" s="59">
        <v>0</v>
      </c>
      <c r="E5" s="26">
        <v>0</v>
      </c>
      <c r="F5">
        <v>0</v>
      </c>
      <c r="G5" t="s">
        <v>106</v>
      </c>
    </row>
    <row r="6" spans="1:8" x14ac:dyDescent="0.25">
      <c r="A6" s="26">
        <v>1010015</v>
      </c>
      <c r="B6" s="26" t="s">
        <v>107</v>
      </c>
      <c r="C6" s="26" t="s">
        <v>35</v>
      </c>
      <c r="D6" s="59">
        <v>0</v>
      </c>
      <c r="E6" s="26">
        <v>0</v>
      </c>
      <c r="F6">
        <v>0</v>
      </c>
      <c r="G6" t="s">
        <v>109</v>
      </c>
    </row>
    <row r="7" spans="1:8" x14ac:dyDescent="0.25">
      <c r="A7" s="26">
        <v>1010030</v>
      </c>
      <c r="B7" s="26" t="s">
        <v>107</v>
      </c>
      <c r="C7" s="26" t="s">
        <v>35</v>
      </c>
      <c r="D7" s="59">
        <v>0</v>
      </c>
      <c r="E7" s="26">
        <v>0</v>
      </c>
      <c r="F7">
        <v>0</v>
      </c>
      <c r="G7" t="s">
        <v>111</v>
      </c>
    </row>
    <row r="8" spans="1:8" x14ac:dyDescent="0.25">
      <c r="A8" s="26">
        <v>1010070</v>
      </c>
      <c r="B8" s="26" t="s">
        <v>107</v>
      </c>
      <c r="C8" s="26" t="s">
        <v>35</v>
      </c>
      <c r="D8" s="59">
        <v>0</v>
      </c>
      <c r="E8" s="26">
        <v>0</v>
      </c>
      <c r="F8">
        <v>0</v>
      </c>
      <c r="G8" t="s">
        <v>113</v>
      </c>
    </row>
    <row r="9" spans="1:8" x14ac:dyDescent="0.25">
      <c r="A9" s="26">
        <v>1010105</v>
      </c>
      <c r="B9" s="26" t="s">
        <v>107</v>
      </c>
      <c r="C9" s="26" t="s">
        <v>35</v>
      </c>
      <c r="D9" s="59">
        <v>0</v>
      </c>
      <c r="E9" s="26">
        <v>0</v>
      </c>
      <c r="F9">
        <v>0</v>
      </c>
      <c r="G9" t="s">
        <v>115</v>
      </c>
    </row>
    <row r="10" spans="1:8" x14ac:dyDescent="0.25">
      <c r="A10" s="26">
        <v>1010120</v>
      </c>
      <c r="B10" s="26" t="s">
        <v>107</v>
      </c>
      <c r="C10" s="26" t="s">
        <v>35</v>
      </c>
      <c r="D10" s="59">
        <v>0</v>
      </c>
      <c r="E10" s="26">
        <v>0</v>
      </c>
      <c r="F10">
        <v>0</v>
      </c>
      <c r="G10" t="s">
        <v>117</v>
      </c>
    </row>
    <row r="11" spans="1:8" x14ac:dyDescent="0.25">
      <c r="A11" s="26">
        <v>1010130</v>
      </c>
      <c r="B11" s="26" t="s">
        <v>107</v>
      </c>
      <c r="C11" s="26" t="s">
        <v>35</v>
      </c>
      <c r="D11" s="59">
        <v>0</v>
      </c>
      <c r="E11" s="26">
        <v>0</v>
      </c>
      <c r="F11">
        <v>0</v>
      </c>
      <c r="G11" t="s">
        <v>119</v>
      </c>
    </row>
    <row r="12" spans="1:8" x14ac:dyDescent="0.25">
      <c r="A12" s="26">
        <v>1010140</v>
      </c>
      <c r="B12" s="26" t="s">
        <v>107</v>
      </c>
      <c r="C12" s="26" t="s">
        <v>35</v>
      </c>
      <c r="D12" s="59">
        <v>0</v>
      </c>
      <c r="E12" s="26">
        <v>0</v>
      </c>
      <c r="F12">
        <v>0</v>
      </c>
      <c r="G12" t="s">
        <v>121</v>
      </c>
    </row>
    <row r="13" spans="1:8" x14ac:dyDescent="0.25">
      <c r="A13" s="26">
        <v>1010170</v>
      </c>
      <c r="B13" s="26" t="s">
        <v>107</v>
      </c>
      <c r="C13" s="26" t="s">
        <v>35</v>
      </c>
      <c r="D13" s="59">
        <v>0</v>
      </c>
      <c r="E13" s="26">
        <v>0</v>
      </c>
      <c r="F13">
        <v>0</v>
      </c>
      <c r="G13" t="s">
        <v>34</v>
      </c>
    </row>
    <row r="14" spans="1:8" x14ac:dyDescent="0.25">
      <c r="A14" s="26">
        <v>1030010</v>
      </c>
      <c r="B14" s="26" t="s">
        <v>124</v>
      </c>
      <c r="C14" s="26" t="s">
        <v>35</v>
      </c>
      <c r="D14" s="59">
        <v>0</v>
      </c>
      <c r="E14" s="26">
        <v>0</v>
      </c>
      <c r="F14">
        <v>0</v>
      </c>
      <c r="G14" t="s">
        <v>123</v>
      </c>
    </row>
    <row r="15" spans="1:8" x14ac:dyDescent="0.25">
      <c r="A15" s="26">
        <v>1030040</v>
      </c>
      <c r="B15" s="26" t="s">
        <v>124</v>
      </c>
      <c r="C15" s="26" t="s">
        <v>35</v>
      </c>
      <c r="D15" s="59">
        <v>0</v>
      </c>
      <c r="E15" s="26">
        <v>0</v>
      </c>
      <c r="F15">
        <v>0</v>
      </c>
      <c r="G15" t="s">
        <v>37</v>
      </c>
    </row>
    <row r="16" spans="1:8" x14ac:dyDescent="0.25">
      <c r="A16" s="26">
        <v>1030050</v>
      </c>
      <c r="B16" s="26" t="s">
        <v>124</v>
      </c>
      <c r="C16" s="26" t="s">
        <v>35</v>
      </c>
      <c r="D16" s="59">
        <v>0</v>
      </c>
      <c r="E16" s="26">
        <v>0</v>
      </c>
      <c r="F16">
        <v>0</v>
      </c>
      <c r="G16" t="s">
        <v>126</v>
      </c>
    </row>
    <row r="17" spans="1:7" x14ac:dyDescent="0.25">
      <c r="A17" s="26">
        <v>1050020</v>
      </c>
      <c r="B17" s="26" t="s">
        <v>129</v>
      </c>
      <c r="C17" s="26" t="s">
        <v>35</v>
      </c>
      <c r="D17" s="59">
        <v>0</v>
      </c>
      <c r="E17" s="26">
        <v>0</v>
      </c>
      <c r="F17">
        <v>0</v>
      </c>
      <c r="G17" t="s">
        <v>128</v>
      </c>
    </row>
    <row r="18" spans="1:7" x14ac:dyDescent="0.25">
      <c r="A18" s="26">
        <v>1050030</v>
      </c>
      <c r="B18" s="26" t="s">
        <v>129</v>
      </c>
      <c r="C18" s="26" t="s">
        <v>35</v>
      </c>
      <c r="D18" s="59">
        <v>0</v>
      </c>
      <c r="E18" s="26">
        <v>0</v>
      </c>
      <c r="F18">
        <v>0</v>
      </c>
      <c r="G18" t="s">
        <v>131</v>
      </c>
    </row>
    <row r="19" spans="1:7" x14ac:dyDescent="0.25">
      <c r="A19" s="26">
        <v>1050050</v>
      </c>
      <c r="B19" s="26" t="s">
        <v>129</v>
      </c>
      <c r="C19" s="26" t="s">
        <v>35</v>
      </c>
      <c r="D19" s="59">
        <v>0</v>
      </c>
      <c r="E19" s="26">
        <v>0</v>
      </c>
      <c r="F19">
        <v>0</v>
      </c>
      <c r="G19" t="s">
        <v>133</v>
      </c>
    </row>
    <row r="20" spans="1:7" x14ac:dyDescent="0.25">
      <c r="A20" s="26">
        <v>1050100</v>
      </c>
      <c r="B20" s="26" t="s">
        <v>129</v>
      </c>
      <c r="C20" s="26" t="s">
        <v>35</v>
      </c>
      <c r="D20" s="59">
        <v>0</v>
      </c>
      <c r="E20" s="26">
        <v>0</v>
      </c>
      <c r="F20">
        <v>0</v>
      </c>
      <c r="G20" t="s">
        <v>135</v>
      </c>
    </row>
    <row r="21" spans="1:7" x14ac:dyDescent="0.25">
      <c r="A21" s="26">
        <v>1050120</v>
      </c>
      <c r="B21" s="26" t="s">
        <v>129</v>
      </c>
      <c r="C21" s="26" t="s">
        <v>35</v>
      </c>
      <c r="D21" s="59">
        <v>0</v>
      </c>
      <c r="E21" s="26">
        <v>0</v>
      </c>
      <c r="F21">
        <v>0</v>
      </c>
      <c r="G21" t="s">
        <v>137</v>
      </c>
    </row>
    <row r="22" spans="1:7" x14ac:dyDescent="0.25">
      <c r="A22" s="26">
        <v>1050140</v>
      </c>
      <c r="B22" s="26" t="s">
        <v>129</v>
      </c>
      <c r="C22" s="26" t="s">
        <v>35</v>
      </c>
      <c r="D22" s="59">
        <v>0</v>
      </c>
      <c r="E22" s="26">
        <v>0</v>
      </c>
      <c r="F22">
        <v>0</v>
      </c>
      <c r="G22" t="s">
        <v>139</v>
      </c>
    </row>
    <row r="23" spans="1:7" x14ac:dyDescent="0.25">
      <c r="A23" s="26">
        <v>1050170</v>
      </c>
      <c r="B23" s="26" t="s">
        <v>129</v>
      </c>
      <c r="C23" s="26" t="s">
        <v>35</v>
      </c>
      <c r="D23" s="59">
        <v>0</v>
      </c>
      <c r="E23" s="26">
        <v>0</v>
      </c>
      <c r="F23">
        <v>0</v>
      </c>
      <c r="G23" t="s">
        <v>141</v>
      </c>
    </row>
    <row r="24" spans="1:7" x14ac:dyDescent="0.25">
      <c r="A24" s="26">
        <v>1050190</v>
      </c>
      <c r="B24" s="26" t="s">
        <v>129</v>
      </c>
      <c r="C24" s="26" t="s">
        <v>35</v>
      </c>
      <c r="D24" s="59">
        <v>0</v>
      </c>
      <c r="E24" s="26">
        <v>0</v>
      </c>
      <c r="F24">
        <v>0</v>
      </c>
      <c r="G24" t="s">
        <v>143</v>
      </c>
    </row>
    <row r="25" spans="1:7" x14ac:dyDescent="0.25">
      <c r="A25" s="26">
        <v>1060010</v>
      </c>
      <c r="B25" s="26" t="s">
        <v>146</v>
      </c>
      <c r="C25" s="26" t="s">
        <v>35</v>
      </c>
      <c r="D25" s="59">
        <v>0</v>
      </c>
      <c r="E25" s="26">
        <v>0</v>
      </c>
      <c r="F25">
        <v>0</v>
      </c>
      <c r="G25" t="s">
        <v>145</v>
      </c>
    </row>
    <row r="26" spans="1:7" x14ac:dyDescent="0.25">
      <c r="A26" s="26">
        <v>1060020</v>
      </c>
      <c r="B26" s="26" t="s">
        <v>146</v>
      </c>
      <c r="C26" s="26" t="s">
        <v>35</v>
      </c>
      <c r="D26" s="59">
        <v>0</v>
      </c>
      <c r="E26" s="26">
        <v>0</v>
      </c>
      <c r="F26">
        <v>0</v>
      </c>
      <c r="G26" t="s">
        <v>148</v>
      </c>
    </row>
    <row r="27" spans="1:7" x14ac:dyDescent="0.25">
      <c r="A27" s="26">
        <v>1060030</v>
      </c>
      <c r="B27" s="26" t="s">
        <v>146</v>
      </c>
      <c r="C27" s="26" t="s">
        <v>35</v>
      </c>
      <c r="D27" s="59">
        <v>0</v>
      </c>
      <c r="E27" s="26">
        <v>0</v>
      </c>
      <c r="F27">
        <v>0</v>
      </c>
      <c r="G27" t="s">
        <v>150</v>
      </c>
    </row>
    <row r="28" spans="1:7" x14ac:dyDescent="0.25">
      <c r="A28" s="26">
        <v>1060041</v>
      </c>
      <c r="B28" s="26" t="s">
        <v>146</v>
      </c>
      <c r="C28" s="26" t="s">
        <v>35</v>
      </c>
      <c r="D28" s="59">
        <v>0</v>
      </c>
      <c r="E28" s="26">
        <v>0</v>
      </c>
      <c r="F28">
        <v>0</v>
      </c>
      <c r="G28" t="s">
        <v>152</v>
      </c>
    </row>
    <row r="29" spans="1:7" x14ac:dyDescent="0.25">
      <c r="A29" s="26">
        <v>1060050</v>
      </c>
      <c r="B29" s="26" t="s">
        <v>146</v>
      </c>
      <c r="C29" s="26" t="s">
        <v>35</v>
      </c>
      <c r="D29" s="59">
        <v>0</v>
      </c>
      <c r="E29" s="26">
        <v>0</v>
      </c>
      <c r="F29">
        <v>0</v>
      </c>
      <c r="G29" t="s">
        <v>154</v>
      </c>
    </row>
    <row r="30" spans="1:7" x14ac:dyDescent="0.25">
      <c r="A30" s="26">
        <v>1060070</v>
      </c>
      <c r="B30" s="26" t="s">
        <v>146</v>
      </c>
      <c r="C30" s="26" t="s">
        <v>35</v>
      </c>
      <c r="D30" s="59">
        <v>0</v>
      </c>
      <c r="E30" s="26">
        <v>0</v>
      </c>
      <c r="F30">
        <v>0</v>
      </c>
      <c r="G30" t="s">
        <v>156</v>
      </c>
    </row>
    <row r="31" spans="1:7" x14ac:dyDescent="0.25">
      <c r="A31" s="26">
        <v>1060080</v>
      </c>
      <c r="B31" s="26" t="s">
        <v>146</v>
      </c>
      <c r="C31" s="26" t="s">
        <v>35</v>
      </c>
      <c r="D31" s="59">
        <v>0</v>
      </c>
      <c r="E31" s="26">
        <v>0</v>
      </c>
      <c r="F31">
        <v>0</v>
      </c>
      <c r="G31" t="s">
        <v>158</v>
      </c>
    </row>
    <row r="32" spans="1:7" x14ac:dyDescent="0.25">
      <c r="A32" s="26">
        <v>1060090</v>
      </c>
      <c r="B32" s="26" t="s">
        <v>146</v>
      </c>
      <c r="C32" s="26" t="s">
        <v>35</v>
      </c>
      <c r="D32" s="59">
        <v>0</v>
      </c>
      <c r="E32" s="26">
        <v>0</v>
      </c>
      <c r="F32">
        <v>0</v>
      </c>
      <c r="G32" t="s">
        <v>160</v>
      </c>
    </row>
    <row r="33" spans="1:7" x14ac:dyDescent="0.25">
      <c r="A33" s="26">
        <v>1080010</v>
      </c>
      <c r="B33" s="26" t="s">
        <v>163</v>
      </c>
      <c r="C33" s="26" t="s">
        <v>35</v>
      </c>
      <c r="D33" s="59">
        <v>0</v>
      </c>
      <c r="E33" s="26">
        <v>0</v>
      </c>
      <c r="F33">
        <v>0</v>
      </c>
      <c r="G33" t="s">
        <v>162</v>
      </c>
    </row>
    <row r="34" spans="1:7" x14ac:dyDescent="0.25">
      <c r="A34" s="26">
        <v>1510020</v>
      </c>
      <c r="B34" s="26" t="s">
        <v>166</v>
      </c>
      <c r="C34" s="26" t="s">
        <v>35</v>
      </c>
      <c r="D34" s="59">
        <v>0</v>
      </c>
      <c r="E34" s="26">
        <v>0</v>
      </c>
      <c r="F34">
        <v>0</v>
      </c>
      <c r="G34" t="s">
        <v>165</v>
      </c>
    </row>
    <row r="35" spans="1:7" x14ac:dyDescent="0.25">
      <c r="A35" s="26">
        <v>1520040</v>
      </c>
      <c r="B35" s="26" t="s">
        <v>169</v>
      </c>
      <c r="C35" s="26" t="s">
        <v>35</v>
      </c>
      <c r="D35" s="59">
        <v>0</v>
      </c>
      <c r="E35" s="26">
        <v>0</v>
      </c>
      <c r="F35">
        <v>0</v>
      </c>
      <c r="G35" t="s">
        <v>168</v>
      </c>
    </row>
    <row r="36" spans="1:7" x14ac:dyDescent="0.25">
      <c r="A36" s="26">
        <v>1520050</v>
      </c>
      <c r="B36" s="26" t="s">
        <v>169</v>
      </c>
      <c r="C36" s="26" t="s">
        <v>35</v>
      </c>
      <c r="D36" s="59">
        <v>0</v>
      </c>
      <c r="E36" s="26">
        <v>0</v>
      </c>
      <c r="F36">
        <v>0</v>
      </c>
      <c r="G36" t="s">
        <v>171</v>
      </c>
    </row>
    <row r="37" spans="1:7" x14ac:dyDescent="0.25">
      <c r="A37" s="26">
        <v>1530020</v>
      </c>
      <c r="B37" s="26" t="s">
        <v>174</v>
      </c>
      <c r="C37" s="26" t="s">
        <v>35</v>
      </c>
      <c r="D37" s="59">
        <v>0</v>
      </c>
      <c r="E37" s="26">
        <v>0</v>
      </c>
      <c r="F37">
        <v>0</v>
      </c>
      <c r="G37" t="s">
        <v>173</v>
      </c>
    </row>
    <row r="38" spans="1:7" x14ac:dyDescent="0.25">
      <c r="A38" s="26">
        <v>1530030</v>
      </c>
      <c r="B38" s="26" t="s">
        <v>174</v>
      </c>
      <c r="C38" s="26" t="s">
        <v>35</v>
      </c>
      <c r="D38" s="59">
        <v>0</v>
      </c>
      <c r="E38" s="26">
        <v>0</v>
      </c>
      <c r="F38">
        <v>0</v>
      </c>
      <c r="G38" t="s">
        <v>176</v>
      </c>
    </row>
    <row r="39" spans="1:7" x14ac:dyDescent="0.25">
      <c r="A39" s="26">
        <v>1530040</v>
      </c>
      <c r="B39" s="26" t="s">
        <v>174</v>
      </c>
      <c r="C39" s="26" t="s">
        <v>35</v>
      </c>
      <c r="D39" s="59">
        <v>0</v>
      </c>
      <c r="E39" s="26">
        <v>0</v>
      </c>
      <c r="F39">
        <v>0</v>
      </c>
      <c r="G39" t="s">
        <v>178</v>
      </c>
    </row>
    <row r="40" spans="1:7" x14ac:dyDescent="0.25">
      <c r="A40" s="26">
        <v>1540010</v>
      </c>
      <c r="B40" s="26" t="s">
        <v>181</v>
      </c>
      <c r="C40" s="26" t="s">
        <v>35</v>
      </c>
      <c r="D40" s="59">
        <v>0</v>
      </c>
      <c r="E40" s="26">
        <v>0</v>
      </c>
      <c r="F40">
        <v>0</v>
      </c>
      <c r="G40" t="s">
        <v>180</v>
      </c>
    </row>
    <row r="41" spans="1:7" x14ac:dyDescent="0.25">
      <c r="A41" s="26">
        <v>15601043</v>
      </c>
      <c r="B41" s="26" t="s">
        <v>183</v>
      </c>
      <c r="C41" s="26" t="s">
        <v>184</v>
      </c>
      <c r="D41" s="59">
        <v>0</v>
      </c>
      <c r="E41" s="26">
        <v>0</v>
      </c>
      <c r="F41">
        <v>0</v>
      </c>
      <c r="G41" t="s">
        <v>49</v>
      </c>
    </row>
    <row r="42" spans="1:7" x14ac:dyDescent="0.25">
      <c r="A42" s="26">
        <v>1560113</v>
      </c>
      <c r="B42" s="26" t="s">
        <v>183</v>
      </c>
      <c r="C42" s="26" t="s">
        <v>184</v>
      </c>
      <c r="D42" s="59">
        <v>0</v>
      </c>
      <c r="E42" s="26">
        <v>0</v>
      </c>
      <c r="F42">
        <v>0</v>
      </c>
      <c r="G42" t="s">
        <v>186</v>
      </c>
    </row>
    <row r="43" spans="1:7" x14ac:dyDescent="0.25">
      <c r="A43" s="26">
        <v>1560146</v>
      </c>
      <c r="B43" s="26" t="s">
        <v>183</v>
      </c>
      <c r="C43" s="26" t="s">
        <v>50</v>
      </c>
      <c r="D43" s="59">
        <v>0</v>
      </c>
      <c r="E43" s="26">
        <v>0</v>
      </c>
      <c r="F43">
        <v>0</v>
      </c>
      <c r="G43" t="s">
        <v>49</v>
      </c>
    </row>
    <row r="44" spans="1:7" x14ac:dyDescent="0.25">
      <c r="A44" s="26">
        <v>1605050</v>
      </c>
      <c r="B44" s="26" t="s">
        <v>189</v>
      </c>
      <c r="C44" s="26" t="s">
        <v>190</v>
      </c>
      <c r="D44" s="59">
        <v>0</v>
      </c>
      <c r="E44" s="26">
        <v>0</v>
      </c>
      <c r="F44">
        <v>0</v>
      </c>
      <c r="G44" t="s">
        <v>188</v>
      </c>
    </row>
    <row r="45" spans="1:7" x14ac:dyDescent="0.25">
      <c r="A45" s="26">
        <v>1605088</v>
      </c>
      <c r="B45" s="26" t="s">
        <v>193</v>
      </c>
      <c r="C45" s="26" t="s">
        <v>194</v>
      </c>
      <c r="D45" s="59">
        <v>0</v>
      </c>
      <c r="E45" s="26">
        <v>0</v>
      </c>
      <c r="F45">
        <v>0</v>
      </c>
      <c r="G45" t="s">
        <v>192</v>
      </c>
    </row>
    <row r="46" spans="1:7" x14ac:dyDescent="0.25">
      <c r="A46" s="26">
        <v>1615607</v>
      </c>
      <c r="B46" s="26" t="s">
        <v>129</v>
      </c>
      <c r="C46" s="26" t="s">
        <v>53</v>
      </c>
      <c r="D46" s="59">
        <v>0</v>
      </c>
      <c r="E46" s="26">
        <v>0</v>
      </c>
      <c r="F46">
        <v>0</v>
      </c>
      <c r="G46" t="s">
        <v>52</v>
      </c>
    </row>
    <row r="47" spans="1:7" x14ac:dyDescent="0.25">
      <c r="A47" s="26">
        <v>2010010</v>
      </c>
      <c r="B47" s="26" t="s">
        <v>197</v>
      </c>
      <c r="C47" s="26" t="s">
        <v>35</v>
      </c>
      <c r="D47" s="59">
        <v>0</v>
      </c>
      <c r="E47" s="26">
        <v>0</v>
      </c>
      <c r="F47">
        <v>0</v>
      </c>
      <c r="G47" t="s">
        <v>196</v>
      </c>
    </row>
    <row r="48" spans="1:7" x14ac:dyDescent="0.25">
      <c r="A48" s="26">
        <v>2010040</v>
      </c>
      <c r="B48" s="26" t="s">
        <v>197</v>
      </c>
      <c r="C48" s="26" t="s">
        <v>35</v>
      </c>
      <c r="D48" s="59">
        <v>0</v>
      </c>
      <c r="E48" s="26">
        <v>0</v>
      </c>
      <c r="F48">
        <v>0</v>
      </c>
      <c r="G48" t="s">
        <v>199</v>
      </c>
    </row>
    <row r="49" spans="1:7" x14ac:dyDescent="0.25">
      <c r="A49" s="26">
        <v>2010060</v>
      </c>
      <c r="B49" s="26" t="s">
        <v>197</v>
      </c>
      <c r="C49" s="26" t="s">
        <v>35</v>
      </c>
      <c r="D49" s="59">
        <v>0</v>
      </c>
      <c r="E49" s="26">
        <v>0</v>
      </c>
      <c r="F49">
        <v>0</v>
      </c>
      <c r="G49" t="s">
        <v>201</v>
      </c>
    </row>
    <row r="50" spans="1:7" x14ac:dyDescent="0.25">
      <c r="A50" s="26">
        <v>2030060</v>
      </c>
      <c r="B50" s="26" t="s">
        <v>204</v>
      </c>
      <c r="C50" s="26" t="s">
        <v>35</v>
      </c>
      <c r="D50" s="59">
        <v>0</v>
      </c>
      <c r="E50" s="26">
        <v>0</v>
      </c>
      <c r="F50">
        <v>0</v>
      </c>
      <c r="G50" t="s">
        <v>203</v>
      </c>
    </row>
    <row r="51" spans="1:7" x14ac:dyDescent="0.25">
      <c r="A51" s="26">
        <v>2030090</v>
      </c>
      <c r="B51" s="26" t="s">
        <v>204</v>
      </c>
      <c r="C51" s="26" t="s">
        <v>35</v>
      </c>
      <c r="D51" s="59">
        <v>0</v>
      </c>
      <c r="E51" s="26">
        <v>0</v>
      </c>
      <c r="F51">
        <v>0</v>
      </c>
      <c r="G51" t="s">
        <v>206</v>
      </c>
    </row>
    <row r="52" spans="1:7" x14ac:dyDescent="0.25">
      <c r="A52" s="26">
        <v>2030120</v>
      </c>
      <c r="B52" s="26" t="s">
        <v>204</v>
      </c>
      <c r="C52" s="26" t="s">
        <v>35</v>
      </c>
      <c r="D52" s="59">
        <v>0</v>
      </c>
      <c r="E52" s="26">
        <v>0</v>
      </c>
      <c r="F52">
        <v>0</v>
      </c>
      <c r="G52" t="s">
        <v>208</v>
      </c>
    </row>
    <row r="53" spans="1:7" x14ac:dyDescent="0.25">
      <c r="A53" s="26">
        <v>2030130</v>
      </c>
      <c r="B53" s="26" t="s">
        <v>204</v>
      </c>
      <c r="C53" s="26" t="s">
        <v>35</v>
      </c>
      <c r="D53" s="59">
        <v>0</v>
      </c>
      <c r="E53" s="26">
        <v>0</v>
      </c>
      <c r="F53">
        <v>0</v>
      </c>
      <c r="G53" t="s">
        <v>39</v>
      </c>
    </row>
    <row r="54" spans="1:7" x14ac:dyDescent="0.25">
      <c r="A54" s="26">
        <v>2030140</v>
      </c>
      <c r="B54" s="26" t="s">
        <v>204</v>
      </c>
      <c r="C54" s="26" t="s">
        <v>35</v>
      </c>
      <c r="D54" s="59">
        <v>0</v>
      </c>
      <c r="E54" s="26">
        <v>0</v>
      </c>
      <c r="F54">
        <v>0</v>
      </c>
      <c r="G54" t="s">
        <v>211</v>
      </c>
    </row>
    <row r="55" spans="1:7" x14ac:dyDescent="0.25">
      <c r="A55" s="26">
        <v>2030170</v>
      </c>
      <c r="B55" s="26" t="s">
        <v>204</v>
      </c>
      <c r="C55" s="26" t="s">
        <v>35</v>
      </c>
      <c r="D55" s="59">
        <v>0</v>
      </c>
      <c r="E55" s="26">
        <v>0</v>
      </c>
      <c r="F55">
        <v>0</v>
      </c>
      <c r="G55" t="s">
        <v>213</v>
      </c>
    </row>
    <row r="56" spans="1:7" x14ac:dyDescent="0.25">
      <c r="A56" s="26">
        <v>2030387</v>
      </c>
      <c r="B56" s="26" t="s">
        <v>204</v>
      </c>
      <c r="C56" s="26" t="s">
        <v>40</v>
      </c>
      <c r="D56" s="59">
        <v>0</v>
      </c>
      <c r="E56" s="26">
        <v>0</v>
      </c>
      <c r="F56">
        <v>0</v>
      </c>
      <c r="G56" t="s">
        <v>39</v>
      </c>
    </row>
    <row r="57" spans="1:7" x14ac:dyDescent="0.25">
      <c r="A57" s="26">
        <v>2050010</v>
      </c>
      <c r="B57" s="26" t="s">
        <v>216</v>
      </c>
      <c r="C57" s="26" t="s">
        <v>35</v>
      </c>
      <c r="D57" s="59">
        <v>0</v>
      </c>
      <c r="E57" s="26">
        <v>0</v>
      </c>
      <c r="F57">
        <v>0</v>
      </c>
      <c r="G57" t="s">
        <v>215</v>
      </c>
    </row>
    <row r="58" spans="1:7" x14ac:dyDescent="0.25">
      <c r="A58" s="26">
        <v>2050030</v>
      </c>
      <c r="B58" s="26" t="s">
        <v>216</v>
      </c>
      <c r="C58" s="26" t="s">
        <v>35</v>
      </c>
      <c r="D58" s="59">
        <v>0</v>
      </c>
      <c r="E58" s="26">
        <v>0</v>
      </c>
      <c r="F58">
        <v>0</v>
      </c>
      <c r="G58" t="s">
        <v>218</v>
      </c>
    </row>
    <row r="59" spans="1:7" x14ac:dyDescent="0.25">
      <c r="A59" s="26">
        <v>2050080</v>
      </c>
      <c r="B59" s="26" t="s">
        <v>216</v>
      </c>
      <c r="C59" s="26" t="s">
        <v>35</v>
      </c>
      <c r="D59" s="59">
        <v>0</v>
      </c>
      <c r="E59" s="26">
        <v>0</v>
      </c>
      <c r="F59">
        <v>0</v>
      </c>
      <c r="G59" t="s">
        <v>220</v>
      </c>
    </row>
    <row r="60" spans="1:7" x14ac:dyDescent="0.25">
      <c r="A60" s="26">
        <v>2050120</v>
      </c>
      <c r="B60" s="26" t="s">
        <v>216</v>
      </c>
      <c r="C60" s="26" t="s">
        <v>35</v>
      </c>
      <c r="D60" s="59">
        <v>0</v>
      </c>
      <c r="E60" s="26">
        <v>0</v>
      </c>
      <c r="F60">
        <v>0</v>
      </c>
      <c r="G60" t="s">
        <v>222</v>
      </c>
    </row>
    <row r="61" spans="1:7" x14ac:dyDescent="0.25">
      <c r="A61" s="26">
        <v>2050140</v>
      </c>
      <c r="B61" s="26" t="s">
        <v>216</v>
      </c>
      <c r="C61" s="26" t="s">
        <v>35</v>
      </c>
      <c r="D61" s="59">
        <v>0</v>
      </c>
      <c r="E61" s="26">
        <v>0</v>
      </c>
      <c r="F61">
        <v>0</v>
      </c>
      <c r="G61" t="s">
        <v>224</v>
      </c>
    </row>
    <row r="62" spans="1:7" x14ac:dyDescent="0.25">
      <c r="A62" s="26">
        <v>2050166</v>
      </c>
      <c r="B62" s="26" t="s">
        <v>216</v>
      </c>
      <c r="C62" s="26" t="s">
        <v>35</v>
      </c>
      <c r="D62" s="59">
        <v>0</v>
      </c>
      <c r="E62" s="26">
        <v>0</v>
      </c>
      <c r="F62">
        <v>0</v>
      </c>
      <c r="G62" t="s">
        <v>226</v>
      </c>
    </row>
    <row r="63" spans="1:7" x14ac:dyDescent="0.25">
      <c r="A63" s="26">
        <v>2050220</v>
      </c>
      <c r="B63" s="26" t="s">
        <v>216</v>
      </c>
      <c r="C63" s="26" t="s">
        <v>35</v>
      </c>
      <c r="D63" s="59">
        <v>0</v>
      </c>
      <c r="E63" s="26">
        <v>0</v>
      </c>
      <c r="F63">
        <v>0</v>
      </c>
      <c r="G63" t="s">
        <v>228</v>
      </c>
    </row>
    <row r="64" spans="1:7" x14ac:dyDescent="0.25">
      <c r="A64" s="26">
        <v>2060239</v>
      </c>
      <c r="B64" s="26" t="s">
        <v>231</v>
      </c>
      <c r="C64" s="26" t="s">
        <v>232</v>
      </c>
      <c r="D64" s="59">
        <v>0</v>
      </c>
      <c r="E64" s="26">
        <v>0</v>
      </c>
      <c r="F64">
        <v>0</v>
      </c>
      <c r="G64" t="s">
        <v>230</v>
      </c>
    </row>
    <row r="65" spans="1:7" x14ac:dyDescent="0.25">
      <c r="A65" s="26">
        <v>2060243</v>
      </c>
      <c r="B65" s="26" t="s">
        <v>231</v>
      </c>
      <c r="C65" s="26" t="s">
        <v>43</v>
      </c>
      <c r="D65" s="59">
        <v>0</v>
      </c>
      <c r="E65" s="26">
        <v>0</v>
      </c>
      <c r="F65">
        <v>0</v>
      </c>
      <c r="G65" t="s">
        <v>42</v>
      </c>
    </row>
    <row r="66" spans="1:7" x14ac:dyDescent="0.25">
      <c r="A66" s="26">
        <v>2060315</v>
      </c>
      <c r="B66" s="26" t="s">
        <v>231</v>
      </c>
      <c r="C66" s="26" t="s">
        <v>234</v>
      </c>
      <c r="D66" s="59">
        <v>0</v>
      </c>
      <c r="E66" s="26">
        <v>0</v>
      </c>
      <c r="F66">
        <v>0</v>
      </c>
      <c r="G66" t="s">
        <v>42</v>
      </c>
    </row>
    <row r="67" spans="1:7" x14ac:dyDescent="0.25">
      <c r="A67" s="26">
        <v>2510030</v>
      </c>
      <c r="B67" s="26" t="s">
        <v>237</v>
      </c>
      <c r="C67" s="26" t="s">
        <v>35</v>
      </c>
      <c r="D67" s="59">
        <v>0</v>
      </c>
      <c r="E67" s="26">
        <v>0</v>
      </c>
      <c r="F67">
        <v>0</v>
      </c>
      <c r="G67" t="s">
        <v>236</v>
      </c>
    </row>
    <row r="68" spans="1:7" x14ac:dyDescent="0.25">
      <c r="A68" s="26">
        <v>2510045</v>
      </c>
      <c r="B68" s="26" t="s">
        <v>237</v>
      </c>
      <c r="C68" s="26" t="s">
        <v>35</v>
      </c>
      <c r="D68" s="59">
        <v>0</v>
      </c>
      <c r="E68" s="26">
        <v>0</v>
      </c>
      <c r="F68">
        <v>0</v>
      </c>
      <c r="G68" t="s">
        <v>239</v>
      </c>
    </row>
    <row r="69" spans="1:7" x14ac:dyDescent="0.25">
      <c r="A69" s="26">
        <v>2510050</v>
      </c>
      <c r="B69" s="26" t="s">
        <v>237</v>
      </c>
      <c r="C69" s="26" t="s">
        <v>35</v>
      </c>
      <c r="D69" s="59">
        <v>0</v>
      </c>
      <c r="E69" s="26">
        <v>0</v>
      </c>
      <c r="F69">
        <v>0</v>
      </c>
      <c r="G69" t="s">
        <v>241</v>
      </c>
    </row>
    <row r="70" spans="1:7" x14ac:dyDescent="0.25">
      <c r="A70" s="26">
        <v>2510055</v>
      </c>
      <c r="B70" s="26" t="s">
        <v>237</v>
      </c>
      <c r="C70" s="26" t="s">
        <v>35</v>
      </c>
      <c r="D70" s="59">
        <v>0</v>
      </c>
      <c r="E70" s="26">
        <v>0</v>
      </c>
      <c r="F70">
        <v>0</v>
      </c>
      <c r="G70" t="s">
        <v>243</v>
      </c>
    </row>
    <row r="71" spans="1:7" x14ac:dyDescent="0.25">
      <c r="A71" s="26">
        <v>2510060</v>
      </c>
      <c r="B71" s="26" t="s">
        <v>237</v>
      </c>
      <c r="C71" s="26" t="s">
        <v>35</v>
      </c>
      <c r="D71" s="59">
        <v>0</v>
      </c>
      <c r="E71" s="26">
        <v>0</v>
      </c>
      <c r="F71">
        <v>0</v>
      </c>
      <c r="G71" t="s">
        <v>245</v>
      </c>
    </row>
    <row r="72" spans="1:7" x14ac:dyDescent="0.25">
      <c r="A72" s="26">
        <v>2510080</v>
      </c>
      <c r="B72" s="26" t="s">
        <v>237</v>
      </c>
      <c r="C72" s="26" t="s">
        <v>35</v>
      </c>
      <c r="D72" s="59">
        <v>0</v>
      </c>
      <c r="E72" s="26">
        <v>0</v>
      </c>
      <c r="F72">
        <v>0</v>
      </c>
      <c r="G72" t="s">
        <v>247</v>
      </c>
    </row>
    <row r="73" spans="1:7" x14ac:dyDescent="0.25">
      <c r="A73" s="26">
        <v>2510090</v>
      </c>
      <c r="B73" s="26" t="s">
        <v>237</v>
      </c>
      <c r="C73" s="26" t="s">
        <v>35</v>
      </c>
      <c r="D73" s="59">
        <v>0</v>
      </c>
      <c r="E73" s="26">
        <v>0</v>
      </c>
      <c r="F73">
        <v>0</v>
      </c>
      <c r="G73" t="s">
        <v>249</v>
      </c>
    </row>
    <row r="74" spans="1:7" x14ac:dyDescent="0.25">
      <c r="A74" s="26">
        <v>2510100</v>
      </c>
      <c r="B74" s="26" t="s">
        <v>237</v>
      </c>
      <c r="C74" s="26" t="s">
        <v>35</v>
      </c>
      <c r="D74" s="59">
        <v>0</v>
      </c>
      <c r="E74" s="26">
        <v>0</v>
      </c>
      <c r="F74">
        <v>0</v>
      </c>
      <c r="G74" t="s">
        <v>251</v>
      </c>
    </row>
    <row r="75" spans="1:7" x14ac:dyDescent="0.25">
      <c r="A75" s="26">
        <v>2510110</v>
      </c>
      <c r="B75" s="26" t="s">
        <v>237</v>
      </c>
      <c r="C75" s="26" t="s">
        <v>35</v>
      </c>
      <c r="D75" s="59">
        <v>0</v>
      </c>
      <c r="E75" s="26">
        <v>0</v>
      </c>
      <c r="F75">
        <v>0</v>
      </c>
      <c r="G75" t="s">
        <v>253</v>
      </c>
    </row>
    <row r="76" spans="1:7" x14ac:dyDescent="0.25">
      <c r="A76" s="26">
        <v>2510120</v>
      </c>
      <c r="B76" s="26" t="s">
        <v>237</v>
      </c>
      <c r="C76" s="26" t="s">
        <v>35</v>
      </c>
      <c r="D76" s="59">
        <v>0</v>
      </c>
      <c r="E76" s="26">
        <v>0</v>
      </c>
      <c r="F76">
        <v>0</v>
      </c>
      <c r="G76" t="s">
        <v>255</v>
      </c>
    </row>
    <row r="77" spans="1:7" x14ac:dyDescent="0.25">
      <c r="A77" s="26">
        <v>2510130</v>
      </c>
      <c r="B77" s="26" t="s">
        <v>237</v>
      </c>
      <c r="C77" s="26" t="s">
        <v>35</v>
      </c>
      <c r="D77" s="59">
        <v>0</v>
      </c>
      <c r="E77" s="26">
        <v>0</v>
      </c>
      <c r="F77">
        <v>0</v>
      </c>
      <c r="G77" t="s">
        <v>257</v>
      </c>
    </row>
    <row r="78" spans="1:7" x14ac:dyDescent="0.25">
      <c r="A78" s="26">
        <v>2510140</v>
      </c>
      <c r="B78" s="26" t="s">
        <v>237</v>
      </c>
      <c r="C78" s="26" t="s">
        <v>35</v>
      </c>
      <c r="D78" s="59">
        <v>0</v>
      </c>
      <c r="E78" s="26">
        <v>0</v>
      </c>
      <c r="F78">
        <v>0</v>
      </c>
      <c r="G78" t="s">
        <v>259</v>
      </c>
    </row>
    <row r="79" spans="1:7" x14ac:dyDescent="0.25">
      <c r="A79" s="26">
        <v>2510150</v>
      </c>
      <c r="B79" s="26" t="s">
        <v>237</v>
      </c>
      <c r="C79" s="26" t="s">
        <v>35</v>
      </c>
      <c r="D79" s="59">
        <v>0</v>
      </c>
      <c r="E79" s="26">
        <v>0</v>
      </c>
      <c r="F79">
        <v>0</v>
      </c>
      <c r="G79" t="s">
        <v>261</v>
      </c>
    </row>
    <row r="80" spans="1:7" x14ac:dyDescent="0.25">
      <c r="A80" s="26">
        <v>2510160</v>
      </c>
      <c r="B80" s="26" t="s">
        <v>237</v>
      </c>
      <c r="C80" s="26" t="s">
        <v>35</v>
      </c>
      <c r="D80" s="59">
        <v>0</v>
      </c>
      <c r="E80" s="26">
        <v>0</v>
      </c>
      <c r="F80">
        <v>0</v>
      </c>
      <c r="G80" t="s">
        <v>263</v>
      </c>
    </row>
    <row r="81" spans="1:7" x14ac:dyDescent="0.25">
      <c r="A81" s="26">
        <v>2510170</v>
      </c>
      <c r="B81" s="26" t="s">
        <v>237</v>
      </c>
      <c r="C81" s="26" t="s">
        <v>35</v>
      </c>
      <c r="D81" s="59">
        <v>0</v>
      </c>
      <c r="E81" s="26">
        <v>0</v>
      </c>
      <c r="F81">
        <v>0</v>
      </c>
      <c r="G81" t="s">
        <v>265</v>
      </c>
    </row>
    <row r="82" spans="1:7" x14ac:dyDescent="0.25">
      <c r="A82" s="26">
        <v>2510180</v>
      </c>
      <c r="B82" s="26" t="s">
        <v>237</v>
      </c>
      <c r="C82" s="26" t="s">
        <v>35</v>
      </c>
      <c r="D82" s="59">
        <v>0</v>
      </c>
      <c r="E82" s="26">
        <v>0</v>
      </c>
      <c r="F82">
        <v>0</v>
      </c>
      <c r="G82" t="s">
        <v>267</v>
      </c>
    </row>
    <row r="83" spans="1:7" x14ac:dyDescent="0.25">
      <c r="A83" s="26">
        <v>2510230</v>
      </c>
      <c r="B83" s="26" t="s">
        <v>237</v>
      </c>
      <c r="C83" s="26" t="s">
        <v>35</v>
      </c>
      <c r="D83" s="59">
        <v>0</v>
      </c>
      <c r="E83" s="26">
        <v>0</v>
      </c>
      <c r="F83">
        <v>0</v>
      </c>
      <c r="G83" t="s">
        <v>269</v>
      </c>
    </row>
    <row r="84" spans="1:7" x14ac:dyDescent="0.25">
      <c r="A84" s="26">
        <v>2510240</v>
      </c>
      <c r="B84" s="26" t="s">
        <v>237</v>
      </c>
      <c r="C84" s="26" t="s">
        <v>35</v>
      </c>
      <c r="D84" s="59">
        <v>0</v>
      </c>
      <c r="E84" s="26">
        <v>0</v>
      </c>
      <c r="F84">
        <v>0</v>
      </c>
      <c r="G84" t="s">
        <v>271</v>
      </c>
    </row>
    <row r="85" spans="1:7" x14ac:dyDescent="0.25">
      <c r="A85" s="26">
        <v>2510250</v>
      </c>
      <c r="B85" s="26" t="s">
        <v>237</v>
      </c>
      <c r="C85" s="26" t="s">
        <v>35</v>
      </c>
      <c r="D85" s="59">
        <v>0</v>
      </c>
      <c r="E85" s="26">
        <v>0</v>
      </c>
      <c r="F85">
        <v>0</v>
      </c>
      <c r="G85" t="s">
        <v>273</v>
      </c>
    </row>
    <row r="86" spans="1:7" x14ac:dyDescent="0.25">
      <c r="A86" s="26">
        <v>2510260</v>
      </c>
      <c r="B86" s="26" t="s">
        <v>237</v>
      </c>
      <c r="C86" s="26" t="s">
        <v>35</v>
      </c>
      <c r="D86" s="59">
        <v>0</v>
      </c>
      <c r="E86" s="26">
        <v>0</v>
      </c>
      <c r="F86">
        <v>0</v>
      </c>
      <c r="G86" t="s">
        <v>275</v>
      </c>
    </row>
    <row r="87" spans="1:7" x14ac:dyDescent="0.25">
      <c r="A87" s="26">
        <v>2510271</v>
      </c>
      <c r="B87" s="26" t="s">
        <v>237</v>
      </c>
      <c r="C87" s="26" t="s">
        <v>35</v>
      </c>
      <c r="D87" s="59">
        <v>0</v>
      </c>
      <c r="E87" s="26">
        <v>0</v>
      </c>
      <c r="F87">
        <v>0</v>
      </c>
      <c r="G87" t="s">
        <v>277</v>
      </c>
    </row>
    <row r="88" spans="1:7" x14ac:dyDescent="0.25">
      <c r="A88" s="26">
        <v>2510272</v>
      </c>
      <c r="B88" s="26" t="s">
        <v>237</v>
      </c>
      <c r="C88" s="26" t="s">
        <v>35</v>
      </c>
      <c r="D88" s="59">
        <v>0</v>
      </c>
      <c r="E88" s="26">
        <v>0</v>
      </c>
      <c r="F88">
        <v>0</v>
      </c>
      <c r="G88" t="s">
        <v>279</v>
      </c>
    </row>
    <row r="89" spans="1:7" x14ac:dyDescent="0.25">
      <c r="A89" s="26">
        <v>2510280</v>
      </c>
      <c r="B89" s="26" t="s">
        <v>237</v>
      </c>
      <c r="C89" s="26" t="s">
        <v>35</v>
      </c>
      <c r="D89" s="59">
        <v>0</v>
      </c>
      <c r="E89" s="26">
        <v>0</v>
      </c>
      <c r="F89">
        <v>0</v>
      </c>
      <c r="G89" t="s">
        <v>281</v>
      </c>
    </row>
    <row r="90" spans="1:7" x14ac:dyDescent="0.25">
      <c r="A90" s="26">
        <v>2510290</v>
      </c>
      <c r="B90" s="26" t="s">
        <v>237</v>
      </c>
      <c r="C90" s="26" t="s">
        <v>35</v>
      </c>
      <c r="D90" s="59">
        <v>0</v>
      </c>
      <c r="E90" s="26">
        <v>0</v>
      </c>
      <c r="F90">
        <v>0</v>
      </c>
      <c r="G90" t="s">
        <v>283</v>
      </c>
    </row>
    <row r="91" spans="1:7" x14ac:dyDescent="0.25">
      <c r="A91" s="26">
        <v>2510300</v>
      </c>
      <c r="B91" s="26" t="s">
        <v>237</v>
      </c>
      <c r="C91" s="26" t="s">
        <v>35</v>
      </c>
      <c r="D91" s="59">
        <v>0</v>
      </c>
      <c r="E91" s="26">
        <v>0</v>
      </c>
      <c r="F91">
        <v>0</v>
      </c>
      <c r="G91" t="s">
        <v>285</v>
      </c>
    </row>
    <row r="92" spans="1:7" x14ac:dyDescent="0.25">
      <c r="A92" s="26">
        <v>2510310</v>
      </c>
      <c r="B92" s="26" t="s">
        <v>237</v>
      </c>
      <c r="C92" s="26" t="s">
        <v>35</v>
      </c>
      <c r="D92" s="59">
        <v>0</v>
      </c>
      <c r="E92" s="26">
        <v>0</v>
      </c>
      <c r="F92">
        <v>0</v>
      </c>
      <c r="G92" t="s">
        <v>287</v>
      </c>
    </row>
    <row r="93" spans="1:7" x14ac:dyDescent="0.25">
      <c r="A93" s="26">
        <v>2510320</v>
      </c>
      <c r="B93" s="26" t="s">
        <v>237</v>
      </c>
      <c r="C93" s="26" t="s">
        <v>35</v>
      </c>
      <c r="D93" s="59">
        <v>0</v>
      </c>
      <c r="E93" s="26">
        <v>0</v>
      </c>
      <c r="F93">
        <v>0</v>
      </c>
      <c r="G93" t="s">
        <v>289</v>
      </c>
    </row>
    <row r="94" spans="1:7" x14ac:dyDescent="0.25">
      <c r="A94" s="26">
        <v>2510330</v>
      </c>
      <c r="B94" s="26" t="s">
        <v>237</v>
      </c>
      <c r="C94" s="26" t="s">
        <v>35</v>
      </c>
      <c r="D94" s="59">
        <v>0</v>
      </c>
      <c r="E94" s="26">
        <v>0</v>
      </c>
      <c r="F94">
        <v>0</v>
      </c>
      <c r="G94" t="s">
        <v>291</v>
      </c>
    </row>
    <row r="95" spans="1:7" x14ac:dyDescent="0.25">
      <c r="A95" s="26">
        <v>2510340</v>
      </c>
      <c r="B95" s="26" t="s">
        <v>237</v>
      </c>
      <c r="C95" s="26" t="s">
        <v>35</v>
      </c>
      <c r="D95" s="59">
        <v>0</v>
      </c>
      <c r="E95" s="26">
        <v>0</v>
      </c>
      <c r="F95">
        <v>0</v>
      </c>
      <c r="G95" t="s">
        <v>293</v>
      </c>
    </row>
    <row r="96" spans="1:7" x14ac:dyDescent="0.25">
      <c r="A96" s="26">
        <v>2510350</v>
      </c>
      <c r="B96" s="26" t="s">
        <v>237</v>
      </c>
      <c r="C96" s="26" t="s">
        <v>35</v>
      </c>
      <c r="D96" s="59">
        <v>0</v>
      </c>
      <c r="E96" s="26">
        <v>0</v>
      </c>
      <c r="F96">
        <v>0</v>
      </c>
      <c r="G96" t="s">
        <v>295</v>
      </c>
    </row>
    <row r="97" spans="1:7" x14ac:dyDescent="0.25">
      <c r="A97" s="26">
        <v>2510370</v>
      </c>
      <c r="B97" s="26" t="s">
        <v>237</v>
      </c>
      <c r="C97" s="26" t="s">
        <v>35</v>
      </c>
      <c r="D97" s="59">
        <v>0</v>
      </c>
      <c r="E97" s="26">
        <v>0</v>
      </c>
      <c r="F97">
        <v>0</v>
      </c>
      <c r="G97" t="s">
        <v>297</v>
      </c>
    </row>
    <row r="98" spans="1:7" x14ac:dyDescent="0.25">
      <c r="A98" s="26">
        <v>2510440</v>
      </c>
      <c r="B98" s="26" t="s">
        <v>237</v>
      </c>
      <c r="C98" s="26" t="s">
        <v>35</v>
      </c>
      <c r="D98" s="59">
        <v>0</v>
      </c>
      <c r="E98" s="26">
        <v>0</v>
      </c>
      <c r="F98">
        <v>0</v>
      </c>
      <c r="G98" t="s">
        <v>299</v>
      </c>
    </row>
    <row r="99" spans="1:7" x14ac:dyDescent="0.25">
      <c r="A99" s="26">
        <v>2520040</v>
      </c>
      <c r="B99" s="26" t="s">
        <v>302</v>
      </c>
      <c r="C99" s="26" t="s">
        <v>35</v>
      </c>
      <c r="D99" s="59">
        <v>0</v>
      </c>
      <c r="E99" s="26">
        <v>0</v>
      </c>
      <c r="F99">
        <v>0</v>
      </c>
      <c r="G99" t="s">
        <v>301</v>
      </c>
    </row>
    <row r="100" spans="1:7" x14ac:dyDescent="0.25">
      <c r="A100" s="26">
        <v>2520096</v>
      </c>
      <c r="B100" s="26" t="s">
        <v>302</v>
      </c>
      <c r="C100" s="26" t="s">
        <v>35</v>
      </c>
      <c r="D100" s="59">
        <v>0</v>
      </c>
      <c r="E100" s="26">
        <v>0</v>
      </c>
      <c r="F100">
        <v>0</v>
      </c>
      <c r="G100" t="s">
        <v>304</v>
      </c>
    </row>
    <row r="101" spans="1:7" x14ac:dyDescent="0.25">
      <c r="A101" s="26">
        <v>2530010</v>
      </c>
      <c r="B101" s="26" t="s">
        <v>307</v>
      </c>
      <c r="C101" s="26" t="s">
        <v>35</v>
      </c>
      <c r="D101" s="59">
        <v>0</v>
      </c>
      <c r="E101" s="26">
        <v>0</v>
      </c>
      <c r="F101">
        <v>0</v>
      </c>
      <c r="G101" t="s">
        <v>306</v>
      </c>
    </row>
    <row r="102" spans="1:7" x14ac:dyDescent="0.25">
      <c r="A102" s="26">
        <v>2530020</v>
      </c>
      <c r="B102" s="26" t="s">
        <v>307</v>
      </c>
      <c r="C102" s="26" t="s">
        <v>35</v>
      </c>
      <c r="D102" s="59">
        <v>0</v>
      </c>
      <c r="E102" s="26">
        <v>0</v>
      </c>
      <c r="F102">
        <v>0</v>
      </c>
      <c r="G102" t="s">
        <v>241</v>
      </c>
    </row>
    <row r="103" spans="1:7" x14ac:dyDescent="0.25">
      <c r="A103" s="26">
        <v>2530040</v>
      </c>
      <c r="B103" s="26" t="s">
        <v>307</v>
      </c>
      <c r="C103" s="26" t="s">
        <v>35</v>
      </c>
      <c r="D103" s="59">
        <v>0</v>
      </c>
      <c r="E103" s="26">
        <v>0</v>
      </c>
      <c r="F103">
        <v>0</v>
      </c>
      <c r="G103" t="s">
        <v>310</v>
      </c>
    </row>
    <row r="104" spans="1:7" x14ac:dyDescent="0.25">
      <c r="A104" s="26">
        <v>2530050</v>
      </c>
      <c r="B104" s="26" t="s">
        <v>307</v>
      </c>
      <c r="C104" s="26" t="s">
        <v>35</v>
      </c>
      <c r="D104" s="59">
        <v>0</v>
      </c>
      <c r="E104" s="26">
        <v>0</v>
      </c>
      <c r="F104">
        <v>0</v>
      </c>
      <c r="G104" t="s">
        <v>251</v>
      </c>
    </row>
    <row r="105" spans="1:7" x14ac:dyDescent="0.25">
      <c r="A105" s="26">
        <v>25300513</v>
      </c>
      <c r="B105" s="26" t="s">
        <v>307</v>
      </c>
      <c r="C105" s="26" t="s">
        <v>314</v>
      </c>
      <c r="D105" s="59">
        <v>0</v>
      </c>
      <c r="E105" s="26">
        <v>0</v>
      </c>
      <c r="F105">
        <v>0</v>
      </c>
      <c r="G105" t="s">
        <v>313</v>
      </c>
    </row>
    <row r="106" spans="1:7" x14ac:dyDescent="0.25">
      <c r="A106" s="26">
        <v>2530060</v>
      </c>
      <c r="B106" s="26" t="s">
        <v>307</v>
      </c>
      <c r="C106" s="26" t="s">
        <v>35</v>
      </c>
      <c r="D106" s="59">
        <v>0</v>
      </c>
      <c r="E106" s="26">
        <v>0</v>
      </c>
      <c r="F106">
        <v>0</v>
      </c>
      <c r="G106" t="s">
        <v>316</v>
      </c>
    </row>
    <row r="107" spans="1:7" x14ac:dyDescent="0.25">
      <c r="A107" s="26">
        <v>2530070</v>
      </c>
      <c r="B107" s="26" t="s">
        <v>307</v>
      </c>
      <c r="C107" s="26" t="s">
        <v>35</v>
      </c>
      <c r="D107" s="59">
        <v>0</v>
      </c>
      <c r="E107" s="26">
        <v>0</v>
      </c>
      <c r="F107">
        <v>0</v>
      </c>
      <c r="G107" t="s">
        <v>318</v>
      </c>
    </row>
    <row r="108" spans="1:7" x14ac:dyDescent="0.25">
      <c r="A108" s="26">
        <v>2530080</v>
      </c>
      <c r="B108" s="26" t="s">
        <v>307</v>
      </c>
      <c r="C108" s="26" t="s">
        <v>35</v>
      </c>
      <c r="D108" s="59">
        <v>0</v>
      </c>
      <c r="E108" s="26">
        <v>0</v>
      </c>
      <c r="F108">
        <v>0</v>
      </c>
      <c r="G108" t="s">
        <v>320</v>
      </c>
    </row>
    <row r="109" spans="1:7" x14ac:dyDescent="0.25">
      <c r="A109" s="26">
        <v>2530100</v>
      </c>
      <c r="B109" s="26" t="s">
        <v>307</v>
      </c>
      <c r="C109" s="26" t="s">
        <v>35</v>
      </c>
      <c r="D109" s="59">
        <v>0</v>
      </c>
      <c r="E109" s="26">
        <v>0</v>
      </c>
      <c r="F109">
        <v>0</v>
      </c>
      <c r="G109" t="s">
        <v>322</v>
      </c>
    </row>
    <row r="110" spans="1:7" x14ac:dyDescent="0.25">
      <c r="A110" s="26">
        <v>2530110</v>
      </c>
      <c r="B110" s="26" t="s">
        <v>307</v>
      </c>
      <c r="C110" s="26" t="s">
        <v>35</v>
      </c>
      <c r="D110" s="59">
        <v>0</v>
      </c>
      <c r="E110" s="26">
        <v>0</v>
      </c>
      <c r="F110">
        <v>0</v>
      </c>
      <c r="G110" t="s">
        <v>313</v>
      </c>
    </row>
    <row r="111" spans="1:7" x14ac:dyDescent="0.25">
      <c r="A111" s="26">
        <v>2530120</v>
      </c>
      <c r="B111" s="26" t="s">
        <v>307</v>
      </c>
      <c r="C111" s="26" t="s">
        <v>35</v>
      </c>
      <c r="D111" s="59">
        <v>0</v>
      </c>
      <c r="E111" s="26">
        <v>0</v>
      </c>
      <c r="F111">
        <v>0</v>
      </c>
      <c r="G111" t="s">
        <v>325</v>
      </c>
    </row>
    <row r="112" spans="1:7" x14ac:dyDescent="0.25">
      <c r="A112" s="26">
        <v>2530130</v>
      </c>
      <c r="B112" s="26" t="s">
        <v>307</v>
      </c>
      <c r="C112" s="26" t="s">
        <v>35</v>
      </c>
      <c r="D112" s="59">
        <v>0</v>
      </c>
      <c r="E112" s="26">
        <v>0</v>
      </c>
      <c r="F112">
        <v>0</v>
      </c>
      <c r="G112" t="s">
        <v>291</v>
      </c>
    </row>
    <row r="113" spans="1:7" x14ac:dyDescent="0.25">
      <c r="A113" s="26">
        <v>2530312</v>
      </c>
      <c r="B113" s="26" t="s">
        <v>307</v>
      </c>
      <c r="C113" s="26" t="s">
        <v>35</v>
      </c>
      <c r="D113" s="59">
        <v>0</v>
      </c>
      <c r="E113" s="26">
        <v>0</v>
      </c>
      <c r="F113">
        <v>0</v>
      </c>
      <c r="G113" t="s">
        <v>328</v>
      </c>
    </row>
    <row r="114" spans="1:7" x14ac:dyDescent="0.25">
      <c r="A114" s="26">
        <v>2530313</v>
      </c>
      <c r="B114" s="26" t="s">
        <v>307</v>
      </c>
      <c r="C114" s="26" t="s">
        <v>35</v>
      </c>
      <c r="D114" s="59">
        <v>0</v>
      </c>
      <c r="E114" s="26">
        <v>0</v>
      </c>
      <c r="F114">
        <v>0</v>
      </c>
      <c r="G114" t="s">
        <v>55</v>
      </c>
    </row>
    <row r="115" spans="1:7" x14ac:dyDescent="0.25">
      <c r="A115" s="26">
        <v>2530432</v>
      </c>
      <c r="B115" s="26" t="s">
        <v>307</v>
      </c>
      <c r="C115" s="26" t="s">
        <v>35</v>
      </c>
      <c r="D115" s="59">
        <v>0</v>
      </c>
      <c r="E115" s="26">
        <v>0</v>
      </c>
      <c r="F115">
        <v>0</v>
      </c>
      <c r="G115" t="s">
        <v>330</v>
      </c>
    </row>
    <row r="116" spans="1:7" x14ac:dyDescent="0.25">
      <c r="A116" s="26">
        <v>2530981</v>
      </c>
      <c r="B116" s="26" t="s">
        <v>237</v>
      </c>
      <c r="C116" s="26" t="s">
        <v>333</v>
      </c>
      <c r="D116" s="59">
        <v>0</v>
      </c>
      <c r="E116" s="26">
        <v>0</v>
      </c>
      <c r="F116">
        <v>0</v>
      </c>
      <c r="G116" t="s">
        <v>332</v>
      </c>
    </row>
    <row r="117" spans="1:7" x14ac:dyDescent="0.25">
      <c r="A117" s="26">
        <v>2540020</v>
      </c>
      <c r="B117" s="26" t="s">
        <v>336</v>
      </c>
      <c r="C117" s="26" t="s">
        <v>35</v>
      </c>
      <c r="D117" s="59">
        <v>0</v>
      </c>
      <c r="E117" s="26">
        <v>0</v>
      </c>
      <c r="F117">
        <v>0</v>
      </c>
      <c r="G117" t="s">
        <v>335</v>
      </c>
    </row>
    <row r="118" spans="1:7" x14ac:dyDescent="0.25">
      <c r="A118" s="26">
        <v>2540030</v>
      </c>
      <c r="B118" s="26" t="s">
        <v>336</v>
      </c>
      <c r="C118" s="26" t="s">
        <v>35</v>
      </c>
      <c r="D118" s="59">
        <v>0</v>
      </c>
      <c r="E118" s="26">
        <v>0</v>
      </c>
      <c r="F118">
        <v>0</v>
      </c>
      <c r="G118" t="s">
        <v>338</v>
      </c>
    </row>
    <row r="119" spans="1:7" x14ac:dyDescent="0.25">
      <c r="A119" s="26">
        <v>25400385</v>
      </c>
      <c r="B119" s="26" t="s">
        <v>336</v>
      </c>
      <c r="C119" s="26" t="s">
        <v>314</v>
      </c>
      <c r="D119" s="59">
        <v>0</v>
      </c>
      <c r="E119" s="26">
        <v>0</v>
      </c>
      <c r="F119">
        <v>0</v>
      </c>
      <c r="G119" t="s">
        <v>340</v>
      </c>
    </row>
    <row r="120" spans="1:7" x14ac:dyDescent="0.25">
      <c r="A120" s="26">
        <v>2540050</v>
      </c>
      <c r="B120" s="26" t="s">
        <v>336</v>
      </c>
      <c r="C120" s="26" t="s">
        <v>35</v>
      </c>
      <c r="D120" s="59">
        <v>0</v>
      </c>
      <c r="E120" s="26">
        <v>0</v>
      </c>
      <c r="F120">
        <v>0</v>
      </c>
      <c r="G120" t="s">
        <v>342</v>
      </c>
    </row>
    <row r="121" spans="1:7" x14ac:dyDescent="0.25">
      <c r="A121" s="26">
        <v>2540055</v>
      </c>
      <c r="B121" s="26" t="s">
        <v>336</v>
      </c>
      <c r="C121" s="26" t="s">
        <v>35</v>
      </c>
      <c r="D121" s="59">
        <v>0</v>
      </c>
      <c r="E121" s="26">
        <v>0</v>
      </c>
      <c r="F121">
        <v>0</v>
      </c>
      <c r="G121" t="s">
        <v>344</v>
      </c>
    </row>
    <row r="122" spans="1:7" x14ac:dyDescent="0.25">
      <c r="A122" s="26">
        <v>2540090</v>
      </c>
      <c r="B122" s="26" t="s">
        <v>336</v>
      </c>
      <c r="C122" s="26" t="s">
        <v>35</v>
      </c>
      <c r="D122" s="59">
        <v>0</v>
      </c>
      <c r="E122" s="26">
        <v>0</v>
      </c>
      <c r="F122">
        <v>0</v>
      </c>
      <c r="G122" t="s">
        <v>346</v>
      </c>
    </row>
    <row r="123" spans="1:7" x14ac:dyDescent="0.25">
      <c r="A123" s="26">
        <v>2540100</v>
      </c>
      <c r="B123" s="26" t="s">
        <v>336</v>
      </c>
      <c r="C123" s="26" t="s">
        <v>35</v>
      </c>
      <c r="D123" s="59">
        <v>0</v>
      </c>
      <c r="E123" s="26">
        <v>0</v>
      </c>
      <c r="F123">
        <v>0</v>
      </c>
      <c r="G123" t="s">
        <v>348</v>
      </c>
    </row>
    <row r="124" spans="1:7" x14ac:dyDescent="0.25">
      <c r="A124" s="26">
        <v>2550120</v>
      </c>
      <c r="B124" s="26" t="s">
        <v>351</v>
      </c>
      <c r="C124" s="26" t="s">
        <v>352</v>
      </c>
      <c r="D124" s="59">
        <v>0</v>
      </c>
      <c r="E124" s="26">
        <v>0</v>
      </c>
      <c r="F124">
        <v>0</v>
      </c>
      <c r="G124" t="s">
        <v>350</v>
      </c>
    </row>
    <row r="125" spans="1:7" x14ac:dyDescent="0.25">
      <c r="A125" s="26">
        <v>2550190</v>
      </c>
      <c r="B125" s="26" t="s">
        <v>351</v>
      </c>
      <c r="C125" s="26" t="s">
        <v>355</v>
      </c>
      <c r="D125" s="59">
        <v>0</v>
      </c>
      <c r="E125" s="26">
        <v>0</v>
      </c>
      <c r="F125">
        <v>0</v>
      </c>
      <c r="G125" t="s">
        <v>354</v>
      </c>
    </row>
    <row r="126" spans="1:7" x14ac:dyDescent="0.25">
      <c r="A126" s="26">
        <v>2550453</v>
      </c>
      <c r="B126" s="26" t="s">
        <v>351</v>
      </c>
      <c r="C126" s="26" t="s">
        <v>355</v>
      </c>
      <c r="D126" s="59">
        <v>0</v>
      </c>
      <c r="E126" s="26">
        <v>0</v>
      </c>
      <c r="F126">
        <v>0</v>
      </c>
      <c r="G126" t="s">
        <v>357</v>
      </c>
    </row>
    <row r="127" spans="1:7" x14ac:dyDescent="0.25">
      <c r="A127" s="26">
        <v>2550476</v>
      </c>
      <c r="B127" s="26" t="s">
        <v>351</v>
      </c>
      <c r="C127" s="26" t="s">
        <v>359</v>
      </c>
      <c r="D127" s="59">
        <v>0</v>
      </c>
      <c r="E127" s="26">
        <v>0</v>
      </c>
      <c r="F127">
        <v>0</v>
      </c>
      <c r="G127" t="s">
        <v>350</v>
      </c>
    </row>
    <row r="128" spans="1:7" x14ac:dyDescent="0.25">
      <c r="A128" s="26">
        <v>2550512</v>
      </c>
      <c r="B128" s="26" t="s">
        <v>351</v>
      </c>
      <c r="C128" s="26" t="s">
        <v>361</v>
      </c>
      <c r="D128" s="59">
        <v>0</v>
      </c>
      <c r="E128" s="26">
        <v>0</v>
      </c>
      <c r="F128">
        <v>0</v>
      </c>
      <c r="G128" t="s">
        <v>354</v>
      </c>
    </row>
    <row r="129" spans="1:7" x14ac:dyDescent="0.25">
      <c r="A129" s="26">
        <v>3010015</v>
      </c>
      <c r="B129" s="26" t="s">
        <v>364</v>
      </c>
      <c r="C129" s="26" t="s">
        <v>35</v>
      </c>
      <c r="D129" s="59">
        <v>0</v>
      </c>
      <c r="E129" s="26">
        <v>0</v>
      </c>
      <c r="F129">
        <v>0</v>
      </c>
      <c r="G129" t="s">
        <v>363</v>
      </c>
    </row>
    <row r="130" spans="1:7" x14ac:dyDescent="0.25">
      <c r="A130" s="26">
        <v>3010020</v>
      </c>
      <c r="B130" s="26" t="s">
        <v>364</v>
      </c>
      <c r="C130" s="26" t="s">
        <v>35</v>
      </c>
      <c r="D130" s="59">
        <v>0</v>
      </c>
      <c r="E130" s="26">
        <v>0</v>
      </c>
      <c r="F130">
        <v>0</v>
      </c>
      <c r="G130" t="s">
        <v>366</v>
      </c>
    </row>
    <row r="131" spans="1:7" x14ac:dyDescent="0.25">
      <c r="A131" s="26">
        <v>3010050</v>
      </c>
      <c r="B131" s="26" t="s">
        <v>364</v>
      </c>
      <c r="C131" s="26" t="s">
        <v>35</v>
      </c>
      <c r="D131" s="59">
        <v>0</v>
      </c>
      <c r="E131" s="26">
        <v>0</v>
      </c>
      <c r="F131">
        <v>0</v>
      </c>
      <c r="G131" t="s">
        <v>368</v>
      </c>
    </row>
    <row r="132" spans="1:7" x14ac:dyDescent="0.25">
      <c r="A132" s="26">
        <v>3010100</v>
      </c>
      <c r="B132" s="26" t="s">
        <v>364</v>
      </c>
      <c r="C132" s="26" t="s">
        <v>35</v>
      </c>
      <c r="D132" s="59">
        <v>0</v>
      </c>
      <c r="E132" s="26">
        <v>0</v>
      </c>
      <c r="F132">
        <v>0</v>
      </c>
      <c r="G132" t="s">
        <v>370</v>
      </c>
    </row>
    <row r="133" spans="1:7" x14ac:dyDescent="0.25">
      <c r="A133" s="26">
        <v>3010120</v>
      </c>
      <c r="B133" s="26" t="s">
        <v>364</v>
      </c>
      <c r="C133" s="26" t="s">
        <v>35</v>
      </c>
      <c r="D133" s="59">
        <v>0</v>
      </c>
      <c r="E133" s="26">
        <v>0</v>
      </c>
      <c r="F133">
        <v>0</v>
      </c>
      <c r="G133" t="s">
        <v>372</v>
      </c>
    </row>
    <row r="134" spans="1:7" x14ac:dyDescent="0.25">
      <c r="A134" s="26">
        <v>3010130</v>
      </c>
      <c r="B134" s="26" t="s">
        <v>364</v>
      </c>
      <c r="C134" s="26" t="s">
        <v>35</v>
      </c>
      <c r="D134" s="59">
        <v>0</v>
      </c>
      <c r="E134" s="26">
        <v>0</v>
      </c>
      <c r="F134">
        <v>0</v>
      </c>
      <c r="G134" t="s">
        <v>374</v>
      </c>
    </row>
    <row r="135" spans="1:7" x14ac:dyDescent="0.25">
      <c r="A135" s="26">
        <v>3010140</v>
      </c>
      <c r="B135" s="26" t="s">
        <v>364</v>
      </c>
      <c r="C135" s="26" t="s">
        <v>35</v>
      </c>
      <c r="D135" s="59">
        <v>0</v>
      </c>
      <c r="E135" s="26">
        <v>0</v>
      </c>
      <c r="F135">
        <v>0</v>
      </c>
      <c r="G135" t="s">
        <v>376</v>
      </c>
    </row>
    <row r="136" spans="1:7" x14ac:dyDescent="0.25">
      <c r="A136" s="26">
        <v>3010141</v>
      </c>
      <c r="B136" s="26" t="s">
        <v>364</v>
      </c>
      <c r="C136" s="26" t="s">
        <v>35</v>
      </c>
      <c r="D136" s="59">
        <v>0</v>
      </c>
      <c r="E136" s="26">
        <v>0</v>
      </c>
      <c r="F136">
        <v>0</v>
      </c>
      <c r="G136" t="s">
        <v>378</v>
      </c>
    </row>
    <row r="137" spans="1:7" x14ac:dyDescent="0.25">
      <c r="A137" s="26">
        <v>3010160</v>
      </c>
      <c r="B137" s="26" t="s">
        <v>364</v>
      </c>
      <c r="C137" s="26" t="s">
        <v>35</v>
      </c>
      <c r="D137" s="59">
        <v>0</v>
      </c>
      <c r="E137" s="26">
        <v>0</v>
      </c>
      <c r="F137">
        <v>0</v>
      </c>
      <c r="G137" t="s">
        <v>380</v>
      </c>
    </row>
    <row r="138" spans="1:7" x14ac:dyDescent="0.25">
      <c r="A138" s="26">
        <v>3010180</v>
      </c>
      <c r="B138" s="26" t="s">
        <v>364</v>
      </c>
      <c r="C138" s="26" t="s">
        <v>35</v>
      </c>
      <c r="D138" s="59">
        <v>0</v>
      </c>
      <c r="E138" s="26">
        <v>0</v>
      </c>
      <c r="F138">
        <v>0</v>
      </c>
      <c r="G138" t="s">
        <v>382</v>
      </c>
    </row>
    <row r="139" spans="1:7" x14ac:dyDescent="0.25">
      <c r="A139" s="26">
        <v>3010200</v>
      </c>
      <c r="B139" s="26" t="s">
        <v>364</v>
      </c>
      <c r="C139" s="26" t="s">
        <v>35</v>
      </c>
      <c r="D139" s="59">
        <v>0</v>
      </c>
      <c r="E139" s="26">
        <v>0</v>
      </c>
      <c r="F139">
        <v>0</v>
      </c>
      <c r="G139" t="s">
        <v>384</v>
      </c>
    </row>
    <row r="140" spans="1:7" x14ac:dyDescent="0.25">
      <c r="A140" s="26">
        <v>3010250</v>
      </c>
      <c r="B140" s="26" t="s">
        <v>364</v>
      </c>
      <c r="C140" s="26" t="s">
        <v>35</v>
      </c>
      <c r="D140" s="59">
        <v>0</v>
      </c>
      <c r="E140" s="26">
        <v>0</v>
      </c>
      <c r="F140">
        <v>0</v>
      </c>
      <c r="G140" t="s">
        <v>386</v>
      </c>
    </row>
    <row r="141" spans="1:7" x14ac:dyDescent="0.25">
      <c r="A141" s="26">
        <v>3020040</v>
      </c>
      <c r="B141" s="26" t="s">
        <v>388</v>
      </c>
      <c r="C141" s="26" t="s">
        <v>35</v>
      </c>
      <c r="D141" s="59">
        <v>0</v>
      </c>
      <c r="E141" s="26">
        <v>0</v>
      </c>
      <c r="F141">
        <v>0</v>
      </c>
      <c r="G141" t="s">
        <v>45</v>
      </c>
    </row>
    <row r="142" spans="1:7" x14ac:dyDescent="0.25">
      <c r="A142" s="26">
        <v>3020060</v>
      </c>
      <c r="B142" s="26" t="s">
        <v>388</v>
      </c>
      <c r="C142" s="26" t="s">
        <v>35</v>
      </c>
      <c r="D142" s="59">
        <v>0</v>
      </c>
      <c r="E142" s="26">
        <v>0</v>
      </c>
      <c r="F142">
        <v>0</v>
      </c>
      <c r="G142" t="s">
        <v>390</v>
      </c>
    </row>
    <row r="143" spans="1:7" x14ac:dyDescent="0.25">
      <c r="A143" s="26">
        <v>3020100</v>
      </c>
      <c r="B143" s="26" t="s">
        <v>388</v>
      </c>
      <c r="C143" s="26" t="s">
        <v>35</v>
      </c>
      <c r="D143" s="59">
        <v>0</v>
      </c>
      <c r="E143" s="26">
        <v>0</v>
      </c>
      <c r="F143">
        <v>0</v>
      </c>
      <c r="G143" t="s">
        <v>392</v>
      </c>
    </row>
    <row r="144" spans="1:7" x14ac:dyDescent="0.25">
      <c r="A144" s="26">
        <v>3020140</v>
      </c>
      <c r="B144" s="26" t="s">
        <v>388</v>
      </c>
      <c r="C144" s="26" t="s">
        <v>35</v>
      </c>
      <c r="D144" s="59">
        <v>0</v>
      </c>
      <c r="E144" s="26">
        <v>0</v>
      </c>
      <c r="F144">
        <v>0</v>
      </c>
      <c r="G144" t="s">
        <v>394</v>
      </c>
    </row>
    <row r="145" spans="1:7" x14ac:dyDescent="0.25">
      <c r="A145" s="26">
        <v>3020401</v>
      </c>
      <c r="B145" s="26" t="s">
        <v>388</v>
      </c>
      <c r="C145" s="26" t="s">
        <v>46</v>
      </c>
      <c r="D145" s="59">
        <v>0</v>
      </c>
      <c r="E145" s="26">
        <v>0</v>
      </c>
      <c r="F145">
        <v>0</v>
      </c>
      <c r="G145" t="s">
        <v>45</v>
      </c>
    </row>
    <row r="146" spans="1:7" x14ac:dyDescent="0.25">
      <c r="A146" s="26">
        <v>3020456</v>
      </c>
      <c r="B146" s="26" t="s">
        <v>388</v>
      </c>
      <c r="C146" s="26" t="s">
        <v>46</v>
      </c>
      <c r="D146" s="59">
        <v>0</v>
      </c>
      <c r="E146" s="26">
        <v>0</v>
      </c>
      <c r="F146">
        <v>0</v>
      </c>
      <c r="G146" t="s">
        <v>390</v>
      </c>
    </row>
    <row r="147" spans="1:7" x14ac:dyDescent="0.25">
      <c r="A147" s="26">
        <v>3030030</v>
      </c>
      <c r="B147" s="26" t="s">
        <v>398</v>
      </c>
      <c r="C147" s="26" t="s">
        <v>352</v>
      </c>
      <c r="D147" s="59">
        <v>0</v>
      </c>
      <c r="E147" s="26">
        <v>0</v>
      </c>
      <c r="F147">
        <v>0</v>
      </c>
      <c r="G147" t="s">
        <v>397</v>
      </c>
    </row>
    <row r="148" spans="1:7" x14ac:dyDescent="0.25">
      <c r="A148" s="26">
        <v>3030060</v>
      </c>
      <c r="B148" s="26" t="s">
        <v>398</v>
      </c>
      <c r="C148" s="26" t="s">
        <v>401</v>
      </c>
      <c r="D148" s="59">
        <v>0</v>
      </c>
      <c r="E148" s="26">
        <v>0</v>
      </c>
      <c r="F148">
        <v>0</v>
      </c>
      <c r="G148" t="s">
        <v>400</v>
      </c>
    </row>
    <row r="149" spans="1:7" x14ac:dyDescent="0.25">
      <c r="A149" s="26">
        <v>3030143</v>
      </c>
      <c r="B149" s="26" t="s">
        <v>398</v>
      </c>
      <c r="C149" s="26" t="s">
        <v>355</v>
      </c>
      <c r="D149" s="59">
        <v>0</v>
      </c>
      <c r="E149" s="26">
        <v>0</v>
      </c>
      <c r="F149">
        <v>0</v>
      </c>
      <c r="G149" t="s">
        <v>397</v>
      </c>
    </row>
    <row r="150" spans="1:7" x14ac:dyDescent="0.25">
      <c r="A150" s="26">
        <v>3030157</v>
      </c>
      <c r="B150" s="26" t="s">
        <v>398</v>
      </c>
      <c r="C150" s="26" t="s">
        <v>401</v>
      </c>
      <c r="D150" s="59">
        <v>0</v>
      </c>
      <c r="E150" s="26">
        <v>0</v>
      </c>
      <c r="F150">
        <v>0</v>
      </c>
      <c r="G150" t="s">
        <v>397</v>
      </c>
    </row>
    <row r="151" spans="1:7" x14ac:dyDescent="0.25">
      <c r="A151" s="26">
        <v>3030167</v>
      </c>
      <c r="B151" s="26" t="s">
        <v>398</v>
      </c>
      <c r="C151" s="26" t="s">
        <v>352</v>
      </c>
      <c r="D151" s="59">
        <v>0</v>
      </c>
      <c r="E151" s="26">
        <v>0</v>
      </c>
      <c r="F151">
        <v>0</v>
      </c>
      <c r="G151" t="s">
        <v>382</v>
      </c>
    </row>
    <row r="152" spans="1:7" x14ac:dyDescent="0.25">
      <c r="A152" s="26">
        <v>3030211</v>
      </c>
      <c r="B152" s="26" t="s">
        <v>398</v>
      </c>
      <c r="C152" s="26" t="s">
        <v>361</v>
      </c>
      <c r="D152" s="59">
        <v>0</v>
      </c>
      <c r="E152" s="26">
        <v>0</v>
      </c>
      <c r="F152">
        <v>0</v>
      </c>
      <c r="G152" t="s">
        <v>397</v>
      </c>
    </row>
    <row r="153" spans="1:7" x14ac:dyDescent="0.25">
      <c r="A153" s="26">
        <v>3510010</v>
      </c>
      <c r="B153" s="26" t="s">
        <v>408</v>
      </c>
      <c r="C153" s="26" t="s">
        <v>35</v>
      </c>
      <c r="D153" s="59">
        <v>0</v>
      </c>
      <c r="E153" s="26">
        <v>0</v>
      </c>
      <c r="F153">
        <v>0</v>
      </c>
      <c r="G153" t="s">
        <v>407</v>
      </c>
    </row>
    <row r="154" spans="1:7" x14ac:dyDescent="0.25">
      <c r="A154" s="26">
        <v>3510020</v>
      </c>
      <c r="B154" s="26" t="s">
        <v>408</v>
      </c>
      <c r="C154" s="26" t="s">
        <v>35</v>
      </c>
      <c r="D154" s="59">
        <v>0</v>
      </c>
      <c r="E154" s="26">
        <v>0</v>
      </c>
      <c r="F154">
        <v>0</v>
      </c>
      <c r="G154" t="s">
        <v>410</v>
      </c>
    </row>
    <row r="155" spans="1:7" x14ac:dyDescent="0.25">
      <c r="A155" s="26">
        <v>3510035</v>
      </c>
      <c r="B155" s="26" t="s">
        <v>408</v>
      </c>
      <c r="C155" s="26" t="s">
        <v>35</v>
      </c>
      <c r="D155" s="59">
        <v>0</v>
      </c>
      <c r="E155" s="26">
        <v>0</v>
      </c>
      <c r="F155">
        <v>0</v>
      </c>
      <c r="G155" t="s">
        <v>412</v>
      </c>
    </row>
    <row r="156" spans="1:7" x14ac:dyDescent="0.25">
      <c r="A156" s="26">
        <v>3510060</v>
      </c>
      <c r="B156" s="26" t="s">
        <v>408</v>
      </c>
      <c r="C156" s="26" t="s">
        <v>415</v>
      </c>
      <c r="D156" s="59">
        <v>0</v>
      </c>
      <c r="E156" s="26">
        <v>0</v>
      </c>
      <c r="F156">
        <v>0</v>
      </c>
      <c r="G156" t="s">
        <v>414</v>
      </c>
    </row>
    <row r="157" spans="1:7" x14ac:dyDescent="0.25">
      <c r="A157" s="26">
        <v>3510070</v>
      </c>
      <c r="B157" s="26" t="s">
        <v>408</v>
      </c>
      <c r="C157" s="26" t="s">
        <v>415</v>
      </c>
      <c r="D157" s="59">
        <v>0</v>
      </c>
      <c r="E157" s="26">
        <v>0</v>
      </c>
      <c r="F157">
        <v>0</v>
      </c>
      <c r="G157" t="s">
        <v>417</v>
      </c>
    </row>
    <row r="158" spans="1:7" x14ac:dyDescent="0.25">
      <c r="A158" s="26">
        <v>3510086</v>
      </c>
      <c r="B158" s="26" t="s">
        <v>408</v>
      </c>
      <c r="C158" s="26" t="s">
        <v>35</v>
      </c>
      <c r="D158" s="59">
        <v>0</v>
      </c>
      <c r="E158" s="26">
        <v>0</v>
      </c>
      <c r="F158">
        <v>0</v>
      </c>
      <c r="G158" t="s">
        <v>419</v>
      </c>
    </row>
    <row r="159" spans="1:7" x14ac:dyDescent="0.25">
      <c r="A159" s="26">
        <v>35101510</v>
      </c>
      <c r="B159" s="26" t="s">
        <v>408</v>
      </c>
      <c r="C159" s="26" t="s">
        <v>314</v>
      </c>
      <c r="D159" s="59">
        <v>0</v>
      </c>
      <c r="E159" s="26">
        <v>0</v>
      </c>
      <c r="F159">
        <v>0</v>
      </c>
      <c r="G159" t="s">
        <v>421</v>
      </c>
    </row>
    <row r="160" spans="1:7" x14ac:dyDescent="0.25">
      <c r="A160" s="26">
        <v>3520020</v>
      </c>
      <c r="B160" s="26" t="s">
        <v>424</v>
      </c>
      <c r="C160" s="26" t="s">
        <v>35</v>
      </c>
      <c r="D160" s="59">
        <v>0</v>
      </c>
      <c r="E160" s="26">
        <v>0</v>
      </c>
      <c r="F160">
        <v>0</v>
      </c>
      <c r="G160" t="s">
        <v>423</v>
      </c>
    </row>
    <row r="161" spans="1:7" x14ac:dyDescent="0.25">
      <c r="A161" s="26">
        <v>3520060</v>
      </c>
      <c r="B161" s="26" t="s">
        <v>424</v>
      </c>
      <c r="C161" s="26" t="s">
        <v>35</v>
      </c>
      <c r="D161" s="59">
        <v>0</v>
      </c>
      <c r="E161" s="26">
        <v>0</v>
      </c>
      <c r="F161">
        <v>0</v>
      </c>
      <c r="G161" t="s">
        <v>426</v>
      </c>
    </row>
    <row r="162" spans="1:7" x14ac:dyDescent="0.25">
      <c r="A162" s="26">
        <v>3520080</v>
      </c>
      <c r="B162" s="26" t="s">
        <v>424</v>
      </c>
      <c r="C162" s="26" t="s">
        <v>35</v>
      </c>
      <c r="D162" s="59">
        <v>0</v>
      </c>
      <c r="E162" s="26">
        <v>0</v>
      </c>
      <c r="F162">
        <v>0</v>
      </c>
      <c r="G162" t="s">
        <v>428</v>
      </c>
    </row>
    <row r="163" spans="1:7" x14ac:dyDescent="0.25">
      <c r="A163" s="26">
        <v>3530010</v>
      </c>
      <c r="B163" s="26" t="s">
        <v>431</v>
      </c>
      <c r="C163" s="26" t="s">
        <v>35</v>
      </c>
      <c r="D163" s="59">
        <v>0</v>
      </c>
      <c r="E163" s="26">
        <v>0</v>
      </c>
      <c r="F163">
        <v>0</v>
      </c>
      <c r="G163" t="s">
        <v>430</v>
      </c>
    </row>
    <row r="164" spans="1:7" x14ac:dyDescent="0.25">
      <c r="A164" s="26">
        <v>3530040</v>
      </c>
      <c r="B164" s="26" t="s">
        <v>431</v>
      </c>
      <c r="C164" s="26" t="s">
        <v>415</v>
      </c>
      <c r="D164" s="59">
        <v>0</v>
      </c>
      <c r="E164" s="26">
        <v>0</v>
      </c>
      <c r="F164">
        <v>0</v>
      </c>
      <c r="G164" t="s">
        <v>433</v>
      </c>
    </row>
    <row r="165" spans="1:7" x14ac:dyDescent="0.25">
      <c r="A165" s="26">
        <v>3530080</v>
      </c>
      <c r="B165" s="26" t="s">
        <v>431</v>
      </c>
      <c r="C165" s="26" t="s">
        <v>35</v>
      </c>
      <c r="D165" s="59">
        <v>0</v>
      </c>
      <c r="E165" s="26">
        <v>0</v>
      </c>
      <c r="F165">
        <v>0</v>
      </c>
      <c r="G165" t="s">
        <v>435</v>
      </c>
    </row>
    <row r="166" spans="1:7" x14ac:dyDescent="0.25">
      <c r="A166" s="26">
        <v>3540035</v>
      </c>
      <c r="B166" s="26" t="s">
        <v>438</v>
      </c>
      <c r="C166" s="26" t="s">
        <v>35</v>
      </c>
      <c r="D166" s="59">
        <v>0</v>
      </c>
      <c r="E166" s="26">
        <v>0</v>
      </c>
      <c r="F166">
        <v>0</v>
      </c>
      <c r="G166" t="s">
        <v>437</v>
      </c>
    </row>
    <row r="167" spans="1:7" x14ac:dyDescent="0.25">
      <c r="A167" s="26">
        <v>35401152</v>
      </c>
      <c r="B167" s="26" t="s">
        <v>438</v>
      </c>
      <c r="C167" s="26" t="s">
        <v>441</v>
      </c>
      <c r="D167" s="59">
        <v>0</v>
      </c>
      <c r="E167" s="26">
        <v>0</v>
      </c>
      <c r="F167">
        <v>0</v>
      </c>
      <c r="G167" t="s">
        <v>440</v>
      </c>
    </row>
    <row r="168" spans="1:7" x14ac:dyDescent="0.25">
      <c r="A168" s="26">
        <v>3540150</v>
      </c>
      <c r="B168" s="26" t="s">
        <v>438</v>
      </c>
      <c r="C168" s="26" t="s">
        <v>58</v>
      </c>
      <c r="D168" s="59">
        <v>0</v>
      </c>
      <c r="E168" s="26">
        <v>0</v>
      </c>
      <c r="F168">
        <v>0</v>
      </c>
      <c r="G168" t="s">
        <v>57</v>
      </c>
    </row>
    <row r="169" spans="1:7" x14ac:dyDescent="0.25">
      <c r="A169" s="26">
        <v>3540167</v>
      </c>
      <c r="B169" s="26" t="s">
        <v>438</v>
      </c>
      <c r="C169" s="26" t="s">
        <v>415</v>
      </c>
      <c r="D169" s="59">
        <v>0</v>
      </c>
      <c r="E169" s="26">
        <v>0</v>
      </c>
      <c r="F169">
        <v>0</v>
      </c>
      <c r="G169" t="s">
        <v>443</v>
      </c>
    </row>
    <row r="170" spans="1:7" x14ac:dyDescent="0.25">
      <c r="A170" s="26">
        <v>35403934</v>
      </c>
      <c r="B170" s="26" t="s">
        <v>438</v>
      </c>
      <c r="C170" s="26" t="s">
        <v>446</v>
      </c>
      <c r="D170" s="59">
        <v>0</v>
      </c>
      <c r="E170" s="26">
        <v>0</v>
      </c>
      <c r="F170">
        <v>0</v>
      </c>
      <c r="G170" t="s">
        <v>445</v>
      </c>
    </row>
    <row r="171" spans="1:7" x14ac:dyDescent="0.25">
      <c r="A171" s="26">
        <v>3540704</v>
      </c>
      <c r="B171" s="26" t="s">
        <v>438</v>
      </c>
      <c r="C171" s="26" t="s">
        <v>314</v>
      </c>
      <c r="D171" s="59">
        <v>0</v>
      </c>
      <c r="E171" s="26">
        <v>0</v>
      </c>
      <c r="F171">
        <v>0</v>
      </c>
      <c r="G171" t="s">
        <v>448</v>
      </c>
    </row>
    <row r="172" spans="1:7" x14ac:dyDescent="0.25">
      <c r="A172" s="26">
        <v>3541020</v>
      </c>
      <c r="B172" s="26" t="s">
        <v>438</v>
      </c>
      <c r="C172" s="26" t="s">
        <v>441</v>
      </c>
      <c r="D172" s="59">
        <v>0</v>
      </c>
      <c r="E172" s="26">
        <v>0</v>
      </c>
      <c r="F172">
        <v>0</v>
      </c>
      <c r="G172" t="s">
        <v>450</v>
      </c>
    </row>
    <row r="173" spans="1:7" x14ac:dyDescent="0.25">
      <c r="A173" s="26">
        <v>3550030</v>
      </c>
      <c r="B173" s="26" t="s">
        <v>453</v>
      </c>
      <c r="C173" s="26" t="s">
        <v>415</v>
      </c>
      <c r="D173" s="59">
        <v>0</v>
      </c>
      <c r="E173" s="26">
        <v>0</v>
      </c>
      <c r="F173">
        <v>0</v>
      </c>
      <c r="G173" t="s">
        <v>452</v>
      </c>
    </row>
    <row r="174" spans="1:7" x14ac:dyDescent="0.25">
      <c r="A174" s="26">
        <v>3550172</v>
      </c>
      <c r="B174" s="26" t="s">
        <v>453</v>
      </c>
      <c r="C174" s="26" t="s">
        <v>314</v>
      </c>
      <c r="D174" s="59">
        <v>0</v>
      </c>
      <c r="E174" s="26">
        <v>0</v>
      </c>
      <c r="F174">
        <v>0</v>
      </c>
      <c r="G174" t="s">
        <v>455</v>
      </c>
    </row>
    <row r="175" spans="1:7" x14ac:dyDescent="0.25">
      <c r="A175" s="26">
        <v>3550241</v>
      </c>
      <c r="B175" s="26" t="s">
        <v>453</v>
      </c>
      <c r="C175" s="26" t="s">
        <v>458</v>
      </c>
      <c r="D175" s="59">
        <v>0</v>
      </c>
      <c r="E175" s="26">
        <v>0</v>
      </c>
      <c r="F175">
        <v>0</v>
      </c>
      <c r="G175" t="s">
        <v>457</v>
      </c>
    </row>
    <row r="176" spans="1:7" x14ac:dyDescent="0.25">
      <c r="A176" s="26">
        <v>3550355</v>
      </c>
      <c r="B176" s="26" t="s">
        <v>453</v>
      </c>
      <c r="C176" s="26" t="s">
        <v>314</v>
      </c>
      <c r="D176" s="59">
        <v>0</v>
      </c>
      <c r="E176" s="26">
        <v>0</v>
      </c>
      <c r="F176">
        <v>0</v>
      </c>
      <c r="G176" t="s">
        <v>460</v>
      </c>
    </row>
    <row r="177" spans="1:7" x14ac:dyDescent="0.25">
      <c r="A177" s="26">
        <v>3560036</v>
      </c>
      <c r="B177" s="26" t="s">
        <v>463</v>
      </c>
      <c r="C177" s="26" t="s">
        <v>464</v>
      </c>
      <c r="D177" s="59">
        <v>0</v>
      </c>
      <c r="E177" s="26">
        <v>0</v>
      </c>
      <c r="F177">
        <v>0</v>
      </c>
      <c r="G177" t="s">
        <v>462</v>
      </c>
    </row>
    <row r="178" spans="1:7" x14ac:dyDescent="0.25">
      <c r="A178" s="26">
        <v>3560051</v>
      </c>
      <c r="B178" s="26" t="s">
        <v>463</v>
      </c>
      <c r="C178" s="26" t="s">
        <v>464</v>
      </c>
      <c r="D178" s="59">
        <v>0</v>
      </c>
      <c r="E178" s="26">
        <v>0</v>
      </c>
      <c r="F178">
        <v>0</v>
      </c>
      <c r="G178" t="s">
        <v>466</v>
      </c>
    </row>
    <row r="179" spans="1:7" x14ac:dyDescent="0.25">
      <c r="A179" s="26">
        <v>3560060</v>
      </c>
      <c r="B179" s="26" t="s">
        <v>463</v>
      </c>
      <c r="C179" s="26" t="s">
        <v>46</v>
      </c>
      <c r="D179" s="59">
        <v>0</v>
      </c>
      <c r="E179" s="26">
        <v>0</v>
      </c>
      <c r="F179">
        <v>0</v>
      </c>
      <c r="G179" t="s">
        <v>468</v>
      </c>
    </row>
    <row r="180" spans="1:7" x14ac:dyDescent="0.25">
      <c r="A180" s="26">
        <v>35602721</v>
      </c>
      <c r="B180" s="26" t="s">
        <v>463</v>
      </c>
      <c r="C180" s="26" t="s">
        <v>471</v>
      </c>
      <c r="D180" s="59">
        <v>0</v>
      </c>
      <c r="E180" s="26">
        <v>0</v>
      </c>
      <c r="F180">
        <v>0</v>
      </c>
      <c r="G180" t="s">
        <v>470</v>
      </c>
    </row>
    <row r="181" spans="1:7" x14ac:dyDescent="0.25">
      <c r="A181" s="26">
        <v>3560478</v>
      </c>
      <c r="B181" s="26" t="s">
        <v>463</v>
      </c>
      <c r="C181" s="26" t="s">
        <v>474</v>
      </c>
      <c r="D181" s="59">
        <v>0</v>
      </c>
      <c r="E181" s="26">
        <v>0</v>
      </c>
      <c r="F181">
        <v>0</v>
      </c>
      <c r="G181" t="s">
        <v>473</v>
      </c>
    </row>
    <row r="182" spans="1:7" x14ac:dyDescent="0.25">
      <c r="A182" s="26">
        <v>3560491</v>
      </c>
      <c r="B182" s="26" t="s">
        <v>463</v>
      </c>
      <c r="C182" s="26" t="s">
        <v>458</v>
      </c>
      <c r="D182" s="59">
        <v>0</v>
      </c>
      <c r="E182" s="26">
        <v>0</v>
      </c>
      <c r="F182">
        <v>0</v>
      </c>
      <c r="G182" t="s">
        <v>476</v>
      </c>
    </row>
    <row r="183" spans="1:7" x14ac:dyDescent="0.25">
      <c r="A183" s="26">
        <v>3560492</v>
      </c>
      <c r="B183" s="26" t="s">
        <v>463</v>
      </c>
      <c r="C183" s="26" t="s">
        <v>479</v>
      </c>
      <c r="D183" s="59">
        <v>0</v>
      </c>
      <c r="E183" s="26">
        <v>0</v>
      </c>
      <c r="F183">
        <v>0</v>
      </c>
      <c r="G183" t="s">
        <v>478</v>
      </c>
    </row>
    <row r="184" spans="1:7" x14ac:dyDescent="0.25">
      <c r="A184" s="26">
        <v>3560493</v>
      </c>
      <c r="B184" s="26" t="s">
        <v>463</v>
      </c>
      <c r="C184" s="26" t="s">
        <v>464</v>
      </c>
      <c r="D184" s="59">
        <v>0</v>
      </c>
      <c r="E184" s="26">
        <v>0</v>
      </c>
      <c r="F184">
        <v>0</v>
      </c>
      <c r="G184" t="s">
        <v>470</v>
      </c>
    </row>
    <row r="185" spans="1:7" x14ac:dyDescent="0.25">
      <c r="A185" s="26">
        <v>3560505</v>
      </c>
      <c r="B185" s="26" t="s">
        <v>463</v>
      </c>
      <c r="C185" s="26" t="s">
        <v>464</v>
      </c>
      <c r="D185" s="59">
        <v>0</v>
      </c>
      <c r="E185" s="26">
        <v>0</v>
      </c>
      <c r="F185">
        <v>0</v>
      </c>
      <c r="G185" t="s">
        <v>478</v>
      </c>
    </row>
    <row r="186" spans="1:7" x14ac:dyDescent="0.25">
      <c r="A186" s="26">
        <v>3560555</v>
      </c>
      <c r="B186" s="26" t="s">
        <v>463</v>
      </c>
      <c r="C186" s="26" t="s">
        <v>479</v>
      </c>
      <c r="D186" s="59">
        <v>0</v>
      </c>
      <c r="E186" s="26">
        <v>0</v>
      </c>
      <c r="F186">
        <v>0</v>
      </c>
      <c r="G186" t="s">
        <v>483</v>
      </c>
    </row>
    <row r="187" spans="1:7" x14ac:dyDescent="0.25">
      <c r="A187" s="26">
        <v>3560599</v>
      </c>
      <c r="B187" s="26" t="s">
        <v>463</v>
      </c>
      <c r="C187" s="26" t="s">
        <v>46</v>
      </c>
      <c r="D187" s="59">
        <v>0</v>
      </c>
      <c r="E187" s="26">
        <v>0</v>
      </c>
      <c r="F187">
        <v>0</v>
      </c>
      <c r="G187" t="s">
        <v>485</v>
      </c>
    </row>
    <row r="188" spans="1:7" x14ac:dyDescent="0.25">
      <c r="A188" s="26">
        <v>3560674</v>
      </c>
      <c r="B188" s="26" t="s">
        <v>463</v>
      </c>
      <c r="C188" s="26" t="s">
        <v>474</v>
      </c>
      <c r="D188" s="59">
        <v>0</v>
      </c>
      <c r="E188" s="26">
        <v>0</v>
      </c>
      <c r="F188">
        <v>0</v>
      </c>
      <c r="G188" t="s">
        <v>468</v>
      </c>
    </row>
    <row r="189" spans="1:7" x14ac:dyDescent="0.25">
      <c r="A189" s="26">
        <v>3570010</v>
      </c>
      <c r="B189" s="26" t="s">
        <v>489</v>
      </c>
      <c r="C189" s="26" t="s">
        <v>490</v>
      </c>
      <c r="D189" s="59">
        <v>0</v>
      </c>
      <c r="E189" s="26">
        <v>0</v>
      </c>
      <c r="F189">
        <v>0</v>
      </c>
      <c r="G189" t="s">
        <v>488</v>
      </c>
    </row>
    <row r="190" spans="1:7" x14ac:dyDescent="0.25">
      <c r="A190" s="26">
        <v>3570020</v>
      </c>
      <c r="B190" s="26" t="s">
        <v>489</v>
      </c>
      <c r="C190" s="26" t="s">
        <v>493</v>
      </c>
      <c r="D190" s="59">
        <v>0</v>
      </c>
      <c r="E190" s="26">
        <v>0</v>
      </c>
      <c r="F190">
        <v>0</v>
      </c>
      <c r="G190" t="s">
        <v>492</v>
      </c>
    </row>
    <row r="191" spans="1:7" x14ac:dyDescent="0.25">
      <c r="A191" s="26">
        <v>3570035</v>
      </c>
      <c r="B191" s="26" t="s">
        <v>489</v>
      </c>
      <c r="C191" s="26" t="s">
        <v>194</v>
      </c>
      <c r="D191" s="59">
        <v>0</v>
      </c>
      <c r="E191" s="26">
        <v>0</v>
      </c>
      <c r="F191">
        <v>0</v>
      </c>
      <c r="G191" t="s">
        <v>495</v>
      </c>
    </row>
    <row r="192" spans="1:7" x14ac:dyDescent="0.25">
      <c r="A192" s="26">
        <v>3570050</v>
      </c>
      <c r="B192" s="26" t="s">
        <v>489</v>
      </c>
      <c r="C192" s="26" t="s">
        <v>490</v>
      </c>
      <c r="D192" s="59">
        <v>0</v>
      </c>
      <c r="E192" s="26">
        <v>0</v>
      </c>
      <c r="F192">
        <v>0</v>
      </c>
      <c r="G192" t="s">
        <v>497</v>
      </c>
    </row>
    <row r="193" spans="1:7" x14ac:dyDescent="0.25">
      <c r="A193" s="26">
        <v>3570070</v>
      </c>
      <c r="B193" s="26" t="s">
        <v>489</v>
      </c>
      <c r="C193" s="26" t="s">
        <v>194</v>
      </c>
      <c r="D193" s="59">
        <v>0</v>
      </c>
      <c r="E193" s="26">
        <v>0</v>
      </c>
      <c r="F193">
        <v>0</v>
      </c>
      <c r="G193" t="s">
        <v>499</v>
      </c>
    </row>
    <row r="194" spans="1:7" x14ac:dyDescent="0.25">
      <c r="A194" s="26">
        <v>3570103</v>
      </c>
      <c r="B194" s="26" t="s">
        <v>408</v>
      </c>
      <c r="C194" s="26" t="s">
        <v>314</v>
      </c>
      <c r="D194" s="59">
        <v>0</v>
      </c>
      <c r="E194" s="26">
        <v>0</v>
      </c>
      <c r="F194">
        <v>0</v>
      </c>
      <c r="G194" t="s">
        <v>501</v>
      </c>
    </row>
    <row r="195" spans="1:7" x14ac:dyDescent="0.25">
      <c r="A195" s="26">
        <v>3570106</v>
      </c>
      <c r="B195" s="26" t="s">
        <v>408</v>
      </c>
      <c r="C195" s="26" t="s">
        <v>415</v>
      </c>
      <c r="D195" s="59">
        <v>0</v>
      </c>
      <c r="E195" s="26">
        <v>0</v>
      </c>
      <c r="F195">
        <v>0</v>
      </c>
      <c r="G195" t="s">
        <v>501</v>
      </c>
    </row>
    <row r="196" spans="1:7" x14ac:dyDescent="0.25">
      <c r="A196" s="26">
        <v>35701060</v>
      </c>
      <c r="B196" s="26" t="s">
        <v>489</v>
      </c>
      <c r="C196" s="26" t="s">
        <v>505</v>
      </c>
      <c r="D196" s="59">
        <v>0</v>
      </c>
      <c r="E196" s="26">
        <v>0</v>
      </c>
      <c r="F196">
        <v>0</v>
      </c>
      <c r="G196" t="s">
        <v>504</v>
      </c>
    </row>
    <row r="197" spans="1:7" x14ac:dyDescent="0.25">
      <c r="A197" s="26">
        <v>35701918</v>
      </c>
      <c r="B197" s="26" t="s">
        <v>489</v>
      </c>
      <c r="C197" s="26" t="s">
        <v>507</v>
      </c>
      <c r="D197" s="59">
        <v>0</v>
      </c>
      <c r="E197" s="26">
        <v>0</v>
      </c>
      <c r="F197">
        <v>0</v>
      </c>
      <c r="G197" t="s">
        <v>499</v>
      </c>
    </row>
    <row r="198" spans="1:7" x14ac:dyDescent="0.25">
      <c r="A198" s="26">
        <v>35702285</v>
      </c>
      <c r="B198" s="26" t="s">
        <v>489</v>
      </c>
      <c r="C198" s="26" t="s">
        <v>510</v>
      </c>
      <c r="D198" s="59">
        <v>0</v>
      </c>
      <c r="E198" s="26">
        <v>0</v>
      </c>
      <c r="F198">
        <v>0</v>
      </c>
      <c r="G198" t="s">
        <v>509</v>
      </c>
    </row>
    <row r="199" spans="1:7" x14ac:dyDescent="0.25">
      <c r="A199" s="26">
        <v>3570289</v>
      </c>
      <c r="B199" s="26" t="s">
        <v>489</v>
      </c>
      <c r="C199" s="26" t="s">
        <v>512</v>
      </c>
      <c r="D199" s="59">
        <v>0</v>
      </c>
      <c r="E199" s="26">
        <v>0</v>
      </c>
      <c r="F199">
        <v>0</v>
      </c>
      <c r="G199" t="s">
        <v>492</v>
      </c>
    </row>
    <row r="200" spans="1:7" x14ac:dyDescent="0.25">
      <c r="A200" s="26">
        <v>3570305</v>
      </c>
      <c r="B200" s="26" t="s">
        <v>489</v>
      </c>
      <c r="C200" s="26" t="s">
        <v>514</v>
      </c>
      <c r="D200" s="59">
        <v>0</v>
      </c>
      <c r="E200" s="26">
        <v>0</v>
      </c>
      <c r="F200">
        <v>0</v>
      </c>
      <c r="G200" t="s">
        <v>488</v>
      </c>
    </row>
    <row r="201" spans="1:7" x14ac:dyDescent="0.25">
      <c r="A201" s="26">
        <v>3570308</v>
      </c>
      <c r="B201" s="26" t="s">
        <v>489</v>
      </c>
      <c r="C201" s="26" t="s">
        <v>514</v>
      </c>
      <c r="D201" s="59">
        <v>0</v>
      </c>
      <c r="E201" s="26">
        <v>0</v>
      </c>
      <c r="F201">
        <v>0</v>
      </c>
      <c r="G201" t="s">
        <v>497</v>
      </c>
    </row>
    <row r="202" spans="1:7" x14ac:dyDescent="0.25">
      <c r="A202" s="26">
        <v>3570324</v>
      </c>
      <c r="B202" s="26" t="s">
        <v>489</v>
      </c>
      <c r="C202" s="26" t="s">
        <v>518</v>
      </c>
      <c r="D202" s="59">
        <v>0</v>
      </c>
      <c r="E202" s="26">
        <v>0</v>
      </c>
      <c r="F202">
        <v>0</v>
      </c>
      <c r="G202" t="s">
        <v>517</v>
      </c>
    </row>
    <row r="203" spans="1:7" x14ac:dyDescent="0.25">
      <c r="A203" s="26">
        <v>3570343</v>
      </c>
      <c r="B203" s="26" t="s">
        <v>489</v>
      </c>
      <c r="C203" s="26" t="s">
        <v>520</v>
      </c>
      <c r="D203" s="59">
        <v>0</v>
      </c>
      <c r="E203" s="26">
        <v>0</v>
      </c>
      <c r="F203">
        <v>0</v>
      </c>
      <c r="G203" t="s">
        <v>492</v>
      </c>
    </row>
    <row r="204" spans="1:7" x14ac:dyDescent="0.25">
      <c r="A204" s="26">
        <v>3570593</v>
      </c>
      <c r="B204" s="26" t="s">
        <v>489</v>
      </c>
      <c r="C204" s="26" t="s">
        <v>194</v>
      </c>
      <c r="D204" s="59">
        <v>0</v>
      </c>
      <c r="E204" s="26">
        <v>0</v>
      </c>
      <c r="F204">
        <v>0</v>
      </c>
      <c r="G204" t="s">
        <v>509</v>
      </c>
    </row>
    <row r="205" spans="1:7" x14ac:dyDescent="0.25">
      <c r="A205" s="26">
        <v>4010010</v>
      </c>
      <c r="B205" s="26" t="s">
        <v>524</v>
      </c>
      <c r="C205" s="26" t="s">
        <v>525</v>
      </c>
      <c r="D205" s="59">
        <v>0</v>
      </c>
      <c r="E205" s="26">
        <v>0</v>
      </c>
      <c r="F205">
        <v>0</v>
      </c>
      <c r="G205" t="s">
        <v>523</v>
      </c>
    </row>
    <row r="206" spans="1:7" x14ac:dyDescent="0.25">
      <c r="A206" s="26">
        <v>4010208</v>
      </c>
      <c r="B206" s="26" t="s">
        <v>524</v>
      </c>
      <c r="C206" s="26" t="s">
        <v>190</v>
      </c>
      <c r="D206" s="59">
        <v>0</v>
      </c>
      <c r="E206" s="26">
        <v>0</v>
      </c>
      <c r="F206">
        <v>0</v>
      </c>
      <c r="G206" t="s">
        <v>527</v>
      </c>
    </row>
    <row r="207" spans="1:7" x14ac:dyDescent="0.25">
      <c r="A207" s="26">
        <v>4020050</v>
      </c>
      <c r="B207" s="26" t="s">
        <v>530</v>
      </c>
      <c r="C207" s="26" t="s">
        <v>531</v>
      </c>
      <c r="D207" s="59">
        <v>0</v>
      </c>
      <c r="E207" s="26">
        <v>0</v>
      </c>
      <c r="F207">
        <v>0</v>
      </c>
      <c r="G207" t="s">
        <v>529</v>
      </c>
    </row>
    <row r="208" spans="1:7" x14ac:dyDescent="0.25">
      <c r="A208" s="26">
        <v>4030010</v>
      </c>
      <c r="B208" s="26" t="s">
        <v>534</v>
      </c>
      <c r="C208" s="26" t="s">
        <v>531</v>
      </c>
      <c r="D208" s="59">
        <v>0</v>
      </c>
      <c r="E208" s="26">
        <v>0</v>
      </c>
      <c r="F208">
        <v>0</v>
      </c>
      <c r="G208" t="s">
        <v>533</v>
      </c>
    </row>
    <row r="209" spans="1:7" x14ac:dyDescent="0.25">
      <c r="A209" s="26">
        <v>4030020</v>
      </c>
      <c r="B209" s="26" t="s">
        <v>534</v>
      </c>
      <c r="C209" s="26" t="s">
        <v>531</v>
      </c>
      <c r="D209" s="59">
        <v>0</v>
      </c>
      <c r="E209" s="26">
        <v>0</v>
      </c>
      <c r="F209">
        <v>0</v>
      </c>
      <c r="G209" t="s">
        <v>536</v>
      </c>
    </row>
    <row r="210" spans="1:7" x14ac:dyDescent="0.25">
      <c r="A210" s="26">
        <v>4030025</v>
      </c>
      <c r="B210" s="26" t="s">
        <v>534</v>
      </c>
      <c r="C210" s="26" t="s">
        <v>531</v>
      </c>
      <c r="D210" s="59">
        <v>0</v>
      </c>
      <c r="E210" s="26">
        <v>0</v>
      </c>
      <c r="F210">
        <v>0</v>
      </c>
      <c r="G210" t="s">
        <v>538</v>
      </c>
    </row>
    <row r="211" spans="1:7" x14ac:dyDescent="0.25">
      <c r="A211" s="26">
        <v>4040010</v>
      </c>
      <c r="B211" s="26" t="s">
        <v>541</v>
      </c>
      <c r="C211" s="26" t="s">
        <v>542</v>
      </c>
      <c r="D211" s="59">
        <v>0</v>
      </c>
      <c r="E211" s="26">
        <v>0</v>
      </c>
      <c r="F211">
        <v>0</v>
      </c>
      <c r="G211" t="s">
        <v>540</v>
      </c>
    </row>
    <row r="212" spans="1:7" x14ac:dyDescent="0.25">
      <c r="A212" s="26">
        <v>4040030</v>
      </c>
      <c r="B212" s="26" t="s">
        <v>541</v>
      </c>
      <c r="C212" s="26" t="s">
        <v>542</v>
      </c>
      <c r="D212" s="59">
        <v>0</v>
      </c>
      <c r="E212" s="26">
        <v>0</v>
      </c>
      <c r="F212">
        <v>0</v>
      </c>
      <c r="G212" t="s">
        <v>544</v>
      </c>
    </row>
    <row r="213" spans="1:7" x14ac:dyDescent="0.25">
      <c r="A213" s="26">
        <v>4050100</v>
      </c>
      <c r="B213" s="26" t="s">
        <v>547</v>
      </c>
      <c r="C213" s="26" t="s">
        <v>35</v>
      </c>
      <c r="D213" s="59">
        <v>0</v>
      </c>
      <c r="E213" s="26">
        <v>0</v>
      </c>
      <c r="F213">
        <v>0</v>
      </c>
      <c r="G213" t="s">
        <v>546</v>
      </c>
    </row>
    <row r="214" spans="1:7" x14ac:dyDescent="0.25">
      <c r="A214" s="26">
        <v>4050150</v>
      </c>
      <c r="B214" s="26" t="s">
        <v>547</v>
      </c>
      <c r="C214" s="26" t="s">
        <v>35</v>
      </c>
      <c r="D214" s="59">
        <v>0</v>
      </c>
      <c r="E214" s="26">
        <v>0</v>
      </c>
      <c r="F214">
        <v>0</v>
      </c>
      <c r="G214" t="s">
        <v>549</v>
      </c>
    </row>
    <row r="215" spans="1:7" x14ac:dyDescent="0.25">
      <c r="A215" s="26">
        <v>4050180</v>
      </c>
      <c r="B215" s="26" t="s">
        <v>547</v>
      </c>
      <c r="C215" s="26" t="s">
        <v>35</v>
      </c>
      <c r="D215" s="59">
        <v>0</v>
      </c>
      <c r="E215" s="26">
        <v>0</v>
      </c>
      <c r="F215">
        <v>0</v>
      </c>
      <c r="G215" t="s">
        <v>551</v>
      </c>
    </row>
    <row r="216" spans="1:7" x14ac:dyDescent="0.25">
      <c r="A216" s="26">
        <v>4050230</v>
      </c>
      <c r="B216" s="26" t="s">
        <v>547</v>
      </c>
      <c r="C216" s="26" t="s">
        <v>35</v>
      </c>
      <c r="D216" s="59">
        <v>0</v>
      </c>
      <c r="E216" s="26">
        <v>0</v>
      </c>
      <c r="F216">
        <v>0</v>
      </c>
      <c r="G216" t="s">
        <v>553</v>
      </c>
    </row>
    <row r="217" spans="1:7" x14ac:dyDescent="0.25">
      <c r="A217" s="26">
        <v>4050470</v>
      </c>
      <c r="B217" s="26" t="s">
        <v>547</v>
      </c>
      <c r="C217" s="26" t="s">
        <v>61</v>
      </c>
      <c r="D217" s="59">
        <v>0</v>
      </c>
      <c r="E217" s="26">
        <v>0</v>
      </c>
      <c r="F217">
        <v>0</v>
      </c>
      <c r="G217" t="s">
        <v>60</v>
      </c>
    </row>
    <row r="218" spans="1:7" x14ac:dyDescent="0.25">
      <c r="A218" s="26">
        <v>4050827</v>
      </c>
      <c r="B218" s="26" t="s">
        <v>547</v>
      </c>
      <c r="C218" s="26" t="s">
        <v>464</v>
      </c>
      <c r="D218" s="59">
        <v>0</v>
      </c>
      <c r="E218" s="26">
        <v>0</v>
      </c>
      <c r="F218">
        <v>0</v>
      </c>
      <c r="G218" t="s">
        <v>555</v>
      </c>
    </row>
    <row r="219" spans="1:7" x14ac:dyDescent="0.25">
      <c r="A219" s="26">
        <v>4050848</v>
      </c>
      <c r="B219" s="26" t="s">
        <v>547</v>
      </c>
      <c r="C219" s="26" t="s">
        <v>61</v>
      </c>
      <c r="D219" s="59">
        <v>0</v>
      </c>
      <c r="E219" s="26">
        <v>0</v>
      </c>
      <c r="F219">
        <v>0</v>
      </c>
      <c r="G219" t="s">
        <v>553</v>
      </c>
    </row>
    <row r="220" spans="1:7" x14ac:dyDescent="0.25">
      <c r="A220" s="26">
        <v>4060030</v>
      </c>
      <c r="B220" s="26" t="s">
        <v>559</v>
      </c>
      <c r="C220" s="26" t="s">
        <v>531</v>
      </c>
      <c r="D220" s="59">
        <v>0</v>
      </c>
      <c r="E220" s="26">
        <v>0</v>
      </c>
      <c r="F220">
        <v>0</v>
      </c>
      <c r="G220" t="s">
        <v>558</v>
      </c>
    </row>
    <row r="221" spans="1:7" x14ac:dyDescent="0.25">
      <c r="A221" s="26">
        <v>4060040</v>
      </c>
      <c r="B221" s="26" t="s">
        <v>559</v>
      </c>
      <c r="C221" s="26" t="s">
        <v>531</v>
      </c>
      <c r="D221" s="59">
        <v>0</v>
      </c>
      <c r="E221" s="26">
        <v>0</v>
      </c>
      <c r="F221">
        <v>0</v>
      </c>
      <c r="G221" t="s">
        <v>561</v>
      </c>
    </row>
    <row r="222" spans="1:7" x14ac:dyDescent="0.25">
      <c r="A222" s="26">
        <v>4060050</v>
      </c>
      <c r="B222" s="26" t="s">
        <v>559</v>
      </c>
      <c r="C222" s="26" t="s">
        <v>531</v>
      </c>
      <c r="D222" s="59">
        <v>0</v>
      </c>
      <c r="E222" s="26">
        <v>0</v>
      </c>
      <c r="F222">
        <v>0</v>
      </c>
      <c r="G222" t="s">
        <v>563</v>
      </c>
    </row>
    <row r="223" spans="1:7" x14ac:dyDescent="0.25">
      <c r="A223" s="26">
        <v>40601941</v>
      </c>
      <c r="B223" s="26" t="s">
        <v>559</v>
      </c>
      <c r="C223" s="26" t="s">
        <v>565</v>
      </c>
      <c r="D223" s="59">
        <v>0</v>
      </c>
      <c r="E223" s="26">
        <v>0</v>
      </c>
      <c r="F223">
        <v>0</v>
      </c>
      <c r="G223" t="s">
        <v>558</v>
      </c>
    </row>
    <row r="224" spans="1:7" x14ac:dyDescent="0.25">
      <c r="A224" s="26">
        <v>40701322</v>
      </c>
      <c r="B224" s="26" t="s">
        <v>568</v>
      </c>
      <c r="C224" s="26" t="s">
        <v>569</v>
      </c>
      <c r="D224" s="59">
        <v>0</v>
      </c>
      <c r="E224" s="26">
        <v>0</v>
      </c>
      <c r="F224">
        <v>0</v>
      </c>
      <c r="G224" t="s">
        <v>567</v>
      </c>
    </row>
    <row r="225" spans="1:7" x14ac:dyDescent="0.25">
      <c r="A225" s="26">
        <v>40702200</v>
      </c>
      <c r="B225" s="26" t="s">
        <v>568</v>
      </c>
      <c r="C225" s="26" t="s">
        <v>572</v>
      </c>
      <c r="D225" s="59">
        <v>0</v>
      </c>
      <c r="E225" s="26">
        <v>0</v>
      </c>
      <c r="F225">
        <v>0</v>
      </c>
      <c r="G225" t="s">
        <v>571</v>
      </c>
    </row>
    <row r="226" spans="1:7" x14ac:dyDescent="0.25">
      <c r="A226" s="26">
        <v>4080030</v>
      </c>
      <c r="B226" s="26" t="s">
        <v>575</v>
      </c>
      <c r="C226" s="26" t="s">
        <v>58</v>
      </c>
      <c r="D226" s="59">
        <v>0</v>
      </c>
      <c r="E226" s="26">
        <v>0</v>
      </c>
      <c r="F226">
        <v>0</v>
      </c>
      <c r="G226" t="s">
        <v>574</v>
      </c>
    </row>
    <row r="227" spans="1:7" x14ac:dyDescent="0.25">
      <c r="A227" s="26">
        <v>4080040</v>
      </c>
      <c r="B227" s="26" t="s">
        <v>575</v>
      </c>
      <c r="C227" s="26" t="s">
        <v>58</v>
      </c>
      <c r="D227" s="59">
        <v>0</v>
      </c>
      <c r="E227" s="26">
        <v>0</v>
      </c>
      <c r="F227">
        <v>0</v>
      </c>
      <c r="G227" t="s">
        <v>577</v>
      </c>
    </row>
    <row r="228" spans="1:7" x14ac:dyDescent="0.25">
      <c r="A228" s="26">
        <v>4080117</v>
      </c>
      <c r="B228" s="26" t="s">
        <v>541</v>
      </c>
      <c r="C228" s="26" t="s">
        <v>579</v>
      </c>
      <c r="D228" s="59">
        <v>0</v>
      </c>
      <c r="E228" s="26">
        <v>0</v>
      </c>
      <c r="F228">
        <v>0</v>
      </c>
      <c r="G228" t="s">
        <v>544</v>
      </c>
    </row>
    <row r="229" spans="1:7" x14ac:dyDescent="0.25">
      <c r="A229" s="26">
        <v>4080121</v>
      </c>
      <c r="B229" s="26" t="s">
        <v>541</v>
      </c>
      <c r="C229" s="26" t="s">
        <v>579</v>
      </c>
      <c r="D229" s="59">
        <v>0</v>
      </c>
      <c r="E229" s="26">
        <v>0</v>
      </c>
      <c r="F229">
        <v>0</v>
      </c>
      <c r="G229" t="s">
        <v>540</v>
      </c>
    </row>
    <row r="230" spans="1:7" x14ac:dyDescent="0.25">
      <c r="A230" s="26">
        <v>4090010</v>
      </c>
      <c r="B230" s="26" t="s">
        <v>583</v>
      </c>
      <c r="C230" s="26" t="s">
        <v>531</v>
      </c>
      <c r="D230" s="59">
        <v>0</v>
      </c>
      <c r="E230" s="26">
        <v>0</v>
      </c>
      <c r="F230">
        <v>0</v>
      </c>
      <c r="G230" t="s">
        <v>582</v>
      </c>
    </row>
    <row r="231" spans="1:7" x14ac:dyDescent="0.25">
      <c r="A231" s="26">
        <v>4090040</v>
      </c>
      <c r="B231" s="26" t="s">
        <v>583</v>
      </c>
      <c r="C231" s="26" t="s">
        <v>531</v>
      </c>
      <c r="D231" s="59">
        <v>0</v>
      </c>
      <c r="E231" s="26">
        <v>0</v>
      </c>
      <c r="F231">
        <v>0</v>
      </c>
      <c r="G231" t="s">
        <v>585</v>
      </c>
    </row>
    <row r="232" spans="1:7" x14ac:dyDescent="0.25">
      <c r="A232" s="26">
        <v>4090080</v>
      </c>
      <c r="B232" s="26" t="s">
        <v>583</v>
      </c>
      <c r="C232" s="26" t="s">
        <v>531</v>
      </c>
      <c r="D232" s="59">
        <v>0</v>
      </c>
      <c r="E232" s="26">
        <v>0</v>
      </c>
      <c r="F232">
        <v>0</v>
      </c>
      <c r="G232" t="s">
        <v>587</v>
      </c>
    </row>
    <row r="233" spans="1:7" x14ac:dyDescent="0.25">
      <c r="A233" s="26">
        <v>4090138</v>
      </c>
      <c r="B233" s="26" t="s">
        <v>583</v>
      </c>
      <c r="C233" s="26" t="s">
        <v>590</v>
      </c>
      <c r="D233" s="59">
        <v>0</v>
      </c>
      <c r="E233" s="26">
        <v>0</v>
      </c>
      <c r="F233">
        <v>0</v>
      </c>
      <c r="G233" t="s">
        <v>589</v>
      </c>
    </row>
    <row r="234" spans="1:7" x14ac:dyDescent="0.25">
      <c r="A234" s="26">
        <v>4090234</v>
      </c>
      <c r="B234" s="26" t="s">
        <v>583</v>
      </c>
      <c r="C234" s="26" t="s">
        <v>592</v>
      </c>
      <c r="D234" s="59">
        <v>0</v>
      </c>
      <c r="E234" s="26">
        <v>0</v>
      </c>
      <c r="F234">
        <v>0</v>
      </c>
      <c r="G234" t="s">
        <v>589</v>
      </c>
    </row>
    <row r="235" spans="1:7" x14ac:dyDescent="0.25">
      <c r="A235" s="26">
        <v>4510050</v>
      </c>
      <c r="B235" s="26" t="s">
        <v>595</v>
      </c>
      <c r="C235" s="26" t="s">
        <v>596</v>
      </c>
      <c r="D235" s="59">
        <v>0</v>
      </c>
      <c r="E235" s="26">
        <v>0</v>
      </c>
      <c r="F235">
        <v>0</v>
      </c>
      <c r="G235" t="s">
        <v>594</v>
      </c>
    </row>
    <row r="236" spans="1:7" x14ac:dyDescent="0.25">
      <c r="A236" s="26">
        <v>45101665</v>
      </c>
      <c r="B236" s="26" t="s">
        <v>595</v>
      </c>
      <c r="C236" s="26" t="s">
        <v>599</v>
      </c>
      <c r="D236" s="59">
        <v>0</v>
      </c>
      <c r="E236" s="26">
        <v>0</v>
      </c>
      <c r="F236">
        <v>0</v>
      </c>
      <c r="G236" t="s">
        <v>598</v>
      </c>
    </row>
    <row r="237" spans="1:7" x14ac:dyDescent="0.25">
      <c r="A237" s="26">
        <v>45102410</v>
      </c>
      <c r="B237" s="26" t="s">
        <v>595</v>
      </c>
      <c r="C237" s="26" t="s">
        <v>602</v>
      </c>
      <c r="D237" s="59">
        <v>0</v>
      </c>
      <c r="E237" s="26">
        <v>0</v>
      </c>
      <c r="F237">
        <v>0</v>
      </c>
      <c r="G237" t="s">
        <v>601</v>
      </c>
    </row>
    <row r="238" spans="1:7" x14ac:dyDescent="0.25">
      <c r="A238" s="26">
        <v>4520010</v>
      </c>
      <c r="B238" s="26" t="s">
        <v>605</v>
      </c>
      <c r="C238" s="26" t="s">
        <v>606</v>
      </c>
      <c r="D238" s="59">
        <v>0</v>
      </c>
      <c r="E238" s="26">
        <v>0</v>
      </c>
      <c r="F238">
        <v>0</v>
      </c>
      <c r="G238" t="s">
        <v>604</v>
      </c>
    </row>
    <row r="239" spans="1:7" x14ac:dyDescent="0.25">
      <c r="A239" s="26">
        <v>4520030</v>
      </c>
      <c r="B239" s="26" t="s">
        <v>605</v>
      </c>
      <c r="C239" s="26" t="s">
        <v>609</v>
      </c>
      <c r="D239" s="59">
        <v>0</v>
      </c>
      <c r="E239" s="26">
        <v>0</v>
      </c>
      <c r="F239">
        <v>0</v>
      </c>
      <c r="G239" t="s">
        <v>608</v>
      </c>
    </row>
    <row r="240" spans="1:7" x14ac:dyDescent="0.25">
      <c r="A240" s="26">
        <v>4520042</v>
      </c>
      <c r="B240" s="26" t="s">
        <v>605</v>
      </c>
      <c r="C240" s="26" t="s">
        <v>609</v>
      </c>
      <c r="D240" s="59">
        <v>0</v>
      </c>
      <c r="E240" s="26">
        <v>0</v>
      </c>
      <c r="F240">
        <v>0</v>
      </c>
      <c r="G240" t="s">
        <v>611</v>
      </c>
    </row>
    <row r="241" spans="1:7" x14ac:dyDescent="0.25">
      <c r="A241" s="26">
        <v>45201079</v>
      </c>
      <c r="B241" s="26" t="s">
        <v>605</v>
      </c>
      <c r="C241" s="26" t="s">
        <v>67</v>
      </c>
      <c r="D241" s="59">
        <v>0</v>
      </c>
      <c r="E241" s="26">
        <v>0</v>
      </c>
      <c r="F241">
        <v>0</v>
      </c>
      <c r="G241" t="s">
        <v>613</v>
      </c>
    </row>
    <row r="242" spans="1:7" x14ac:dyDescent="0.25">
      <c r="A242" s="26">
        <v>4520128</v>
      </c>
      <c r="B242" s="26" t="s">
        <v>595</v>
      </c>
      <c r="C242" s="26" t="s">
        <v>615</v>
      </c>
      <c r="D242" s="59">
        <v>0</v>
      </c>
      <c r="E242" s="26">
        <v>0</v>
      </c>
      <c r="F242">
        <v>0</v>
      </c>
      <c r="G242" t="s">
        <v>594</v>
      </c>
    </row>
    <row r="243" spans="1:7" x14ac:dyDescent="0.25">
      <c r="A243" s="26">
        <v>4520186</v>
      </c>
      <c r="B243" s="26" t="s">
        <v>595</v>
      </c>
      <c r="C243" s="26" t="s">
        <v>618</v>
      </c>
      <c r="D243" s="59">
        <v>0</v>
      </c>
      <c r="E243" s="26">
        <v>0</v>
      </c>
      <c r="F243">
        <v>0</v>
      </c>
      <c r="G243" t="s">
        <v>617</v>
      </c>
    </row>
    <row r="244" spans="1:7" x14ac:dyDescent="0.25">
      <c r="A244" s="26">
        <v>4520252</v>
      </c>
      <c r="B244" s="26" t="s">
        <v>595</v>
      </c>
      <c r="C244" s="26" t="s">
        <v>621</v>
      </c>
      <c r="D244" s="59">
        <v>0</v>
      </c>
      <c r="E244" s="26">
        <v>0</v>
      </c>
      <c r="F244">
        <v>0</v>
      </c>
      <c r="G244" t="s">
        <v>620</v>
      </c>
    </row>
    <row r="245" spans="1:7" x14ac:dyDescent="0.25">
      <c r="A245" s="26">
        <v>4520511</v>
      </c>
      <c r="B245" s="26" t="s">
        <v>595</v>
      </c>
      <c r="C245" s="26" t="s">
        <v>623</v>
      </c>
      <c r="D245" s="59">
        <v>0</v>
      </c>
      <c r="E245" s="26">
        <v>0</v>
      </c>
      <c r="F245">
        <v>0</v>
      </c>
      <c r="G245" t="s">
        <v>620</v>
      </c>
    </row>
    <row r="246" spans="1:7" x14ac:dyDescent="0.25">
      <c r="A246" s="26">
        <v>4520705</v>
      </c>
      <c r="B246" s="26" t="s">
        <v>595</v>
      </c>
      <c r="C246" s="26" t="s">
        <v>625</v>
      </c>
      <c r="D246" s="59">
        <v>0</v>
      </c>
      <c r="E246" s="26">
        <v>0</v>
      </c>
      <c r="F246">
        <v>0</v>
      </c>
      <c r="G246" t="s">
        <v>598</v>
      </c>
    </row>
    <row r="247" spans="1:7" x14ac:dyDescent="0.25">
      <c r="A247" s="26">
        <v>5010010</v>
      </c>
      <c r="B247" s="26" t="s">
        <v>628</v>
      </c>
      <c r="C247" s="26" t="s">
        <v>629</v>
      </c>
      <c r="D247" s="59">
        <v>0</v>
      </c>
      <c r="E247" s="26">
        <v>0</v>
      </c>
      <c r="F247">
        <v>0</v>
      </c>
      <c r="G247" t="s">
        <v>627</v>
      </c>
    </row>
    <row r="248" spans="1:7" x14ac:dyDescent="0.25">
      <c r="A248" s="26">
        <v>5010020</v>
      </c>
      <c r="B248" s="26" t="s">
        <v>628</v>
      </c>
      <c r="C248" s="26" t="s">
        <v>632</v>
      </c>
      <c r="D248" s="59">
        <v>0</v>
      </c>
      <c r="E248" s="26">
        <v>0</v>
      </c>
      <c r="F248">
        <v>0</v>
      </c>
      <c r="G248" t="s">
        <v>631</v>
      </c>
    </row>
    <row r="249" spans="1:7" x14ac:dyDescent="0.25">
      <c r="A249" s="26">
        <v>5010061</v>
      </c>
      <c r="B249" s="26" t="s">
        <v>628</v>
      </c>
      <c r="C249" s="26" t="s">
        <v>632</v>
      </c>
      <c r="D249" s="59">
        <v>0</v>
      </c>
      <c r="E249" s="26">
        <v>0</v>
      </c>
      <c r="F249">
        <v>0</v>
      </c>
      <c r="G249" t="s">
        <v>627</v>
      </c>
    </row>
    <row r="250" spans="1:7" x14ac:dyDescent="0.25">
      <c r="A250" s="26">
        <v>5020030</v>
      </c>
      <c r="B250" s="26" t="s">
        <v>636</v>
      </c>
      <c r="C250" s="26" t="s">
        <v>637</v>
      </c>
      <c r="D250" s="59">
        <v>0</v>
      </c>
      <c r="E250" s="26">
        <v>0</v>
      </c>
      <c r="F250">
        <v>0</v>
      </c>
      <c r="G250" t="s">
        <v>635</v>
      </c>
    </row>
    <row r="251" spans="1:7" x14ac:dyDescent="0.25">
      <c r="A251" s="26">
        <v>5020070</v>
      </c>
      <c r="B251" s="26" t="s">
        <v>636</v>
      </c>
      <c r="C251" s="26" t="s">
        <v>64</v>
      </c>
      <c r="D251" s="59">
        <v>0</v>
      </c>
      <c r="E251" s="26">
        <v>0</v>
      </c>
      <c r="F251">
        <v>0</v>
      </c>
      <c r="G251" t="s">
        <v>63</v>
      </c>
    </row>
    <row r="252" spans="1:7" x14ac:dyDescent="0.25">
      <c r="A252" s="26">
        <v>5020091</v>
      </c>
      <c r="B252" s="26" t="s">
        <v>636</v>
      </c>
      <c r="C252" s="26" t="s">
        <v>64</v>
      </c>
      <c r="D252" s="59">
        <v>0</v>
      </c>
      <c r="E252" s="26">
        <v>0</v>
      </c>
      <c r="F252">
        <v>0</v>
      </c>
      <c r="G252" t="s">
        <v>639</v>
      </c>
    </row>
    <row r="253" spans="1:7" x14ac:dyDescent="0.25">
      <c r="A253" s="26">
        <v>5020100</v>
      </c>
      <c r="B253" s="26" t="s">
        <v>636</v>
      </c>
      <c r="C253" s="26" t="s">
        <v>642</v>
      </c>
      <c r="D253" s="59">
        <v>0</v>
      </c>
      <c r="E253" s="26">
        <v>0</v>
      </c>
      <c r="F253">
        <v>0</v>
      </c>
      <c r="G253" t="s">
        <v>641</v>
      </c>
    </row>
    <row r="254" spans="1:7" x14ac:dyDescent="0.25">
      <c r="A254" s="26">
        <v>502010859</v>
      </c>
      <c r="B254" s="26" t="s">
        <v>636</v>
      </c>
      <c r="C254" s="26" t="s">
        <v>645</v>
      </c>
      <c r="D254" s="59">
        <v>0</v>
      </c>
      <c r="E254" s="26">
        <v>0</v>
      </c>
      <c r="F254">
        <v>0</v>
      </c>
      <c r="G254" t="s">
        <v>644</v>
      </c>
    </row>
    <row r="255" spans="1:7" x14ac:dyDescent="0.25">
      <c r="A255" s="26">
        <v>5020125</v>
      </c>
      <c r="B255" s="26" t="s">
        <v>636</v>
      </c>
      <c r="C255" s="26" t="s">
        <v>637</v>
      </c>
      <c r="D255" s="59">
        <v>0</v>
      </c>
      <c r="E255" s="26">
        <v>0</v>
      </c>
      <c r="F255">
        <v>0</v>
      </c>
      <c r="G255" t="s">
        <v>647</v>
      </c>
    </row>
    <row r="256" spans="1:7" x14ac:dyDescent="0.25">
      <c r="A256" s="26">
        <v>5020150</v>
      </c>
      <c r="B256" s="26" t="s">
        <v>636</v>
      </c>
      <c r="C256" s="26" t="s">
        <v>609</v>
      </c>
      <c r="D256" s="59">
        <v>0</v>
      </c>
      <c r="E256" s="26">
        <v>0</v>
      </c>
      <c r="F256">
        <v>0</v>
      </c>
      <c r="G256" t="s">
        <v>649</v>
      </c>
    </row>
    <row r="257" spans="1:7" x14ac:dyDescent="0.25">
      <c r="A257" s="26">
        <v>5020240</v>
      </c>
      <c r="B257" s="26" t="s">
        <v>636</v>
      </c>
      <c r="C257" s="26" t="s">
        <v>652</v>
      </c>
      <c r="D257" s="59">
        <v>0</v>
      </c>
      <c r="E257" s="26">
        <v>0</v>
      </c>
      <c r="F257">
        <v>0</v>
      </c>
      <c r="G257" t="s">
        <v>651</v>
      </c>
    </row>
    <row r="258" spans="1:7" x14ac:dyDescent="0.25">
      <c r="A258" s="26">
        <v>50203416</v>
      </c>
      <c r="B258" s="26" t="s">
        <v>636</v>
      </c>
      <c r="C258" s="26" t="s">
        <v>655</v>
      </c>
      <c r="D258" s="59">
        <v>0</v>
      </c>
      <c r="E258" s="26">
        <v>0</v>
      </c>
      <c r="F258">
        <v>0</v>
      </c>
      <c r="G258" t="s">
        <v>654</v>
      </c>
    </row>
    <row r="259" spans="1:7" x14ac:dyDescent="0.25">
      <c r="A259" s="26">
        <v>50203931</v>
      </c>
      <c r="B259" s="26" t="s">
        <v>636</v>
      </c>
      <c r="C259" s="26" t="s">
        <v>415</v>
      </c>
      <c r="D259" s="59">
        <v>0</v>
      </c>
      <c r="E259" s="26">
        <v>0</v>
      </c>
      <c r="F259">
        <v>0</v>
      </c>
      <c r="G259" t="s">
        <v>657</v>
      </c>
    </row>
    <row r="260" spans="1:7" x14ac:dyDescent="0.25">
      <c r="A260" s="26">
        <v>50205931</v>
      </c>
      <c r="B260" s="26" t="s">
        <v>636</v>
      </c>
      <c r="C260" s="26" t="s">
        <v>67</v>
      </c>
      <c r="D260" s="59">
        <v>0</v>
      </c>
      <c r="E260" s="26">
        <v>0</v>
      </c>
      <c r="F260">
        <v>0</v>
      </c>
      <c r="G260" t="s">
        <v>66</v>
      </c>
    </row>
    <row r="261" spans="1:7" x14ac:dyDescent="0.25">
      <c r="A261" s="26">
        <v>5020700</v>
      </c>
      <c r="B261" s="26" t="s">
        <v>636</v>
      </c>
      <c r="C261" s="26" t="s">
        <v>660</v>
      </c>
      <c r="D261" s="59">
        <v>0</v>
      </c>
      <c r="E261" s="26">
        <v>0</v>
      </c>
      <c r="F261">
        <v>0</v>
      </c>
      <c r="G261" t="s">
        <v>659</v>
      </c>
    </row>
    <row r="262" spans="1:7" x14ac:dyDescent="0.25">
      <c r="A262" s="26">
        <v>5020702</v>
      </c>
      <c r="B262" s="26" t="s">
        <v>636</v>
      </c>
      <c r="C262" s="26" t="s">
        <v>632</v>
      </c>
      <c r="D262" s="59">
        <v>0</v>
      </c>
      <c r="E262" s="26">
        <v>0</v>
      </c>
      <c r="F262">
        <v>0</v>
      </c>
      <c r="G262" t="s">
        <v>662</v>
      </c>
    </row>
    <row r="263" spans="1:7" x14ac:dyDescent="0.25">
      <c r="A263" s="26">
        <v>5020717</v>
      </c>
      <c r="B263" s="26" t="s">
        <v>636</v>
      </c>
      <c r="C263" s="26" t="s">
        <v>665</v>
      </c>
      <c r="D263" s="59">
        <v>0</v>
      </c>
      <c r="E263" s="26">
        <v>0</v>
      </c>
      <c r="F263">
        <v>0</v>
      </c>
      <c r="G263" t="s">
        <v>664</v>
      </c>
    </row>
    <row r="264" spans="1:7" x14ac:dyDescent="0.25">
      <c r="A264" s="26">
        <v>5020740</v>
      </c>
      <c r="B264" s="26" t="s">
        <v>636</v>
      </c>
      <c r="C264" s="26" t="s">
        <v>668</v>
      </c>
      <c r="D264" s="59">
        <v>0</v>
      </c>
      <c r="E264" s="26">
        <v>0</v>
      </c>
      <c r="F264">
        <v>0</v>
      </c>
      <c r="G264" t="s">
        <v>667</v>
      </c>
    </row>
    <row r="265" spans="1:7" x14ac:dyDescent="0.25">
      <c r="A265" s="26">
        <v>5020765</v>
      </c>
      <c r="B265" s="26" t="s">
        <v>636</v>
      </c>
      <c r="C265" s="26" t="s">
        <v>652</v>
      </c>
      <c r="D265" s="59">
        <v>0</v>
      </c>
      <c r="E265" s="26">
        <v>0</v>
      </c>
      <c r="F265">
        <v>0</v>
      </c>
      <c r="G265" t="s">
        <v>670</v>
      </c>
    </row>
    <row r="266" spans="1:7" x14ac:dyDescent="0.25">
      <c r="A266" s="26">
        <v>5020783</v>
      </c>
      <c r="B266" s="26" t="s">
        <v>636</v>
      </c>
      <c r="C266" s="26" t="s">
        <v>609</v>
      </c>
      <c r="D266" s="59">
        <v>0</v>
      </c>
      <c r="E266" s="26">
        <v>0</v>
      </c>
      <c r="F266">
        <v>0</v>
      </c>
      <c r="G266" t="s">
        <v>670</v>
      </c>
    </row>
    <row r="267" spans="1:7" x14ac:dyDescent="0.25">
      <c r="A267" s="26">
        <v>5020800</v>
      </c>
      <c r="B267" s="26" t="s">
        <v>636</v>
      </c>
      <c r="C267" s="26" t="s">
        <v>674</v>
      </c>
      <c r="D267" s="59">
        <v>0</v>
      </c>
      <c r="E267" s="26">
        <v>0</v>
      </c>
      <c r="F267">
        <v>0</v>
      </c>
      <c r="G267" t="s">
        <v>673</v>
      </c>
    </row>
    <row r="268" spans="1:7" x14ac:dyDescent="0.25">
      <c r="A268" s="26">
        <v>50208280</v>
      </c>
      <c r="B268" s="26" t="s">
        <v>636</v>
      </c>
      <c r="C268" s="26" t="s">
        <v>677</v>
      </c>
      <c r="D268" s="59">
        <v>0</v>
      </c>
      <c r="E268" s="26">
        <v>0</v>
      </c>
      <c r="F268">
        <v>0</v>
      </c>
      <c r="G268" t="s">
        <v>676</v>
      </c>
    </row>
    <row r="269" spans="1:7" x14ac:dyDescent="0.25">
      <c r="A269" s="26">
        <v>5020833</v>
      </c>
      <c r="B269" s="26" t="s">
        <v>636</v>
      </c>
      <c r="C269" s="26" t="s">
        <v>680</v>
      </c>
      <c r="D269" s="59">
        <v>0</v>
      </c>
      <c r="E269" s="26">
        <v>0</v>
      </c>
      <c r="F269">
        <v>0</v>
      </c>
      <c r="G269" t="s">
        <v>679</v>
      </c>
    </row>
    <row r="270" spans="1:7" x14ac:dyDescent="0.25">
      <c r="A270" s="26">
        <v>5020924</v>
      </c>
      <c r="B270" s="26" t="s">
        <v>636</v>
      </c>
      <c r="C270" s="26" t="s">
        <v>683</v>
      </c>
      <c r="D270" s="59">
        <v>0</v>
      </c>
      <c r="E270" s="26">
        <v>0</v>
      </c>
      <c r="F270">
        <v>0</v>
      </c>
      <c r="G270" t="s">
        <v>682</v>
      </c>
    </row>
    <row r="271" spans="1:7" x14ac:dyDescent="0.25">
      <c r="A271" s="26">
        <v>50209892</v>
      </c>
      <c r="B271" s="26" t="s">
        <v>636</v>
      </c>
      <c r="C271" s="26" t="s">
        <v>686</v>
      </c>
      <c r="D271" s="59">
        <v>0</v>
      </c>
      <c r="E271" s="26">
        <v>0</v>
      </c>
      <c r="F271">
        <v>0</v>
      </c>
      <c r="G271" t="s">
        <v>685</v>
      </c>
    </row>
    <row r="272" spans="1:7" x14ac:dyDescent="0.25">
      <c r="A272" s="26">
        <v>5021004</v>
      </c>
      <c r="B272" s="26" t="s">
        <v>636</v>
      </c>
      <c r="C272" s="26" t="s">
        <v>645</v>
      </c>
      <c r="D272" s="59">
        <v>0</v>
      </c>
      <c r="E272" s="26">
        <v>0</v>
      </c>
      <c r="F272">
        <v>0</v>
      </c>
      <c r="G272" t="s">
        <v>635</v>
      </c>
    </row>
    <row r="273" spans="1:7" x14ac:dyDescent="0.25">
      <c r="A273" s="26">
        <v>5021721</v>
      </c>
      <c r="B273" s="26" t="s">
        <v>636</v>
      </c>
      <c r="C273" s="26" t="s">
        <v>690</v>
      </c>
      <c r="D273" s="59">
        <v>0</v>
      </c>
      <c r="E273" s="26">
        <v>0</v>
      </c>
      <c r="F273">
        <v>0</v>
      </c>
      <c r="G273" t="s">
        <v>689</v>
      </c>
    </row>
    <row r="274" spans="1:7" x14ac:dyDescent="0.25">
      <c r="A274" s="26">
        <v>5021864</v>
      </c>
      <c r="B274" s="26" t="s">
        <v>636</v>
      </c>
      <c r="C274" s="26" t="s">
        <v>692</v>
      </c>
      <c r="D274" s="59">
        <v>0</v>
      </c>
      <c r="E274" s="26">
        <v>0</v>
      </c>
      <c r="F274">
        <v>0</v>
      </c>
      <c r="G274" t="s">
        <v>635</v>
      </c>
    </row>
    <row r="275" spans="1:7" x14ac:dyDescent="0.25">
      <c r="A275" s="26">
        <v>5030010</v>
      </c>
      <c r="B275" s="26" t="s">
        <v>695</v>
      </c>
      <c r="C275" s="26" t="s">
        <v>479</v>
      </c>
      <c r="D275" s="59">
        <v>0</v>
      </c>
      <c r="E275" s="26">
        <v>0</v>
      </c>
      <c r="F275">
        <v>0</v>
      </c>
      <c r="G275" t="s">
        <v>694</v>
      </c>
    </row>
    <row r="276" spans="1:7" x14ac:dyDescent="0.25">
      <c r="A276" s="26">
        <v>5030020</v>
      </c>
      <c r="B276" s="26" t="s">
        <v>695</v>
      </c>
      <c r="C276" s="26" t="s">
        <v>479</v>
      </c>
      <c r="D276" s="59">
        <v>0</v>
      </c>
      <c r="E276" s="26">
        <v>0</v>
      </c>
      <c r="F276">
        <v>0</v>
      </c>
      <c r="G276" t="s">
        <v>697</v>
      </c>
    </row>
    <row r="277" spans="1:7" x14ac:dyDescent="0.25">
      <c r="A277" s="26">
        <v>5030122</v>
      </c>
      <c r="B277" s="26" t="s">
        <v>695</v>
      </c>
      <c r="C277" s="26" t="s">
        <v>333</v>
      </c>
      <c r="D277" s="59">
        <v>0</v>
      </c>
      <c r="E277" s="26">
        <v>0</v>
      </c>
      <c r="F277">
        <v>0</v>
      </c>
      <c r="G277" t="s">
        <v>694</v>
      </c>
    </row>
    <row r="278" spans="1:7" x14ac:dyDescent="0.25">
      <c r="A278" s="26">
        <v>5031232</v>
      </c>
      <c r="B278" s="26" t="s">
        <v>695</v>
      </c>
      <c r="C278" s="26" t="s">
        <v>700</v>
      </c>
      <c r="D278" s="59">
        <v>0</v>
      </c>
      <c r="E278" s="26">
        <v>0</v>
      </c>
      <c r="F278">
        <v>0</v>
      </c>
      <c r="G278" t="s">
        <v>697</v>
      </c>
    </row>
    <row r="279" spans="1:7" x14ac:dyDescent="0.25">
      <c r="A279" s="26">
        <v>5040067</v>
      </c>
      <c r="B279" s="26" t="s">
        <v>703</v>
      </c>
      <c r="C279" s="26" t="s">
        <v>314</v>
      </c>
      <c r="D279" s="59">
        <v>0</v>
      </c>
      <c r="E279" s="26">
        <v>0</v>
      </c>
      <c r="F279">
        <v>0</v>
      </c>
      <c r="G279" t="s">
        <v>702</v>
      </c>
    </row>
    <row r="280" spans="1:7" x14ac:dyDescent="0.25">
      <c r="A280" s="26">
        <v>5040082</v>
      </c>
      <c r="B280" s="26" t="s">
        <v>703</v>
      </c>
      <c r="C280" s="26" t="s">
        <v>314</v>
      </c>
      <c r="D280" s="59">
        <v>0</v>
      </c>
      <c r="E280" s="26">
        <v>0</v>
      </c>
      <c r="F280">
        <v>0</v>
      </c>
      <c r="G280" t="s">
        <v>705</v>
      </c>
    </row>
    <row r="281" spans="1:7" x14ac:dyDescent="0.25">
      <c r="A281" s="26">
        <v>5040102</v>
      </c>
      <c r="B281" s="26" t="s">
        <v>703</v>
      </c>
      <c r="C281" s="26" t="s">
        <v>708</v>
      </c>
      <c r="D281" s="59">
        <v>0</v>
      </c>
      <c r="E281" s="26">
        <v>0</v>
      </c>
      <c r="F281">
        <v>0</v>
      </c>
      <c r="G281" t="s">
        <v>707</v>
      </c>
    </row>
    <row r="282" spans="1:7" x14ac:dyDescent="0.25">
      <c r="A282" s="26">
        <v>5510030</v>
      </c>
      <c r="B282" s="26" t="s">
        <v>711</v>
      </c>
      <c r="C282" s="26" t="s">
        <v>479</v>
      </c>
      <c r="D282" s="59">
        <v>0</v>
      </c>
      <c r="E282" s="26">
        <v>0</v>
      </c>
      <c r="F282">
        <v>0</v>
      </c>
      <c r="G282" t="s">
        <v>710</v>
      </c>
    </row>
    <row r="283" spans="1:7" x14ac:dyDescent="0.25">
      <c r="A283" s="26">
        <v>551011013</v>
      </c>
      <c r="B283" s="26" t="s">
        <v>711</v>
      </c>
      <c r="C283" s="26" t="s">
        <v>333</v>
      </c>
      <c r="D283" s="59">
        <v>0</v>
      </c>
      <c r="E283" s="26">
        <v>0</v>
      </c>
      <c r="F283">
        <v>0</v>
      </c>
      <c r="G283" t="s">
        <v>713</v>
      </c>
    </row>
    <row r="284" spans="1:7" x14ac:dyDescent="0.25">
      <c r="A284" s="26">
        <v>551011806</v>
      </c>
      <c r="B284" s="26" t="s">
        <v>711</v>
      </c>
      <c r="C284" s="26" t="s">
        <v>716</v>
      </c>
      <c r="D284" s="59">
        <v>0</v>
      </c>
      <c r="E284" s="26">
        <v>0</v>
      </c>
      <c r="F284">
        <v>0</v>
      </c>
      <c r="G284" t="s">
        <v>715</v>
      </c>
    </row>
    <row r="285" spans="1:7" x14ac:dyDescent="0.25">
      <c r="A285" s="26">
        <v>551011807</v>
      </c>
      <c r="B285" s="26" t="s">
        <v>711</v>
      </c>
      <c r="C285" s="26" t="s">
        <v>719</v>
      </c>
      <c r="D285" s="59">
        <v>0</v>
      </c>
      <c r="E285" s="26">
        <v>0</v>
      </c>
      <c r="F285">
        <v>0</v>
      </c>
      <c r="G285" t="s">
        <v>718</v>
      </c>
    </row>
    <row r="286" spans="1:7" x14ac:dyDescent="0.25">
      <c r="A286" s="26">
        <v>551011928</v>
      </c>
      <c r="B286" s="26" t="s">
        <v>711</v>
      </c>
      <c r="C286" s="26" t="s">
        <v>722</v>
      </c>
      <c r="D286" s="59">
        <v>0</v>
      </c>
      <c r="E286" s="26">
        <v>0</v>
      </c>
      <c r="F286">
        <v>0</v>
      </c>
      <c r="G286" t="s">
        <v>721</v>
      </c>
    </row>
    <row r="287" spans="1:7" x14ac:dyDescent="0.25">
      <c r="A287" s="26">
        <v>551011963</v>
      </c>
      <c r="B287" s="26" t="s">
        <v>711</v>
      </c>
      <c r="C287" s="26" t="s">
        <v>725</v>
      </c>
      <c r="D287" s="59">
        <v>0</v>
      </c>
      <c r="E287" s="26">
        <v>0</v>
      </c>
      <c r="F287">
        <v>0</v>
      </c>
      <c r="G287" t="s">
        <v>724</v>
      </c>
    </row>
    <row r="288" spans="1:7" x14ac:dyDescent="0.25">
      <c r="A288" s="26">
        <v>551012017</v>
      </c>
      <c r="B288" s="26" t="s">
        <v>711</v>
      </c>
      <c r="C288" s="26" t="s">
        <v>61</v>
      </c>
      <c r="D288" s="59">
        <v>0</v>
      </c>
      <c r="E288" s="26">
        <v>0</v>
      </c>
      <c r="F288">
        <v>0</v>
      </c>
      <c r="G288" t="s">
        <v>727</v>
      </c>
    </row>
    <row r="289" spans="1:7" x14ac:dyDescent="0.25">
      <c r="A289" s="26">
        <v>551012603</v>
      </c>
      <c r="B289" s="26" t="s">
        <v>711</v>
      </c>
      <c r="C289" s="26" t="s">
        <v>722</v>
      </c>
      <c r="D289" s="59">
        <v>0</v>
      </c>
      <c r="E289" s="26">
        <v>0</v>
      </c>
      <c r="F289">
        <v>0</v>
      </c>
      <c r="G289" t="s">
        <v>710</v>
      </c>
    </row>
    <row r="290" spans="1:7" x14ac:dyDescent="0.25">
      <c r="A290" s="26">
        <v>5510240</v>
      </c>
      <c r="B290" s="26" t="s">
        <v>711</v>
      </c>
      <c r="C290" s="26" t="s">
        <v>415</v>
      </c>
      <c r="D290" s="59">
        <v>0</v>
      </c>
      <c r="E290" s="26">
        <v>0</v>
      </c>
      <c r="F290">
        <v>0</v>
      </c>
      <c r="G290" t="s">
        <v>730</v>
      </c>
    </row>
    <row r="291" spans="1:7" x14ac:dyDescent="0.25">
      <c r="A291" s="26">
        <v>5510270</v>
      </c>
      <c r="B291" s="26" t="s">
        <v>711</v>
      </c>
      <c r="C291" s="26" t="s">
        <v>35</v>
      </c>
      <c r="D291" s="59">
        <v>0</v>
      </c>
      <c r="E291" s="26">
        <v>0</v>
      </c>
      <c r="F291">
        <v>0</v>
      </c>
      <c r="G291" t="s">
        <v>727</v>
      </c>
    </row>
    <row r="292" spans="1:7" x14ac:dyDescent="0.25">
      <c r="A292" s="26">
        <v>55109645</v>
      </c>
      <c r="B292" s="26" t="s">
        <v>711</v>
      </c>
      <c r="C292" s="26" t="s">
        <v>733</v>
      </c>
      <c r="D292" s="59">
        <v>0</v>
      </c>
      <c r="E292" s="26">
        <v>0</v>
      </c>
      <c r="F292">
        <v>0</v>
      </c>
      <c r="G292" t="s">
        <v>715</v>
      </c>
    </row>
    <row r="293" spans="1:7" x14ac:dyDescent="0.25">
      <c r="A293" s="26">
        <v>55109692</v>
      </c>
      <c r="B293" s="26" t="s">
        <v>711</v>
      </c>
      <c r="C293" s="26" t="s">
        <v>458</v>
      </c>
      <c r="D293" s="59">
        <v>0</v>
      </c>
      <c r="E293" s="26">
        <v>0</v>
      </c>
      <c r="F293">
        <v>0</v>
      </c>
      <c r="G293" t="s">
        <v>735</v>
      </c>
    </row>
    <row r="294" spans="1:7" x14ac:dyDescent="0.25">
      <c r="A294" s="26">
        <v>5520313</v>
      </c>
      <c r="B294" s="26" t="s">
        <v>738</v>
      </c>
      <c r="C294" s="26" t="s">
        <v>35</v>
      </c>
      <c r="D294" s="59">
        <v>0</v>
      </c>
      <c r="E294" s="26">
        <v>0</v>
      </c>
      <c r="F294">
        <v>0</v>
      </c>
      <c r="G294" t="s">
        <v>737</v>
      </c>
    </row>
    <row r="295" spans="1:7" x14ac:dyDescent="0.25">
      <c r="A295" s="26">
        <v>6010010</v>
      </c>
      <c r="B295" s="26" t="s">
        <v>741</v>
      </c>
      <c r="C295" s="26" t="s">
        <v>415</v>
      </c>
      <c r="D295" s="59">
        <v>0</v>
      </c>
      <c r="E295" s="26">
        <v>0</v>
      </c>
      <c r="F295">
        <v>0</v>
      </c>
      <c r="G295" t="s">
        <v>740</v>
      </c>
    </row>
    <row r="296" spans="1:7" x14ac:dyDescent="0.25">
      <c r="A296" s="26">
        <v>6010049</v>
      </c>
      <c r="B296" s="26" t="s">
        <v>741</v>
      </c>
      <c r="C296" s="26" t="s">
        <v>415</v>
      </c>
      <c r="D296" s="59">
        <v>0</v>
      </c>
      <c r="E296" s="26">
        <v>0</v>
      </c>
      <c r="F296">
        <v>0</v>
      </c>
      <c r="G296" t="s">
        <v>743</v>
      </c>
    </row>
    <row r="297" spans="1:7" x14ac:dyDescent="0.25">
      <c r="A297" s="26">
        <v>60100917</v>
      </c>
      <c r="B297" s="26" t="s">
        <v>741</v>
      </c>
      <c r="C297" s="26" t="s">
        <v>680</v>
      </c>
      <c r="D297" s="59">
        <v>0</v>
      </c>
      <c r="E297" s="26">
        <v>0</v>
      </c>
      <c r="F297">
        <v>0</v>
      </c>
      <c r="G297" t="s">
        <v>745</v>
      </c>
    </row>
    <row r="298" spans="1:7" x14ac:dyDescent="0.25">
      <c r="A298" s="26">
        <v>60101053</v>
      </c>
      <c r="B298" s="26" t="s">
        <v>741</v>
      </c>
      <c r="C298" s="26" t="s">
        <v>314</v>
      </c>
      <c r="D298" s="59">
        <v>0</v>
      </c>
      <c r="E298" s="26">
        <v>0</v>
      </c>
      <c r="F298">
        <v>0</v>
      </c>
      <c r="G298" t="s">
        <v>747</v>
      </c>
    </row>
    <row r="299" spans="1:7" x14ac:dyDescent="0.25">
      <c r="A299" s="26">
        <v>6010230</v>
      </c>
      <c r="B299" s="26" t="s">
        <v>741</v>
      </c>
      <c r="C299" s="26" t="s">
        <v>35</v>
      </c>
      <c r="D299" s="59">
        <v>0</v>
      </c>
      <c r="E299" s="26">
        <v>0</v>
      </c>
      <c r="F299">
        <v>0</v>
      </c>
      <c r="G299" t="s">
        <v>749</v>
      </c>
    </row>
    <row r="300" spans="1:7" x14ac:dyDescent="0.25">
      <c r="A300" s="26">
        <v>6010270</v>
      </c>
      <c r="B300" s="26" t="s">
        <v>741</v>
      </c>
      <c r="C300" s="26" t="s">
        <v>415</v>
      </c>
      <c r="D300" s="59">
        <v>0</v>
      </c>
      <c r="E300" s="26">
        <v>0</v>
      </c>
      <c r="F300">
        <v>0</v>
      </c>
      <c r="G300" t="s">
        <v>751</v>
      </c>
    </row>
    <row r="301" spans="1:7" x14ac:dyDescent="0.25">
      <c r="A301" s="26">
        <v>601043075</v>
      </c>
      <c r="B301" s="26" t="s">
        <v>741</v>
      </c>
      <c r="C301" s="26" t="s">
        <v>754</v>
      </c>
      <c r="D301" s="59">
        <v>0</v>
      </c>
      <c r="E301" s="26">
        <v>0</v>
      </c>
      <c r="F301">
        <v>0</v>
      </c>
      <c r="G301" t="s">
        <v>753</v>
      </c>
    </row>
    <row r="302" spans="1:7" x14ac:dyDescent="0.25">
      <c r="A302" s="26">
        <v>6011029</v>
      </c>
      <c r="B302" s="26" t="s">
        <v>741</v>
      </c>
      <c r="C302" s="26" t="s">
        <v>464</v>
      </c>
      <c r="D302" s="59">
        <v>0</v>
      </c>
      <c r="E302" s="26">
        <v>0</v>
      </c>
      <c r="F302">
        <v>0</v>
      </c>
      <c r="G302" t="s">
        <v>753</v>
      </c>
    </row>
    <row r="303" spans="1:7" x14ac:dyDescent="0.25">
      <c r="A303" s="26">
        <v>6011114</v>
      </c>
      <c r="B303" s="26" t="s">
        <v>741</v>
      </c>
      <c r="C303" s="26" t="s">
        <v>314</v>
      </c>
      <c r="D303" s="59">
        <v>0</v>
      </c>
      <c r="E303" s="26">
        <v>0</v>
      </c>
      <c r="F303">
        <v>0</v>
      </c>
      <c r="G303" t="s">
        <v>757</v>
      </c>
    </row>
    <row r="304" spans="1:7" x14ac:dyDescent="0.25">
      <c r="A304" s="26">
        <v>6011427</v>
      </c>
      <c r="B304" s="26" t="s">
        <v>741</v>
      </c>
      <c r="C304" s="26" t="s">
        <v>314</v>
      </c>
      <c r="D304" s="59">
        <v>0</v>
      </c>
      <c r="E304" s="26">
        <v>0</v>
      </c>
      <c r="F304">
        <v>0</v>
      </c>
      <c r="G304" t="s">
        <v>759</v>
      </c>
    </row>
    <row r="305" spans="1:7" x14ac:dyDescent="0.25">
      <c r="A305" s="26">
        <v>6011557</v>
      </c>
      <c r="B305" s="26" t="s">
        <v>741</v>
      </c>
      <c r="C305" s="26" t="s">
        <v>761</v>
      </c>
      <c r="D305" s="59">
        <v>0</v>
      </c>
      <c r="E305" s="26">
        <v>0</v>
      </c>
      <c r="F305">
        <v>0</v>
      </c>
      <c r="G305" t="s">
        <v>740</v>
      </c>
    </row>
    <row r="306" spans="1:7" x14ac:dyDescent="0.25">
      <c r="A306" s="26">
        <v>6020010</v>
      </c>
      <c r="B306" s="26" t="s">
        <v>764</v>
      </c>
      <c r="C306" s="26" t="s">
        <v>70</v>
      </c>
      <c r="D306" s="59">
        <v>0</v>
      </c>
      <c r="E306" s="26">
        <v>0</v>
      </c>
      <c r="F306">
        <v>0</v>
      </c>
      <c r="G306" t="s">
        <v>763</v>
      </c>
    </row>
    <row r="307" spans="1:7" x14ac:dyDescent="0.25">
      <c r="A307" s="26">
        <v>6020021</v>
      </c>
      <c r="B307" s="26" t="s">
        <v>764</v>
      </c>
      <c r="C307" s="26" t="s">
        <v>767</v>
      </c>
      <c r="D307" s="59">
        <v>0</v>
      </c>
      <c r="E307" s="26">
        <v>0</v>
      </c>
      <c r="F307">
        <v>0</v>
      </c>
      <c r="G307" t="s">
        <v>766</v>
      </c>
    </row>
    <row r="308" spans="1:7" x14ac:dyDescent="0.25">
      <c r="A308" s="26">
        <v>6020024</v>
      </c>
      <c r="B308" s="26" t="s">
        <v>764</v>
      </c>
      <c r="C308" s="26" t="s">
        <v>767</v>
      </c>
      <c r="D308" s="59">
        <v>0</v>
      </c>
      <c r="E308" s="26">
        <v>0</v>
      </c>
      <c r="F308">
        <v>0</v>
      </c>
      <c r="G308" t="s">
        <v>769</v>
      </c>
    </row>
    <row r="309" spans="1:7" x14ac:dyDescent="0.25">
      <c r="A309" s="26">
        <v>6020030</v>
      </c>
      <c r="B309" s="26" t="s">
        <v>764</v>
      </c>
      <c r="C309" s="26" t="s">
        <v>767</v>
      </c>
      <c r="D309" s="59">
        <v>0</v>
      </c>
      <c r="E309" s="26">
        <v>0</v>
      </c>
      <c r="F309">
        <v>0</v>
      </c>
      <c r="G309" t="s">
        <v>771</v>
      </c>
    </row>
    <row r="310" spans="1:7" x14ac:dyDescent="0.25">
      <c r="A310" s="26">
        <v>60201071</v>
      </c>
      <c r="B310" s="26" t="s">
        <v>764</v>
      </c>
      <c r="C310" s="26" t="s">
        <v>773</v>
      </c>
      <c r="D310" s="59">
        <v>0</v>
      </c>
      <c r="E310" s="26">
        <v>0</v>
      </c>
      <c r="F310">
        <v>0</v>
      </c>
      <c r="G310" t="s">
        <v>769</v>
      </c>
    </row>
    <row r="311" spans="1:7" x14ac:dyDescent="0.25">
      <c r="A311" s="26">
        <v>60201119</v>
      </c>
      <c r="B311" s="26" t="s">
        <v>764</v>
      </c>
      <c r="C311" s="26" t="s">
        <v>623</v>
      </c>
      <c r="D311" s="59">
        <v>0</v>
      </c>
      <c r="E311" s="26">
        <v>0</v>
      </c>
      <c r="F311">
        <v>0</v>
      </c>
      <c r="G311" t="s">
        <v>775</v>
      </c>
    </row>
    <row r="312" spans="1:7" x14ac:dyDescent="0.25">
      <c r="A312" s="26">
        <v>60201573</v>
      </c>
      <c r="B312" s="26" t="s">
        <v>764</v>
      </c>
      <c r="C312" s="26" t="s">
        <v>777</v>
      </c>
      <c r="D312" s="59">
        <v>0</v>
      </c>
      <c r="E312" s="26">
        <v>0</v>
      </c>
      <c r="F312">
        <v>0</v>
      </c>
      <c r="G312" t="s">
        <v>763</v>
      </c>
    </row>
    <row r="313" spans="1:7" x14ac:dyDescent="0.25">
      <c r="A313" s="26">
        <v>6020232</v>
      </c>
      <c r="B313" s="26" t="s">
        <v>764</v>
      </c>
      <c r="C313" s="26" t="s">
        <v>780</v>
      </c>
      <c r="D313" s="59">
        <v>0</v>
      </c>
      <c r="E313" s="26">
        <v>0</v>
      </c>
      <c r="F313">
        <v>0</v>
      </c>
      <c r="G313" t="s">
        <v>779</v>
      </c>
    </row>
    <row r="314" spans="1:7" x14ac:dyDescent="0.25">
      <c r="A314" s="26">
        <v>6020235</v>
      </c>
      <c r="B314" s="26" t="s">
        <v>764</v>
      </c>
      <c r="C314" s="26" t="s">
        <v>70</v>
      </c>
      <c r="D314" s="59">
        <v>0</v>
      </c>
      <c r="E314" s="26">
        <v>0</v>
      </c>
      <c r="F314">
        <v>0</v>
      </c>
      <c r="G314" t="s">
        <v>69</v>
      </c>
    </row>
    <row r="315" spans="1:7" x14ac:dyDescent="0.25">
      <c r="A315" s="26">
        <v>6020249</v>
      </c>
      <c r="B315" s="26" t="s">
        <v>764</v>
      </c>
      <c r="C315" s="26" t="s">
        <v>780</v>
      </c>
      <c r="D315" s="59">
        <v>0</v>
      </c>
      <c r="E315" s="26">
        <v>0</v>
      </c>
      <c r="F315">
        <v>0</v>
      </c>
      <c r="G315" t="s">
        <v>782</v>
      </c>
    </row>
    <row r="316" spans="1:7" x14ac:dyDescent="0.25">
      <c r="A316" s="26">
        <v>60202495</v>
      </c>
      <c r="B316" s="26" t="s">
        <v>764</v>
      </c>
      <c r="C316" s="26" t="s">
        <v>623</v>
      </c>
      <c r="D316" s="59">
        <v>0</v>
      </c>
      <c r="E316" s="26">
        <v>0</v>
      </c>
      <c r="F316">
        <v>0</v>
      </c>
      <c r="G316" t="s">
        <v>779</v>
      </c>
    </row>
    <row r="317" spans="1:7" x14ac:dyDescent="0.25">
      <c r="A317" s="26">
        <v>6020276</v>
      </c>
      <c r="B317" s="26" t="s">
        <v>764</v>
      </c>
      <c r="C317" s="26" t="s">
        <v>785</v>
      </c>
      <c r="D317" s="59">
        <v>0</v>
      </c>
      <c r="E317" s="26">
        <v>0</v>
      </c>
      <c r="F317">
        <v>0</v>
      </c>
      <c r="G317" t="s">
        <v>69</v>
      </c>
    </row>
    <row r="318" spans="1:7" x14ac:dyDescent="0.25">
      <c r="A318" s="26">
        <v>6020658</v>
      </c>
      <c r="B318" s="26" t="s">
        <v>764</v>
      </c>
      <c r="C318" s="26" t="s">
        <v>787</v>
      </c>
      <c r="D318" s="59">
        <v>0</v>
      </c>
      <c r="E318" s="26">
        <v>0</v>
      </c>
      <c r="F318">
        <v>0</v>
      </c>
      <c r="G318" t="s">
        <v>782</v>
      </c>
    </row>
    <row r="319" spans="1:7" x14ac:dyDescent="0.25">
      <c r="A319" s="26">
        <v>6030012</v>
      </c>
      <c r="B319" s="26" t="s">
        <v>790</v>
      </c>
      <c r="C319" s="26" t="s">
        <v>35</v>
      </c>
      <c r="D319" s="59">
        <v>0</v>
      </c>
      <c r="E319" s="26">
        <v>0</v>
      </c>
      <c r="F319">
        <v>0</v>
      </c>
      <c r="G319" t="s">
        <v>789</v>
      </c>
    </row>
    <row r="320" spans="1:7" x14ac:dyDescent="0.25">
      <c r="A320" s="26">
        <v>6030020</v>
      </c>
      <c r="B320" s="26" t="s">
        <v>790</v>
      </c>
      <c r="C320" s="26" t="s">
        <v>35</v>
      </c>
      <c r="D320" s="59">
        <v>0</v>
      </c>
      <c r="E320" s="26">
        <v>0</v>
      </c>
      <c r="F320">
        <v>0</v>
      </c>
      <c r="G320" t="s">
        <v>792</v>
      </c>
    </row>
    <row r="321" spans="1:7" x14ac:dyDescent="0.25">
      <c r="A321" s="26">
        <v>6030030</v>
      </c>
      <c r="B321" s="26" t="s">
        <v>790</v>
      </c>
      <c r="C321" s="26" t="s">
        <v>35</v>
      </c>
      <c r="D321" s="59">
        <v>0</v>
      </c>
      <c r="E321" s="26">
        <v>0</v>
      </c>
      <c r="F321">
        <v>0</v>
      </c>
      <c r="G321" t="s">
        <v>794</v>
      </c>
    </row>
    <row r="322" spans="1:7" x14ac:dyDescent="0.25">
      <c r="A322" s="26">
        <v>6040085</v>
      </c>
      <c r="B322" s="26" t="s">
        <v>797</v>
      </c>
      <c r="C322" s="26" t="s">
        <v>609</v>
      </c>
      <c r="D322" s="59">
        <v>0</v>
      </c>
      <c r="E322" s="26">
        <v>0</v>
      </c>
      <c r="F322">
        <v>0</v>
      </c>
      <c r="G322" t="s">
        <v>796</v>
      </c>
    </row>
    <row r="323" spans="1:7" x14ac:dyDescent="0.25">
      <c r="A323" s="26">
        <v>6040088</v>
      </c>
      <c r="B323" s="26" t="s">
        <v>797</v>
      </c>
      <c r="C323" s="26" t="s">
        <v>609</v>
      </c>
      <c r="D323" s="59">
        <v>0</v>
      </c>
      <c r="E323" s="26">
        <v>0</v>
      </c>
      <c r="F323">
        <v>0</v>
      </c>
      <c r="G323" t="s">
        <v>799</v>
      </c>
    </row>
    <row r="324" spans="1:7" x14ac:dyDescent="0.25">
      <c r="A324" s="26">
        <v>6111955</v>
      </c>
      <c r="B324" s="26" t="s">
        <v>802</v>
      </c>
      <c r="C324" s="26" t="s">
        <v>803</v>
      </c>
      <c r="D324" s="59">
        <v>0</v>
      </c>
      <c r="E324" s="26">
        <v>0</v>
      </c>
      <c r="F324">
        <v>0</v>
      </c>
      <c r="G324" t="s">
        <v>801</v>
      </c>
    </row>
    <row r="325" spans="1:7" x14ac:dyDescent="0.25">
      <c r="A325" s="26">
        <v>6510110</v>
      </c>
      <c r="B325" s="26" t="s">
        <v>806</v>
      </c>
      <c r="C325" s="26" t="s">
        <v>531</v>
      </c>
      <c r="D325" s="59">
        <v>0</v>
      </c>
      <c r="E325" s="26">
        <v>0</v>
      </c>
      <c r="F325">
        <v>0</v>
      </c>
      <c r="G325" t="s">
        <v>805</v>
      </c>
    </row>
    <row r="326" spans="1:7" x14ac:dyDescent="0.25">
      <c r="A326" s="26">
        <v>6510130</v>
      </c>
      <c r="B326" s="26" t="s">
        <v>806</v>
      </c>
      <c r="C326" s="26" t="s">
        <v>531</v>
      </c>
      <c r="D326" s="59">
        <v>0</v>
      </c>
      <c r="E326" s="26">
        <v>0</v>
      </c>
      <c r="F326">
        <v>0</v>
      </c>
      <c r="G326" t="s">
        <v>808</v>
      </c>
    </row>
    <row r="327" spans="1:7" x14ac:dyDescent="0.25">
      <c r="A327" s="26">
        <v>6510140</v>
      </c>
      <c r="B327" s="26" t="s">
        <v>806</v>
      </c>
      <c r="C327" s="26" t="s">
        <v>531</v>
      </c>
      <c r="D327" s="59">
        <v>0</v>
      </c>
      <c r="E327" s="26">
        <v>0</v>
      </c>
      <c r="F327">
        <v>0</v>
      </c>
      <c r="G327" t="s">
        <v>810</v>
      </c>
    </row>
    <row r="328" spans="1:7" x14ac:dyDescent="0.25">
      <c r="A328" s="26">
        <v>6510150</v>
      </c>
      <c r="B328" s="26" t="s">
        <v>806</v>
      </c>
      <c r="C328" s="26" t="s">
        <v>531</v>
      </c>
      <c r="D328" s="59">
        <v>0</v>
      </c>
      <c r="E328" s="26">
        <v>0</v>
      </c>
      <c r="F328">
        <v>0</v>
      </c>
      <c r="G328" t="s">
        <v>812</v>
      </c>
    </row>
    <row r="329" spans="1:7" x14ac:dyDescent="0.25">
      <c r="A329" s="26">
        <v>6510160</v>
      </c>
      <c r="B329" s="26" t="s">
        <v>806</v>
      </c>
      <c r="C329" s="26" t="s">
        <v>531</v>
      </c>
      <c r="D329" s="59">
        <v>0</v>
      </c>
      <c r="E329" s="26">
        <v>0</v>
      </c>
      <c r="F329">
        <v>0</v>
      </c>
      <c r="G329" t="s">
        <v>47</v>
      </c>
    </row>
    <row r="330" spans="1:7" x14ac:dyDescent="0.25">
      <c r="A330" s="26">
        <v>6510170</v>
      </c>
      <c r="B330" s="26" t="s">
        <v>806</v>
      </c>
      <c r="C330" s="26" t="s">
        <v>531</v>
      </c>
      <c r="D330" s="59">
        <v>0</v>
      </c>
      <c r="E330" s="26">
        <v>0</v>
      </c>
      <c r="F330">
        <v>0</v>
      </c>
      <c r="G330" t="s">
        <v>815</v>
      </c>
    </row>
    <row r="331" spans="1:7" x14ac:dyDescent="0.25">
      <c r="A331" s="26">
        <v>6510200</v>
      </c>
      <c r="B331" s="26" t="s">
        <v>806</v>
      </c>
      <c r="C331" s="26" t="s">
        <v>531</v>
      </c>
      <c r="D331" s="59">
        <v>0</v>
      </c>
      <c r="E331" s="26">
        <v>0</v>
      </c>
      <c r="F331">
        <v>0</v>
      </c>
      <c r="G331" t="s">
        <v>817</v>
      </c>
    </row>
    <row r="332" spans="1:7" x14ac:dyDescent="0.25">
      <c r="A332" s="26">
        <v>6530030</v>
      </c>
      <c r="B332" s="26" t="s">
        <v>820</v>
      </c>
      <c r="C332" s="26" t="s">
        <v>505</v>
      </c>
      <c r="D332" s="59">
        <v>0</v>
      </c>
      <c r="E332" s="26">
        <v>0</v>
      </c>
      <c r="F332">
        <v>0</v>
      </c>
      <c r="G332" t="s">
        <v>819</v>
      </c>
    </row>
    <row r="333" spans="1:7" x14ac:dyDescent="0.25">
      <c r="A333" s="26">
        <v>6530050</v>
      </c>
      <c r="B333" s="26" t="s">
        <v>820</v>
      </c>
      <c r="C333" s="26" t="s">
        <v>505</v>
      </c>
      <c r="D333" s="59">
        <v>0</v>
      </c>
      <c r="E333" s="26">
        <v>0</v>
      </c>
      <c r="F333">
        <v>0</v>
      </c>
      <c r="G333" t="s">
        <v>822</v>
      </c>
    </row>
    <row r="334" spans="1:7" x14ac:dyDescent="0.25">
      <c r="A334" s="26">
        <v>6530070</v>
      </c>
      <c r="B334" s="26" t="s">
        <v>820</v>
      </c>
      <c r="C334" s="26" t="s">
        <v>825</v>
      </c>
      <c r="D334" s="59">
        <v>0</v>
      </c>
      <c r="E334" s="26">
        <v>0</v>
      </c>
      <c r="F334">
        <v>0</v>
      </c>
      <c r="G334" t="s">
        <v>824</v>
      </c>
    </row>
    <row r="335" spans="1:7" x14ac:dyDescent="0.25">
      <c r="A335" s="26">
        <v>6530236</v>
      </c>
      <c r="B335" s="26" t="s">
        <v>820</v>
      </c>
      <c r="C335" s="26" t="s">
        <v>827</v>
      </c>
      <c r="D335" s="59">
        <v>0</v>
      </c>
      <c r="E335" s="26">
        <v>0</v>
      </c>
      <c r="F335">
        <v>0</v>
      </c>
      <c r="G335" t="s">
        <v>819</v>
      </c>
    </row>
    <row r="336" spans="1:7" x14ac:dyDescent="0.25">
      <c r="A336" s="26">
        <v>6530279</v>
      </c>
      <c r="B336" s="26" t="s">
        <v>820</v>
      </c>
      <c r="C336" s="26" t="s">
        <v>830</v>
      </c>
      <c r="D336" s="59">
        <v>0</v>
      </c>
      <c r="E336" s="26">
        <v>0</v>
      </c>
      <c r="F336">
        <v>0</v>
      </c>
      <c r="G336" t="s">
        <v>829</v>
      </c>
    </row>
    <row r="337" spans="1:7" x14ac:dyDescent="0.25">
      <c r="A337" s="26">
        <v>6530286</v>
      </c>
      <c r="B337" s="26" t="s">
        <v>820</v>
      </c>
      <c r="C337" s="26" t="s">
        <v>827</v>
      </c>
      <c r="D337" s="59">
        <v>0</v>
      </c>
      <c r="E337" s="26">
        <v>0</v>
      </c>
      <c r="F337">
        <v>0</v>
      </c>
      <c r="G337" t="s">
        <v>822</v>
      </c>
    </row>
    <row r="338" spans="1:7" x14ac:dyDescent="0.25">
      <c r="A338" s="26">
        <v>6540090</v>
      </c>
      <c r="B338" s="26" t="s">
        <v>834</v>
      </c>
      <c r="C338" s="26" t="s">
        <v>53</v>
      </c>
      <c r="D338" s="59">
        <v>0</v>
      </c>
      <c r="E338" s="26">
        <v>0</v>
      </c>
      <c r="F338">
        <v>0</v>
      </c>
      <c r="G338" t="s">
        <v>833</v>
      </c>
    </row>
    <row r="339" spans="1:7" x14ac:dyDescent="0.25">
      <c r="A339" s="26">
        <v>65401475</v>
      </c>
      <c r="B339" s="26" t="s">
        <v>834</v>
      </c>
      <c r="C339" s="26" t="s">
        <v>837</v>
      </c>
      <c r="D339" s="59">
        <v>0</v>
      </c>
      <c r="E339" s="26">
        <v>0</v>
      </c>
      <c r="F339">
        <v>0</v>
      </c>
      <c r="G339" t="s">
        <v>836</v>
      </c>
    </row>
    <row r="340" spans="1:7" x14ac:dyDescent="0.25">
      <c r="A340" s="26">
        <v>65401555</v>
      </c>
      <c r="B340" s="26" t="s">
        <v>834</v>
      </c>
      <c r="C340" s="26" t="s">
        <v>840</v>
      </c>
      <c r="D340" s="59">
        <v>0</v>
      </c>
      <c r="E340" s="26">
        <v>0</v>
      </c>
      <c r="F340">
        <v>0</v>
      </c>
      <c r="G340" t="s">
        <v>839</v>
      </c>
    </row>
    <row r="341" spans="1:7" x14ac:dyDescent="0.25">
      <c r="A341" s="26">
        <v>65401686</v>
      </c>
      <c r="B341" s="26" t="s">
        <v>834</v>
      </c>
      <c r="C341" s="26" t="s">
        <v>415</v>
      </c>
      <c r="D341" s="59">
        <v>0</v>
      </c>
      <c r="E341" s="26">
        <v>0</v>
      </c>
      <c r="F341">
        <v>0</v>
      </c>
      <c r="G341" t="s">
        <v>842</v>
      </c>
    </row>
    <row r="342" spans="1:7" x14ac:dyDescent="0.25">
      <c r="A342" s="26">
        <v>6540232</v>
      </c>
      <c r="B342" s="26" t="s">
        <v>834</v>
      </c>
      <c r="C342" s="26" t="s">
        <v>53</v>
      </c>
      <c r="D342" s="59">
        <v>0</v>
      </c>
      <c r="E342" s="26">
        <v>0</v>
      </c>
      <c r="F342">
        <v>0</v>
      </c>
      <c r="G342" t="s">
        <v>844</v>
      </c>
    </row>
    <row r="343" spans="1:7" x14ac:dyDescent="0.25">
      <c r="A343" s="26">
        <v>74101428</v>
      </c>
      <c r="B343" s="26" t="s">
        <v>193</v>
      </c>
      <c r="C343" s="26" t="s">
        <v>847</v>
      </c>
      <c r="D343" s="59">
        <v>0</v>
      </c>
      <c r="E343" s="26">
        <v>0</v>
      </c>
      <c r="F343">
        <v>0</v>
      </c>
      <c r="G343" t="s">
        <v>846</v>
      </c>
    </row>
    <row r="344" spans="1:7" x14ac:dyDescent="0.25">
      <c r="A344" s="26">
        <v>7417010</v>
      </c>
      <c r="B344" s="26" t="s">
        <v>636</v>
      </c>
      <c r="C344" s="26" t="s">
        <v>850</v>
      </c>
      <c r="D344" s="59">
        <v>0</v>
      </c>
      <c r="E344" s="26">
        <v>0</v>
      </c>
      <c r="F344">
        <v>0</v>
      </c>
      <c r="G344" t="s">
        <v>849</v>
      </c>
    </row>
    <row r="345" spans="1:7" x14ac:dyDescent="0.25">
      <c r="A345" s="26">
        <v>7417191</v>
      </c>
      <c r="B345" s="26" t="s">
        <v>636</v>
      </c>
      <c r="C345" s="26" t="s">
        <v>660</v>
      </c>
      <c r="D345" s="59">
        <v>0</v>
      </c>
      <c r="E345" s="26">
        <v>0</v>
      </c>
      <c r="F345">
        <v>0</v>
      </c>
      <c r="G345" t="s">
        <v>676</v>
      </c>
    </row>
    <row r="346" spans="1:7" x14ac:dyDescent="0.25">
      <c r="A346" s="26">
        <v>7417920</v>
      </c>
      <c r="B346" s="26" t="s">
        <v>636</v>
      </c>
      <c r="C346" s="26" t="s">
        <v>854</v>
      </c>
      <c r="D346" s="59">
        <v>0</v>
      </c>
      <c r="E346" s="26">
        <v>0</v>
      </c>
      <c r="F346">
        <v>0</v>
      </c>
      <c r="G346" t="s">
        <v>853</v>
      </c>
    </row>
    <row r="347" spans="1:7" x14ac:dyDescent="0.25">
      <c r="A347" s="26">
        <v>7492966</v>
      </c>
      <c r="B347" s="26" t="s">
        <v>193</v>
      </c>
      <c r="C347" s="26" t="s">
        <v>803</v>
      </c>
      <c r="D347" s="59">
        <v>0</v>
      </c>
      <c r="E347" s="26">
        <v>0</v>
      </c>
      <c r="F347">
        <v>0</v>
      </c>
      <c r="G347" t="s">
        <v>856</v>
      </c>
    </row>
    <row r="348" spans="1:7" x14ac:dyDescent="0.25">
      <c r="A348" s="26">
        <v>7510040</v>
      </c>
      <c r="B348" s="26" t="s">
        <v>859</v>
      </c>
      <c r="C348" s="26" t="s">
        <v>35</v>
      </c>
      <c r="D348" s="59">
        <v>0</v>
      </c>
      <c r="E348" s="26">
        <v>0</v>
      </c>
      <c r="F348">
        <v>0</v>
      </c>
      <c r="G348" t="s">
        <v>858</v>
      </c>
    </row>
    <row r="349" spans="1:7" x14ac:dyDescent="0.25">
      <c r="A349" s="26">
        <v>7510060</v>
      </c>
      <c r="B349" s="26" t="s">
        <v>859</v>
      </c>
      <c r="C349" s="26" t="s">
        <v>35</v>
      </c>
      <c r="D349" s="59">
        <v>0</v>
      </c>
      <c r="E349" s="26">
        <v>0</v>
      </c>
      <c r="F349">
        <v>0</v>
      </c>
      <c r="G349" t="s">
        <v>861</v>
      </c>
    </row>
    <row r="350" spans="1:7" x14ac:dyDescent="0.25">
      <c r="A350" s="26">
        <v>7520035</v>
      </c>
      <c r="B350" s="26" t="s">
        <v>864</v>
      </c>
      <c r="C350" s="26" t="s">
        <v>194</v>
      </c>
      <c r="D350" s="59">
        <v>0</v>
      </c>
      <c r="E350" s="26">
        <v>0</v>
      </c>
      <c r="F350">
        <v>0</v>
      </c>
      <c r="G350" t="s">
        <v>863</v>
      </c>
    </row>
    <row r="351" spans="1:7" x14ac:dyDescent="0.25">
      <c r="A351" s="26">
        <v>7530114</v>
      </c>
      <c r="B351" s="26" t="s">
        <v>867</v>
      </c>
      <c r="C351" s="26" t="s">
        <v>464</v>
      </c>
      <c r="D351" s="59">
        <v>0</v>
      </c>
      <c r="E351" s="26">
        <v>0</v>
      </c>
      <c r="F351">
        <v>0</v>
      </c>
      <c r="G351" t="s">
        <v>866</v>
      </c>
    </row>
    <row r="352" spans="1:7" x14ac:dyDescent="0.25">
      <c r="A352" s="26">
        <v>7540175</v>
      </c>
      <c r="B352" s="26" t="s">
        <v>870</v>
      </c>
      <c r="C352" s="26" t="s">
        <v>479</v>
      </c>
      <c r="D352" s="59">
        <v>0</v>
      </c>
      <c r="E352" s="26">
        <v>0</v>
      </c>
      <c r="F352">
        <v>0</v>
      </c>
      <c r="G352" t="s">
        <v>869</v>
      </c>
    </row>
    <row r="353" spans="1:7" x14ac:dyDescent="0.25">
      <c r="A353" s="26">
        <v>7550010</v>
      </c>
      <c r="B353" s="26" t="s">
        <v>873</v>
      </c>
      <c r="C353" s="26" t="s">
        <v>780</v>
      </c>
      <c r="D353" s="59">
        <v>0</v>
      </c>
      <c r="E353" s="26">
        <v>0</v>
      </c>
      <c r="F353">
        <v>0</v>
      </c>
      <c r="G353" t="s">
        <v>872</v>
      </c>
    </row>
    <row r="354" spans="1:7" x14ac:dyDescent="0.25">
      <c r="A354" s="26">
        <v>7550050</v>
      </c>
      <c r="B354" s="26" t="s">
        <v>873</v>
      </c>
      <c r="C354" s="26" t="s">
        <v>780</v>
      </c>
      <c r="D354" s="59">
        <v>0</v>
      </c>
      <c r="E354" s="26">
        <v>0</v>
      </c>
      <c r="F354">
        <v>0</v>
      </c>
      <c r="G354" t="s">
        <v>875</v>
      </c>
    </row>
    <row r="355" spans="1:7" x14ac:dyDescent="0.25">
      <c r="A355" s="26">
        <v>7550137</v>
      </c>
      <c r="B355" s="26" t="s">
        <v>873</v>
      </c>
      <c r="C355" s="26" t="s">
        <v>665</v>
      </c>
      <c r="D355" s="59">
        <v>0</v>
      </c>
      <c r="E355" s="26">
        <v>0</v>
      </c>
      <c r="F355">
        <v>0</v>
      </c>
      <c r="G355" t="s">
        <v>877</v>
      </c>
    </row>
    <row r="356" spans="1:7" x14ac:dyDescent="0.25">
      <c r="A356" s="26">
        <v>7550152</v>
      </c>
      <c r="B356" s="26" t="s">
        <v>873</v>
      </c>
      <c r="C356" s="26" t="s">
        <v>879</v>
      </c>
      <c r="D356" s="59">
        <v>0</v>
      </c>
      <c r="E356" s="26">
        <v>0</v>
      </c>
      <c r="F356">
        <v>0</v>
      </c>
      <c r="G356" t="s">
        <v>875</v>
      </c>
    </row>
    <row r="357" spans="1:7" x14ac:dyDescent="0.25">
      <c r="A357" s="26">
        <v>7560030</v>
      </c>
      <c r="B357" s="26" t="s">
        <v>882</v>
      </c>
      <c r="C357" s="26" t="s">
        <v>35</v>
      </c>
      <c r="D357" s="59">
        <v>0</v>
      </c>
      <c r="E357" s="26">
        <v>0</v>
      </c>
      <c r="F357">
        <v>0</v>
      </c>
      <c r="G357" t="s">
        <v>881</v>
      </c>
    </row>
    <row r="358" spans="1:7" x14ac:dyDescent="0.25">
      <c r="A358" s="26">
        <v>7560050</v>
      </c>
      <c r="B358" s="26" t="s">
        <v>882</v>
      </c>
      <c r="C358" s="26" t="s">
        <v>35</v>
      </c>
      <c r="D358" s="59">
        <v>0</v>
      </c>
      <c r="E358" s="26">
        <v>0</v>
      </c>
      <c r="F358">
        <v>0</v>
      </c>
      <c r="G358" t="s">
        <v>884</v>
      </c>
    </row>
    <row r="359" spans="1:7" x14ac:dyDescent="0.25">
      <c r="A359" s="26">
        <v>7560221</v>
      </c>
      <c r="B359" s="26" t="s">
        <v>882</v>
      </c>
      <c r="C359" s="26" t="s">
        <v>35</v>
      </c>
      <c r="D359" s="59">
        <v>0</v>
      </c>
      <c r="E359" s="26">
        <v>0</v>
      </c>
      <c r="F359">
        <v>0</v>
      </c>
      <c r="G359" t="s">
        <v>886</v>
      </c>
    </row>
    <row r="360" spans="1:7" x14ac:dyDescent="0.25">
      <c r="A360" s="26">
        <v>7561030</v>
      </c>
      <c r="B360" s="26" t="s">
        <v>882</v>
      </c>
      <c r="C360" s="26" t="s">
        <v>314</v>
      </c>
      <c r="D360" s="59">
        <v>0</v>
      </c>
      <c r="E360" s="26">
        <v>0</v>
      </c>
      <c r="F360">
        <v>0</v>
      </c>
      <c r="G360" t="s">
        <v>886</v>
      </c>
    </row>
    <row r="361" spans="1:7" x14ac:dyDescent="0.25">
      <c r="A361" s="26">
        <v>7561108</v>
      </c>
      <c r="B361" s="26" t="s">
        <v>882</v>
      </c>
      <c r="C361" s="26" t="s">
        <v>733</v>
      </c>
      <c r="D361" s="59">
        <v>0</v>
      </c>
      <c r="E361" s="26">
        <v>0</v>
      </c>
      <c r="F361">
        <v>0</v>
      </c>
      <c r="G361" t="s">
        <v>889</v>
      </c>
    </row>
    <row r="362" spans="1:7" x14ac:dyDescent="0.25">
      <c r="A362" s="26">
        <v>75701108</v>
      </c>
      <c r="B362" s="26" t="s">
        <v>892</v>
      </c>
      <c r="C362" s="26" t="s">
        <v>893</v>
      </c>
      <c r="D362" s="59">
        <v>0</v>
      </c>
      <c r="E362" s="26">
        <v>0</v>
      </c>
      <c r="F362">
        <v>0</v>
      </c>
      <c r="G362" t="s">
        <v>891</v>
      </c>
    </row>
    <row r="363" spans="1:7" x14ac:dyDescent="0.25">
      <c r="A363" s="26">
        <v>7570134</v>
      </c>
      <c r="B363" s="26" t="s">
        <v>892</v>
      </c>
      <c r="C363" s="26" t="s">
        <v>479</v>
      </c>
      <c r="D363" s="59">
        <v>0</v>
      </c>
      <c r="E363" s="26">
        <v>0</v>
      </c>
      <c r="F363">
        <v>0</v>
      </c>
      <c r="G363" t="s">
        <v>895</v>
      </c>
    </row>
    <row r="364" spans="1:7" x14ac:dyDescent="0.25">
      <c r="A364" s="26">
        <v>7570164</v>
      </c>
      <c r="B364" s="26" t="s">
        <v>892</v>
      </c>
      <c r="C364" s="26" t="s">
        <v>479</v>
      </c>
      <c r="D364" s="59">
        <v>0</v>
      </c>
      <c r="E364" s="26">
        <v>0</v>
      </c>
      <c r="F364">
        <v>0</v>
      </c>
      <c r="G364" t="s">
        <v>891</v>
      </c>
    </row>
    <row r="365" spans="1:7" x14ac:dyDescent="0.25">
      <c r="A365" s="26">
        <v>7570209</v>
      </c>
      <c r="B365" s="26" t="s">
        <v>892</v>
      </c>
      <c r="C365" s="26" t="s">
        <v>899</v>
      </c>
      <c r="D365" s="59">
        <v>0</v>
      </c>
      <c r="E365" s="26">
        <v>0</v>
      </c>
      <c r="F365">
        <v>0</v>
      </c>
      <c r="G365" t="s">
        <v>898</v>
      </c>
    </row>
    <row r="366" spans="1:7" x14ac:dyDescent="0.25">
      <c r="A366" s="26">
        <v>7571230</v>
      </c>
      <c r="B366" s="26" t="s">
        <v>892</v>
      </c>
      <c r="C366" s="26" t="s">
        <v>901</v>
      </c>
      <c r="D366" s="59">
        <v>0</v>
      </c>
      <c r="E366" s="26">
        <v>0</v>
      </c>
      <c r="F366">
        <v>0</v>
      </c>
      <c r="G366" t="s">
        <v>898</v>
      </c>
    </row>
    <row r="367" spans="1:7" x14ac:dyDescent="0.25">
      <c r="A367" s="26">
        <v>8510134</v>
      </c>
      <c r="B367" s="26" t="s">
        <v>711</v>
      </c>
      <c r="C367" s="26" t="s">
        <v>458</v>
      </c>
      <c r="D367" s="59">
        <v>0</v>
      </c>
      <c r="E367" s="26">
        <v>0</v>
      </c>
      <c r="F367">
        <v>0</v>
      </c>
      <c r="G367" t="s">
        <v>718</v>
      </c>
    </row>
    <row r="368" spans="1:7" x14ac:dyDescent="0.25">
      <c r="A368" s="26">
        <v>8510138</v>
      </c>
      <c r="B368" s="26" t="s">
        <v>711</v>
      </c>
      <c r="C368" s="26" t="s">
        <v>415</v>
      </c>
      <c r="D368" s="59">
        <v>0</v>
      </c>
      <c r="E368" s="26">
        <v>0</v>
      </c>
      <c r="F368">
        <v>0</v>
      </c>
      <c r="G368" t="s">
        <v>904</v>
      </c>
    </row>
    <row r="369" spans="1:7" x14ac:dyDescent="0.25">
      <c r="A369" s="26">
        <v>8510166</v>
      </c>
      <c r="B369" s="26" t="s">
        <v>711</v>
      </c>
      <c r="C369" s="26" t="s">
        <v>314</v>
      </c>
      <c r="D369" s="59">
        <v>0</v>
      </c>
      <c r="E369" s="26">
        <v>0</v>
      </c>
      <c r="F369">
        <v>0</v>
      </c>
      <c r="G369" t="s">
        <v>906</v>
      </c>
    </row>
    <row r="370" spans="1:7" x14ac:dyDescent="0.25">
      <c r="A370" s="26">
        <v>8510385</v>
      </c>
      <c r="B370" s="26" t="s">
        <v>711</v>
      </c>
      <c r="C370" s="26" t="s">
        <v>314</v>
      </c>
      <c r="D370" s="59">
        <v>0</v>
      </c>
      <c r="E370" s="26">
        <v>0</v>
      </c>
      <c r="F370">
        <v>0</v>
      </c>
      <c r="G370" t="s">
        <v>908</v>
      </c>
    </row>
    <row r="371" spans="1:7" x14ac:dyDescent="0.25">
      <c r="A371" s="26">
        <v>8510487</v>
      </c>
      <c r="B371" s="26" t="s">
        <v>711</v>
      </c>
      <c r="C371" s="26" t="s">
        <v>314</v>
      </c>
      <c r="D371" s="59">
        <v>0</v>
      </c>
      <c r="E371" s="26">
        <v>0</v>
      </c>
      <c r="F371">
        <v>0</v>
      </c>
      <c r="G371" t="s">
        <v>910</v>
      </c>
    </row>
    <row r="372" spans="1:7" x14ac:dyDescent="0.25">
      <c r="A372" s="26">
        <v>8510543</v>
      </c>
      <c r="B372" s="26" t="s">
        <v>711</v>
      </c>
      <c r="C372" s="26" t="s">
        <v>474</v>
      </c>
      <c r="D372" s="59">
        <v>0</v>
      </c>
      <c r="E372" s="26">
        <v>0</v>
      </c>
      <c r="F372">
        <v>0</v>
      </c>
      <c r="G372" t="s">
        <v>715</v>
      </c>
    </row>
    <row r="373" spans="1:7" x14ac:dyDescent="0.25">
      <c r="A373" s="26">
        <v>8510725</v>
      </c>
      <c r="B373" s="26" t="s">
        <v>711</v>
      </c>
      <c r="C373" s="26" t="s">
        <v>474</v>
      </c>
      <c r="D373" s="59">
        <v>0</v>
      </c>
      <c r="E373" s="26">
        <v>0</v>
      </c>
      <c r="F373">
        <v>0</v>
      </c>
      <c r="G373" t="s">
        <v>724</v>
      </c>
    </row>
    <row r="374" spans="1:7" x14ac:dyDescent="0.25">
      <c r="A374" s="26">
        <v>8510905</v>
      </c>
      <c r="B374" s="26" t="s">
        <v>711</v>
      </c>
      <c r="C374" s="26" t="s">
        <v>719</v>
      </c>
      <c r="D374" s="59">
        <v>0</v>
      </c>
      <c r="E374" s="26">
        <v>0</v>
      </c>
      <c r="F374">
        <v>0</v>
      </c>
      <c r="G374" t="s">
        <v>724</v>
      </c>
    </row>
    <row r="375" spans="1:7" x14ac:dyDescent="0.25">
      <c r="A375" s="26">
        <v>8511232</v>
      </c>
      <c r="B375" s="26" t="s">
        <v>711</v>
      </c>
      <c r="C375" s="26" t="s">
        <v>46</v>
      </c>
      <c r="D375" s="59">
        <v>0</v>
      </c>
      <c r="E375" s="26">
        <v>0</v>
      </c>
      <c r="F375">
        <v>0</v>
      </c>
      <c r="G375" t="s">
        <v>727</v>
      </c>
    </row>
    <row r="376" spans="1:7" x14ac:dyDescent="0.25">
      <c r="A376" s="26">
        <v>85116753</v>
      </c>
      <c r="B376" s="26" t="s">
        <v>711</v>
      </c>
      <c r="C376" s="26" t="s">
        <v>916</v>
      </c>
      <c r="D376" s="59">
        <v>0</v>
      </c>
      <c r="E376" s="26">
        <v>0</v>
      </c>
      <c r="F376">
        <v>0</v>
      </c>
      <c r="G376" t="s">
        <v>908</v>
      </c>
    </row>
    <row r="377" spans="1:7" x14ac:dyDescent="0.25">
      <c r="A377" s="26">
        <v>85116999</v>
      </c>
      <c r="B377" s="26" t="s">
        <v>711</v>
      </c>
      <c r="C377" s="26" t="s">
        <v>847</v>
      </c>
      <c r="D377" s="59">
        <v>0</v>
      </c>
      <c r="E377" s="26">
        <v>0</v>
      </c>
      <c r="F377">
        <v>0</v>
      </c>
      <c r="G377" t="s">
        <v>918</v>
      </c>
    </row>
    <row r="378" spans="1:7" x14ac:dyDescent="0.25">
      <c r="A378" s="26">
        <v>8512652</v>
      </c>
      <c r="B378" s="26" t="s">
        <v>595</v>
      </c>
      <c r="C378" s="26" t="s">
        <v>921</v>
      </c>
      <c r="D378" s="59">
        <v>0</v>
      </c>
      <c r="E378" s="26">
        <v>0</v>
      </c>
      <c r="F378">
        <v>0</v>
      </c>
      <c r="G378" t="s">
        <v>920</v>
      </c>
    </row>
    <row r="379" spans="1:7" x14ac:dyDescent="0.25">
      <c r="A379" s="26">
        <v>8530853</v>
      </c>
      <c r="B379" s="26" t="s">
        <v>547</v>
      </c>
      <c r="C379" s="26" t="s">
        <v>923</v>
      </c>
      <c r="D379" s="59">
        <v>0</v>
      </c>
      <c r="E379" s="26">
        <v>0</v>
      </c>
      <c r="F379">
        <v>0</v>
      </c>
      <c r="G379" t="s">
        <v>553</v>
      </c>
    </row>
    <row r="380" spans="1:7" x14ac:dyDescent="0.25">
      <c r="A380" s="26">
        <v>9711728</v>
      </c>
      <c r="B380" s="26" t="s">
        <v>741</v>
      </c>
      <c r="C380" s="26" t="s">
        <v>926</v>
      </c>
      <c r="D380" s="59">
        <v>0</v>
      </c>
      <c r="E380" s="26">
        <v>0</v>
      </c>
      <c r="F380">
        <v>0</v>
      </c>
      <c r="G380" t="s">
        <v>925</v>
      </c>
    </row>
    <row r="381" spans="1:7" x14ac:dyDescent="0.25">
      <c r="A381" s="26">
        <v>98111901</v>
      </c>
      <c r="B381" s="26" t="s">
        <v>489</v>
      </c>
      <c r="C381" s="26" t="s">
        <v>928</v>
      </c>
      <c r="D381" s="59">
        <v>0</v>
      </c>
      <c r="E381" s="26">
        <v>0</v>
      </c>
      <c r="F381">
        <v>0</v>
      </c>
      <c r="G381" t="s">
        <v>504</v>
      </c>
    </row>
    <row r="382" spans="1:7" x14ac:dyDescent="0.25">
      <c r="A382" s="26">
        <v>9816908</v>
      </c>
      <c r="B382" s="26" t="s">
        <v>559</v>
      </c>
      <c r="C382" s="26" t="s">
        <v>565</v>
      </c>
      <c r="D382" s="59">
        <v>0</v>
      </c>
      <c r="E382" s="26">
        <v>0</v>
      </c>
      <c r="F382">
        <v>0</v>
      </c>
      <c r="G382" t="s">
        <v>563</v>
      </c>
    </row>
    <row r="383" spans="1:7" x14ac:dyDescent="0.25">
      <c r="A383" s="26">
        <v>1010090</v>
      </c>
      <c r="B383" s="26" t="s">
        <v>1012</v>
      </c>
      <c r="C383" s="26" t="s">
        <v>35</v>
      </c>
      <c r="D383" s="59">
        <v>0</v>
      </c>
      <c r="E383" s="26">
        <v>0</v>
      </c>
      <c r="F383">
        <v>0</v>
      </c>
      <c r="G383" t="s">
        <v>107</v>
      </c>
    </row>
    <row r="384" spans="1:7" x14ac:dyDescent="0.25">
      <c r="A384" s="26">
        <v>1030011</v>
      </c>
      <c r="B384" s="26" t="s">
        <v>1013</v>
      </c>
      <c r="C384" s="26" t="s">
        <v>35</v>
      </c>
      <c r="D384" s="59">
        <v>0</v>
      </c>
      <c r="E384" s="26">
        <v>0</v>
      </c>
      <c r="F384">
        <v>0</v>
      </c>
      <c r="G384" t="s">
        <v>124</v>
      </c>
    </row>
    <row r="385" spans="1:7" x14ac:dyDescent="0.25">
      <c r="A385" s="26">
        <v>2030055</v>
      </c>
      <c r="B385" s="26" t="s">
        <v>1014</v>
      </c>
      <c r="C385" s="26" t="s">
        <v>35</v>
      </c>
      <c r="D385" s="59">
        <v>0</v>
      </c>
      <c r="E385" s="26">
        <v>0</v>
      </c>
      <c r="F385">
        <v>0</v>
      </c>
      <c r="G385" t="s">
        <v>204</v>
      </c>
    </row>
    <row r="386" spans="1:7" x14ac:dyDescent="0.25">
      <c r="A386" s="26">
        <v>2050050</v>
      </c>
      <c r="B386" s="26" t="s">
        <v>1015</v>
      </c>
      <c r="C386" s="26" t="s">
        <v>35</v>
      </c>
      <c r="D386" s="59">
        <v>0</v>
      </c>
      <c r="E386" s="26">
        <v>0</v>
      </c>
      <c r="F386">
        <v>0</v>
      </c>
      <c r="G386" t="s">
        <v>216</v>
      </c>
    </row>
    <row r="387" spans="1:7" x14ac:dyDescent="0.25">
      <c r="A387" s="26">
        <v>2510200</v>
      </c>
      <c r="B387" s="26" t="s">
        <v>1016</v>
      </c>
      <c r="C387" s="26" t="s">
        <v>35</v>
      </c>
      <c r="D387" s="59">
        <v>0</v>
      </c>
      <c r="E387" s="26">
        <v>0</v>
      </c>
      <c r="F387">
        <v>0</v>
      </c>
      <c r="G387" t="s">
        <v>237</v>
      </c>
    </row>
    <row r="388" spans="1:7" x14ac:dyDescent="0.25">
      <c r="A388" s="26">
        <v>3010190</v>
      </c>
      <c r="B388" s="26" t="s">
        <v>400</v>
      </c>
      <c r="C388" s="26" t="s">
        <v>35</v>
      </c>
      <c r="D388" s="59">
        <v>0</v>
      </c>
      <c r="E388" s="26">
        <v>0</v>
      </c>
      <c r="F388">
        <v>0</v>
      </c>
      <c r="G388" t="s">
        <v>364</v>
      </c>
    </row>
    <row r="389" spans="1:7" x14ac:dyDescent="0.25">
      <c r="A389" s="26">
        <v>30201011</v>
      </c>
      <c r="B389" s="26" t="s">
        <v>392</v>
      </c>
      <c r="C389" s="26" t="s">
        <v>474</v>
      </c>
      <c r="D389" s="59">
        <v>0</v>
      </c>
      <c r="E389" s="26">
        <v>0</v>
      </c>
      <c r="F389">
        <v>0</v>
      </c>
      <c r="G389" t="s">
        <v>388</v>
      </c>
    </row>
    <row r="390" spans="1:7" x14ac:dyDescent="0.25">
      <c r="A390" s="26">
        <v>3530130</v>
      </c>
      <c r="B390" s="26" t="s">
        <v>1017</v>
      </c>
      <c r="C390" s="26" t="s">
        <v>415</v>
      </c>
      <c r="D390" s="59">
        <v>0</v>
      </c>
      <c r="E390" s="26">
        <v>0</v>
      </c>
      <c r="F390">
        <v>0</v>
      </c>
      <c r="G390" t="s">
        <v>431</v>
      </c>
    </row>
    <row r="391" spans="1:7" x14ac:dyDescent="0.25">
      <c r="A391" s="26">
        <v>35702282</v>
      </c>
      <c r="B391" s="26" t="s">
        <v>509</v>
      </c>
      <c r="C391" s="26" t="s">
        <v>1018</v>
      </c>
      <c r="D391" s="59">
        <v>0</v>
      </c>
      <c r="E391" s="26">
        <v>0</v>
      </c>
      <c r="F391">
        <v>0</v>
      </c>
      <c r="G391" t="s">
        <v>489</v>
      </c>
    </row>
    <row r="392" spans="1:7" x14ac:dyDescent="0.25">
      <c r="A392" s="26">
        <v>4020045</v>
      </c>
      <c r="B392" s="26" t="s">
        <v>1019</v>
      </c>
      <c r="C392" s="26" t="s">
        <v>35</v>
      </c>
      <c r="D392" s="59">
        <v>0</v>
      </c>
      <c r="E392" s="26">
        <v>0</v>
      </c>
      <c r="F392">
        <v>0</v>
      </c>
      <c r="G392" t="s">
        <v>530</v>
      </c>
    </row>
    <row r="393" spans="1:7" x14ac:dyDescent="0.25">
      <c r="A393" s="26">
        <v>4020060</v>
      </c>
      <c r="B393" s="26" t="s">
        <v>1020</v>
      </c>
      <c r="C393" s="26" t="s">
        <v>531</v>
      </c>
      <c r="D393" s="59">
        <v>0</v>
      </c>
      <c r="E393" s="26">
        <v>0</v>
      </c>
      <c r="F393">
        <v>0</v>
      </c>
      <c r="G393" t="s">
        <v>530</v>
      </c>
    </row>
    <row r="394" spans="1:7" x14ac:dyDescent="0.25">
      <c r="A394" s="26">
        <v>4040040</v>
      </c>
      <c r="B394" s="26" t="s">
        <v>1021</v>
      </c>
      <c r="C394" s="26" t="s">
        <v>542</v>
      </c>
      <c r="D394" s="59">
        <v>0</v>
      </c>
      <c r="E394" s="26">
        <v>0</v>
      </c>
      <c r="F394">
        <v>0</v>
      </c>
      <c r="G394" t="s">
        <v>541</v>
      </c>
    </row>
    <row r="395" spans="1:7" x14ac:dyDescent="0.25">
      <c r="A395" s="26">
        <v>4040050</v>
      </c>
      <c r="B395" s="26" t="s">
        <v>544</v>
      </c>
      <c r="C395" s="26" t="s">
        <v>531</v>
      </c>
      <c r="D395" s="59">
        <v>0</v>
      </c>
      <c r="E395" s="26">
        <v>0</v>
      </c>
      <c r="F395">
        <v>0</v>
      </c>
      <c r="G395" t="s">
        <v>541</v>
      </c>
    </row>
    <row r="396" spans="1:7" x14ac:dyDescent="0.25">
      <c r="A396" s="26">
        <v>40901555</v>
      </c>
      <c r="B396" s="26" t="s">
        <v>1022</v>
      </c>
      <c r="C396" s="26" t="s">
        <v>1023</v>
      </c>
      <c r="D396" s="59">
        <v>0</v>
      </c>
      <c r="E396" s="26">
        <v>0</v>
      </c>
      <c r="F396">
        <v>0</v>
      </c>
      <c r="G396" t="s">
        <v>583</v>
      </c>
    </row>
    <row r="397" spans="1:7" x14ac:dyDescent="0.25">
      <c r="A397" s="26">
        <v>4091107</v>
      </c>
      <c r="B397" s="26" t="s">
        <v>1024</v>
      </c>
      <c r="C397" s="26" t="s">
        <v>652</v>
      </c>
      <c r="D397" s="59">
        <v>0</v>
      </c>
      <c r="E397" s="26">
        <v>0</v>
      </c>
      <c r="F397">
        <v>0</v>
      </c>
      <c r="G397" t="s">
        <v>583</v>
      </c>
    </row>
    <row r="398" spans="1:7" x14ac:dyDescent="0.25">
      <c r="A398" s="26">
        <v>5520320</v>
      </c>
      <c r="B398" s="26" t="s">
        <v>737</v>
      </c>
      <c r="C398" s="26" t="s">
        <v>314</v>
      </c>
      <c r="D398" s="59">
        <v>0</v>
      </c>
      <c r="E398" s="26">
        <v>0</v>
      </c>
      <c r="F398">
        <v>0</v>
      </c>
      <c r="G398" t="s">
        <v>738</v>
      </c>
    </row>
    <row r="399" spans="1:7" x14ac:dyDescent="0.25">
      <c r="A399" s="26">
        <v>6010060</v>
      </c>
      <c r="B399" s="26" t="s">
        <v>753</v>
      </c>
      <c r="C399" s="26" t="s">
        <v>35</v>
      </c>
      <c r="D399" s="59">
        <v>0</v>
      </c>
      <c r="E399" s="26">
        <v>0</v>
      </c>
      <c r="F399">
        <v>0</v>
      </c>
      <c r="G399" t="s">
        <v>741</v>
      </c>
    </row>
    <row r="400" spans="1:7" x14ac:dyDescent="0.25">
      <c r="A400" s="26">
        <v>60101210</v>
      </c>
      <c r="B400" s="26" t="s">
        <v>1025</v>
      </c>
      <c r="C400" s="26" t="s">
        <v>921</v>
      </c>
      <c r="D400" s="59">
        <v>0</v>
      </c>
      <c r="E400" s="26">
        <v>0</v>
      </c>
      <c r="F400">
        <v>0</v>
      </c>
      <c r="G400" t="s">
        <v>741</v>
      </c>
    </row>
    <row r="401" spans="1:7" x14ac:dyDescent="0.25">
      <c r="A401" s="26">
        <v>6111931</v>
      </c>
      <c r="B401" s="26" t="s">
        <v>1026</v>
      </c>
      <c r="C401" s="26" t="s">
        <v>1027</v>
      </c>
      <c r="D401" s="59">
        <v>0</v>
      </c>
      <c r="E401" s="26">
        <v>0</v>
      </c>
      <c r="F401">
        <v>0</v>
      </c>
      <c r="G401" t="s">
        <v>802</v>
      </c>
    </row>
    <row r="402" spans="1:7" x14ac:dyDescent="0.25">
      <c r="A402" s="26">
        <v>6510120</v>
      </c>
      <c r="B402" s="26" t="s">
        <v>1028</v>
      </c>
      <c r="C402" s="26" t="s">
        <v>531</v>
      </c>
      <c r="D402" s="59">
        <v>0</v>
      </c>
      <c r="E402" s="26">
        <v>0</v>
      </c>
      <c r="F402">
        <v>0</v>
      </c>
      <c r="G402" t="s">
        <v>806</v>
      </c>
    </row>
    <row r="403" spans="1:7" x14ac:dyDescent="0.25">
      <c r="A403" s="26">
        <v>7540030</v>
      </c>
      <c r="B403" s="26" t="s">
        <v>1029</v>
      </c>
      <c r="C403" s="26" t="s">
        <v>1030</v>
      </c>
      <c r="D403" s="59">
        <v>0</v>
      </c>
      <c r="E403" s="26">
        <v>0</v>
      </c>
      <c r="F403">
        <v>0</v>
      </c>
      <c r="G403" t="s">
        <v>870</v>
      </c>
    </row>
    <row r="404" spans="1:7" x14ac:dyDescent="0.25">
      <c r="A404" s="26">
        <v>9811170</v>
      </c>
      <c r="B404" s="26" t="s">
        <v>504</v>
      </c>
      <c r="C404" s="26" t="s">
        <v>194</v>
      </c>
      <c r="D404" s="59">
        <v>0</v>
      </c>
      <c r="E404" s="26">
        <v>0</v>
      </c>
      <c r="F404">
        <v>0</v>
      </c>
      <c r="G404" t="s">
        <v>489</v>
      </c>
    </row>
    <row r="405" spans="1:7" x14ac:dyDescent="0.25">
      <c r="A405" s="26" t="s">
        <v>1031</v>
      </c>
      <c r="B405" s="26"/>
      <c r="C405" s="26"/>
      <c r="D405" s="59">
        <v>0</v>
      </c>
      <c r="E405" s="26">
        <v>0</v>
      </c>
      <c r="F405">
        <v>0</v>
      </c>
    </row>
    <row r="406" spans="1:7" x14ac:dyDescent="0.25">
      <c r="A406" s="26"/>
      <c r="B406" s="26"/>
      <c r="C406" s="26"/>
      <c r="D406" s="59"/>
      <c r="E406" s="26"/>
    </row>
    <row r="407" spans="1:7" x14ac:dyDescent="0.25">
      <c r="A407" s="26"/>
      <c r="B407" s="26"/>
      <c r="C407" s="26"/>
      <c r="D407" s="59"/>
      <c r="E407" s="26"/>
    </row>
    <row r="408" spans="1:7" x14ac:dyDescent="0.25">
      <c r="A408" s="26"/>
      <c r="B408" s="26"/>
      <c r="C408" s="26"/>
      <c r="D408" s="59"/>
      <c r="E408" s="26"/>
    </row>
    <row r="409" spans="1:7" x14ac:dyDescent="0.25">
      <c r="A409" s="26"/>
      <c r="B409" s="26"/>
      <c r="C409" s="26"/>
      <c r="D409" s="59"/>
      <c r="E409" s="26"/>
    </row>
    <row r="410" spans="1:7" x14ac:dyDescent="0.25">
      <c r="A410" s="26"/>
      <c r="B410" s="26"/>
      <c r="C410" s="26"/>
      <c r="D410" s="59"/>
      <c r="E410" s="26"/>
    </row>
    <row r="411" spans="1:7" x14ac:dyDescent="0.25">
      <c r="A411" s="26"/>
      <c r="B411" s="26"/>
      <c r="C411" s="26"/>
      <c r="D411" s="59"/>
      <c r="E411" s="26"/>
    </row>
    <row r="412" spans="1:7" x14ac:dyDescent="0.25">
      <c r="A412" s="26"/>
      <c r="B412" s="26"/>
      <c r="C412" s="26"/>
      <c r="D412" s="59"/>
      <c r="E412" s="26"/>
    </row>
    <row r="413" spans="1:7" x14ac:dyDescent="0.25">
      <c r="A413" s="26"/>
      <c r="B413" s="26"/>
      <c r="C413" s="26"/>
      <c r="D413" s="59"/>
      <c r="E413" s="26"/>
    </row>
    <row r="414" spans="1:7" x14ac:dyDescent="0.25">
      <c r="A414" s="26"/>
      <c r="B414" s="26"/>
      <c r="C414" s="26"/>
      <c r="D414" s="59"/>
      <c r="E414" s="26"/>
    </row>
    <row r="415" spans="1:7" x14ac:dyDescent="0.25">
      <c r="A415" s="26"/>
      <c r="B415" s="26"/>
      <c r="C415" s="26"/>
      <c r="D415" s="59"/>
      <c r="E415" s="26"/>
    </row>
    <row r="416" spans="1:7" x14ac:dyDescent="0.25">
      <c r="A416" s="26"/>
      <c r="B416" s="26"/>
      <c r="C416" s="26"/>
      <c r="D416" s="59"/>
      <c r="E416" s="26"/>
    </row>
    <row r="417" spans="1:5" x14ac:dyDescent="0.25">
      <c r="A417" s="26"/>
      <c r="B417" s="26"/>
      <c r="C417" s="26"/>
      <c r="D417" s="59"/>
      <c r="E417" s="26"/>
    </row>
    <row r="418" spans="1:5" x14ac:dyDescent="0.25">
      <c r="A418" s="26"/>
      <c r="B418" s="26"/>
      <c r="C418" s="26"/>
      <c r="D418" s="59"/>
      <c r="E418" s="26"/>
    </row>
    <row r="419" spans="1:5" x14ac:dyDescent="0.25">
      <c r="A419" s="26"/>
      <c r="B419" s="26"/>
      <c r="C419" s="26"/>
      <c r="D419" s="59"/>
      <c r="E419" s="26"/>
    </row>
    <row r="420" spans="1:5" x14ac:dyDescent="0.25">
      <c r="A420" s="26"/>
      <c r="B420" s="26"/>
      <c r="C420" s="26"/>
      <c r="D420" s="59"/>
      <c r="E420" s="26"/>
    </row>
    <row r="421" spans="1:5" x14ac:dyDescent="0.25">
      <c r="A421" s="26"/>
      <c r="B421" s="26"/>
      <c r="C421" s="26"/>
      <c r="D421" s="59"/>
      <c r="E421" s="26"/>
    </row>
    <row r="422" spans="1:5" x14ac:dyDescent="0.25">
      <c r="A422" s="26"/>
      <c r="B422" s="26"/>
      <c r="C422" s="26"/>
      <c r="D422" s="59"/>
      <c r="E422" s="26"/>
    </row>
    <row r="423" spans="1:5" x14ac:dyDescent="0.25">
      <c r="A423" s="26"/>
      <c r="B423" s="26"/>
      <c r="C423" s="26"/>
      <c r="D423" s="59"/>
      <c r="E423" s="26"/>
    </row>
    <row r="424" spans="1:5" x14ac:dyDescent="0.25">
      <c r="A424" s="26"/>
      <c r="B424" s="26"/>
      <c r="C424" s="26"/>
      <c r="D424" s="59"/>
      <c r="E424" s="26"/>
    </row>
    <row r="425" spans="1:5" x14ac:dyDescent="0.25">
      <c r="A425" s="26"/>
      <c r="B425" s="26"/>
      <c r="C425" s="26"/>
      <c r="D425" s="59"/>
      <c r="E425" s="26"/>
    </row>
    <row r="426" spans="1:5" x14ac:dyDescent="0.25">
      <c r="A426" s="26"/>
      <c r="B426" s="26"/>
      <c r="C426" s="26"/>
      <c r="D426" s="59"/>
      <c r="E426" s="26"/>
    </row>
    <row r="427" spans="1:5" x14ac:dyDescent="0.25">
      <c r="A427" s="26"/>
      <c r="B427" s="26"/>
      <c r="C427" s="26"/>
      <c r="D427" s="59"/>
      <c r="E427" s="26"/>
    </row>
    <row r="428" spans="1:5" x14ac:dyDescent="0.25">
      <c r="A428" s="26"/>
      <c r="B428" s="26"/>
      <c r="C428" s="26"/>
      <c r="D428" s="59"/>
      <c r="E428" s="26"/>
    </row>
    <row r="429" spans="1:5" x14ac:dyDescent="0.25">
      <c r="A429" s="26"/>
      <c r="B429" s="26"/>
      <c r="C429" s="26"/>
      <c r="D429" s="59"/>
      <c r="E429" s="26"/>
    </row>
    <row r="430" spans="1:5" x14ac:dyDescent="0.25">
      <c r="A430" s="26"/>
      <c r="B430" s="26"/>
      <c r="C430" s="26"/>
      <c r="D430" s="59"/>
      <c r="E430" s="26"/>
    </row>
    <row r="431" spans="1:5" x14ac:dyDescent="0.25">
      <c r="A431" s="26"/>
      <c r="B431" s="26"/>
      <c r="C431" s="26"/>
      <c r="D431" s="59"/>
      <c r="E431" s="26"/>
    </row>
    <row r="432" spans="1:5" x14ac:dyDescent="0.25">
      <c r="A432" s="26"/>
      <c r="B432" s="26"/>
      <c r="C432" s="26"/>
      <c r="D432" s="59"/>
      <c r="E432" s="26"/>
    </row>
    <row r="433" spans="1:5" x14ac:dyDescent="0.25">
      <c r="A433" s="26"/>
      <c r="B433" s="26"/>
      <c r="C433" s="26"/>
      <c r="D433" s="59"/>
      <c r="E433" s="26"/>
    </row>
    <row r="434" spans="1:5" x14ac:dyDescent="0.25">
      <c r="A434" s="26"/>
      <c r="B434" s="26"/>
      <c r="C434" s="26"/>
      <c r="D434" s="59"/>
      <c r="E434" s="26"/>
    </row>
    <row r="435" spans="1:5" x14ac:dyDescent="0.25">
      <c r="A435" s="26"/>
      <c r="B435" s="26"/>
      <c r="C435" s="26"/>
      <c r="D435" s="59"/>
      <c r="E435" s="26"/>
    </row>
    <row r="436" spans="1:5" x14ac:dyDescent="0.25">
      <c r="A436" s="26"/>
      <c r="B436" s="26"/>
      <c r="C436" s="26"/>
      <c r="D436" s="59"/>
      <c r="E436" s="26"/>
    </row>
    <row r="437" spans="1:5" x14ac:dyDescent="0.25">
      <c r="A437" s="26"/>
      <c r="B437" s="26"/>
      <c r="C437" s="26"/>
      <c r="D437" s="59"/>
      <c r="E437" s="26"/>
    </row>
    <row r="438" spans="1:5" x14ac:dyDescent="0.25">
      <c r="A438" s="26"/>
      <c r="B438" s="26"/>
      <c r="C438" s="26"/>
      <c r="D438" s="59"/>
      <c r="E438" s="26"/>
    </row>
    <row r="439" spans="1:5" x14ac:dyDescent="0.25">
      <c r="A439" s="26"/>
      <c r="B439" s="26"/>
      <c r="C439" s="26"/>
      <c r="D439" s="59"/>
      <c r="E439" s="26"/>
    </row>
    <row r="440" spans="1:5" x14ac:dyDescent="0.25">
      <c r="A440" s="26"/>
      <c r="B440" s="26"/>
      <c r="C440" s="26"/>
      <c r="D440" s="59"/>
      <c r="E440" s="26"/>
    </row>
    <row r="441" spans="1:5" x14ac:dyDescent="0.25">
      <c r="A441" s="26"/>
      <c r="B441" s="26"/>
      <c r="C441" s="26"/>
      <c r="D441" s="59"/>
      <c r="E441" s="26"/>
    </row>
    <row r="442" spans="1:5" x14ac:dyDescent="0.25">
      <c r="A442" s="26"/>
      <c r="B442" s="26"/>
      <c r="C442" s="26"/>
      <c r="D442" s="59"/>
      <c r="E442" s="26"/>
    </row>
    <row r="443" spans="1:5" x14ac:dyDescent="0.25">
      <c r="A443" s="26"/>
      <c r="B443" s="26"/>
      <c r="C443" s="26"/>
      <c r="D443" s="59"/>
      <c r="E443" s="26"/>
    </row>
    <row r="444" spans="1:5" x14ac:dyDescent="0.25">
      <c r="A444" s="26"/>
      <c r="B444" s="26"/>
      <c r="C444" s="26"/>
      <c r="D444" s="59"/>
      <c r="E444" s="26"/>
    </row>
    <row r="445" spans="1:5" x14ac:dyDescent="0.25">
      <c r="A445" s="26"/>
      <c r="B445" s="26"/>
      <c r="C445" s="26"/>
      <c r="D445" s="59"/>
      <c r="E445" s="26"/>
    </row>
    <row r="446" spans="1:5" x14ac:dyDescent="0.25">
      <c r="A446" s="26"/>
      <c r="B446" s="26"/>
      <c r="C446" s="26"/>
      <c r="D446" s="59"/>
      <c r="E446" s="26"/>
    </row>
    <row r="447" spans="1:5" x14ac:dyDescent="0.25">
      <c r="A447" s="26"/>
      <c r="B447" s="26"/>
      <c r="C447" s="26"/>
      <c r="D447" s="59"/>
      <c r="E447" s="26"/>
    </row>
    <row r="448" spans="1:5" x14ac:dyDescent="0.25">
      <c r="A448" s="26"/>
      <c r="B448" s="26"/>
      <c r="C448" s="26"/>
      <c r="D448" s="59"/>
      <c r="E448" s="26"/>
    </row>
    <row r="449" spans="1:5" x14ac:dyDescent="0.25">
      <c r="A449" s="26"/>
      <c r="B449" s="26"/>
      <c r="C449" s="26"/>
      <c r="D449" s="59"/>
      <c r="E449" s="26"/>
    </row>
    <row r="450" spans="1:5" x14ac:dyDescent="0.25">
      <c r="A450" s="26"/>
      <c r="B450" s="26"/>
      <c r="C450" s="26"/>
      <c r="D450" s="59"/>
      <c r="E450" s="26"/>
    </row>
    <row r="451" spans="1:5" x14ac:dyDescent="0.25">
      <c r="A451" s="26"/>
      <c r="B451" s="26"/>
      <c r="C451" s="26"/>
      <c r="D451" s="59"/>
      <c r="E451" s="26"/>
    </row>
    <row r="452" spans="1:5" x14ac:dyDescent="0.25">
      <c r="A452" s="26"/>
      <c r="B452" s="26"/>
      <c r="C452" s="26"/>
      <c r="D452" s="59"/>
      <c r="E452" s="26"/>
    </row>
    <row r="453" spans="1:5" x14ac:dyDescent="0.25">
      <c r="A453" s="26"/>
      <c r="B453" s="26"/>
      <c r="C453" s="26"/>
      <c r="D453" s="59"/>
      <c r="E453" s="26"/>
    </row>
    <row r="454" spans="1:5" x14ac:dyDescent="0.25">
      <c r="A454" s="26"/>
      <c r="B454" s="26"/>
      <c r="C454" s="26"/>
      <c r="D454" s="59"/>
      <c r="E454" s="26"/>
    </row>
    <row r="455" spans="1:5" x14ac:dyDescent="0.25">
      <c r="A455" s="26"/>
      <c r="B455" s="26"/>
      <c r="C455" s="26"/>
      <c r="D455" s="59"/>
      <c r="E455" s="26"/>
    </row>
    <row r="456" spans="1:5" x14ac:dyDescent="0.25">
      <c r="A456" s="26"/>
      <c r="B456" s="26"/>
      <c r="C456" s="26"/>
      <c r="D456" s="59"/>
      <c r="E456" s="26"/>
    </row>
    <row r="457" spans="1:5" x14ac:dyDescent="0.25">
      <c r="A457" s="26"/>
      <c r="B457" s="26"/>
      <c r="C457" s="26"/>
      <c r="D457" s="59"/>
      <c r="E457" s="26"/>
    </row>
    <row r="458" spans="1:5" x14ac:dyDescent="0.25">
      <c r="A458" s="26"/>
      <c r="B458" s="26"/>
      <c r="C458" s="26"/>
      <c r="D458" s="59"/>
      <c r="E458" s="26"/>
    </row>
    <row r="459" spans="1:5" x14ac:dyDescent="0.25">
      <c r="A459" s="26"/>
      <c r="B459" s="26"/>
      <c r="C459" s="26"/>
      <c r="D459" s="59"/>
      <c r="E459" s="26"/>
    </row>
    <row r="460" spans="1:5" x14ac:dyDescent="0.25">
      <c r="A460" s="26"/>
      <c r="B460" s="26"/>
      <c r="C460" s="26"/>
      <c r="D460" s="59"/>
      <c r="E460" s="26"/>
    </row>
    <row r="461" spans="1:5" x14ac:dyDescent="0.25">
      <c r="A461" s="26"/>
      <c r="B461" s="26"/>
      <c r="C461" s="26"/>
      <c r="D461" s="59"/>
      <c r="E461" s="26"/>
    </row>
    <row r="462" spans="1:5" x14ac:dyDescent="0.25">
      <c r="A462" s="26"/>
      <c r="B462" s="26"/>
      <c r="C462" s="26"/>
      <c r="D462" s="59"/>
      <c r="E462" s="26"/>
    </row>
    <row r="463" spans="1:5" x14ac:dyDescent="0.25">
      <c r="A463" s="26"/>
      <c r="B463" s="26"/>
      <c r="C463" s="26"/>
      <c r="D463" s="59"/>
      <c r="E463" s="26"/>
    </row>
    <row r="464" spans="1:5" x14ac:dyDescent="0.25">
      <c r="A464" s="26"/>
      <c r="B464" s="26"/>
      <c r="C464" s="26"/>
      <c r="D464" s="59"/>
      <c r="E464" s="26"/>
    </row>
    <row r="465" spans="1:5" x14ac:dyDescent="0.25">
      <c r="A465" s="26"/>
      <c r="B465" s="26"/>
      <c r="C465" s="26"/>
      <c r="D465" s="59"/>
      <c r="E465" s="26"/>
    </row>
    <row r="466" spans="1:5" x14ac:dyDescent="0.25">
      <c r="A466" s="26"/>
      <c r="B466" s="26"/>
      <c r="C466" s="26"/>
      <c r="D466" s="59"/>
      <c r="E466" s="26"/>
    </row>
    <row r="467" spans="1:5" x14ac:dyDescent="0.25">
      <c r="A467" s="26"/>
      <c r="B467" s="26"/>
      <c r="C467" s="26"/>
      <c r="D467" s="59"/>
      <c r="E467" s="26"/>
    </row>
    <row r="468" spans="1:5" x14ac:dyDescent="0.25">
      <c r="A468" s="26"/>
      <c r="B468" s="26"/>
      <c r="C468" s="26"/>
      <c r="D468" s="59"/>
      <c r="E468" s="26"/>
    </row>
    <row r="469" spans="1:5" x14ac:dyDescent="0.25">
      <c r="A469" s="26"/>
      <c r="B469" s="26"/>
      <c r="C469" s="26"/>
      <c r="D469" s="59"/>
      <c r="E469" s="26"/>
    </row>
    <row r="470" spans="1:5" x14ac:dyDescent="0.25">
      <c r="A470" s="26"/>
      <c r="B470" s="26"/>
      <c r="C470" s="26"/>
      <c r="D470" s="59"/>
      <c r="E470" s="26"/>
    </row>
    <row r="471" spans="1:5" x14ac:dyDescent="0.25">
      <c r="A471" s="26"/>
      <c r="B471" s="26"/>
      <c r="C471" s="26"/>
      <c r="D471" s="59"/>
      <c r="E471" s="26"/>
    </row>
    <row r="472" spans="1:5" x14ac:dyDescent="0.25">
      <c r="A472" s="26"/>
      <c r="B472" s="26"/>
      <c r="C472" s="26"/>
      <c r="D472" s="59"/>
      <c r="E472" s="26"/>
    </row>
    <row r="473" spans="1:5" x14ac:dyDescent="0.25">
      <c r="A473" s="26"/>
      <c r="B473" s="26"/>
      <c r="C473" s="26"/>
      <c r="D473" s="59"/>
      <c r="E473" s="26"/>
    </row>
    <row r="474" spans="1:5" x14ac:dyDescent="0.25">
      <c r="A474" s="26"/>
      <c r="B474" s="26"/>
      <c r="C474" s="26"/>
      <c r="D474" s="59"/>
      <c r="E474" s="26"/>
    </row>
    <row r="475" spans="1:5" x14ac:dyDescent="0.25">
      <c r="A475" s="26"/>
      <c r="B475" s="26"/>
      <c r="C475" s="26"/>
      <c r="D475" s="59"/>
      <c r="E475" s="26"/>
    </row>
    <row r="476" spans="1:5" x14ac:dyDescent="0.25">
      <c r="A476" s="26"/>
      <c r="B476" s="26"/>
      <c r="C476" s="26"/>
      <c r="D476" s="59"/>
      <c r="E476" s="26"/>
    </row>
    <row r="477" spans="1:5" x14ac:dyDescent="0.25">
      <c r="A477" s="26"/>
      <c r="B477" s="26"/>
      <c r="C477" s="26"/>
      <c r="D477" s="59"/>
      <c r="E477" s="26"/>
    </row>
    <row r="478" spans="1:5" x14ac:dyDescent="0.25">
      <c r="A478" s="26"/>
      <c r="B478" s="26"/>
      <c r="C478" s="26"/>
      <c r="D478" s="59"/>
      <c r="E478" s="26"/>
    </row>
    <row r="479" spans="1:5" x14ac:dyDescent="0.25">
      <c r="A479" s="26"/>
      <c r="B479" s="26"/>
      <c r="C479" s="26"/>
      <c r="D479" s="59"/>
      <c r="E479" s="26"/>
    </row>
    <row r="480" spans="1:5" x14ac:dyDescent="0.25">
      <c r="A480" s="26"/>
      <c r="B480" s="26"/>
      <c r="C480" s="26"/>
      <c r="D480" s="59"/>
      <c r="E480" s="26"/>
    </row>
    <row r="481" spans="1:5" x14ac:dyDescent="0.25">
      <c r="A481" s="26"/>
      <c r="B481" s="26"/>
      <c r="C481" s="26"/>
      <c r="D481" s="59"/>
      <c r="E481" s="26"/>
    </row>
    <row r="482" spans="1:5" x14ac:dyDescent="0.25">
      <c r="A482" s="26"/>
      <c r="B482" s="26"/>
      <c r="C482" s="26"/>
      <c r="D482" s="59"/>
      <c r="E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4B183"/>
  </sheetPr>
  <dimension ref="A1:L1004"/>
  <sheetViews>
    <sheetView showGridLines="0" workbookViewId="0">
      <pane ySplit="4" topLeftCell="A29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20" style="31" customWidth="1"/>
    <col min="3" max="3" width="32" style="31" customWidth="1"/>
    <col min="4" max="4" width="15" style="31" customWidth="1"/>
    <col min="5" max="5" width="45" style="31" customWidth="1"/>
    <col min="6" max="6" width="18" style="31" customWidth="1"/>
    <col min="7" max="7" width="16" style="31" customWidth="1"/>
    <col min="8" max="8" width="14" style="31" customWidth="1"/>
    <col min="9" max="10" width="12" style="31" customWidth="1"/>
    <col min="11" max="11" width="14" style="31" customWidth="1"/>
    <col min="12" max="12" width="30" style="31" customWidth="1"/>
  </cols>
  <sheetData>
    <row r="1" spans="1:12" ht="23.25" x14ac:dyDescent="0.35">
      <c r="A1" s="111" t="s">
        <v>936</v>
      </c>
      <c r="B1" s="109"/>
      <c r="C1" s="109"/>
      <c r="D1" s="109"/>
      <c r="E1" s="109"/>
      <c r="F1" s="109"/>
      <c r="G1" s="109"/>
      <c r="H1" s="109"/>
    </row>
    <row r="2" spans="1:12" x14ac:dyDescent="0.25">
      <c r="A2" s="108" t="s">
        <v>937</v>
      </c>
      <c r="B2" s="109"/>
      <c r="C2" s="109"/>
      <c r="D2" s="109"/>
      <c r="E2" s="109"/>
      <c r="F2" s="109"/>
      <c r="G2" s="109"/>
      <c r="H2" s="109"/>
    </row>
    <row r="4" spans="1:12" x14ac:dyDescent="0.25">
      <c r="A4" s="33" t="s">
        <v>938</v>
      </c>
      <c r="B4" s="33" t="s">
        <v>939</v>
      </c>
      <c r="C4" s="33" t="s">
        <v>31</v>
      </c>
      <c r="D4" s="33" t="s">
        <v>103</v>
      </c>
      <c r="E4" s="33" t="s">
        <v>95</v>
      </c>
      <c r="F4" s="33" t="s">
        <v>104</v>
      </c>
      <c r="G4" s="33" t="s">
        <v>940</v>
      </c>
      <c r="H4" s="33" t="s">
        <v>98</v>
      </c>
      <c r="I4" s="33" t="s">
        <v>941</v>
      </c>
      <c r="J4" s="33" t="s">
        <v>942</v>
      </c>
      <c r="K4" s="33" t="s">
        <v>943</v>
      </c>
      <c r="L4" s="33" t="s">
        <v>944</v>
      </c>
    </row>
    <row r="5" spans="1:12" x14ac:dyDescent="0.25">
      <c r="A5" s="65"/>
      <c r="B5" s="60"/>
      <c r="C5" s="60"/>
      <c r="D5" s="60"/>
      <c r="E5" s="61"/>
      <c r="F5" s="61"/>
      <c r="G5" s="59"/>
      <c r="H5" s="62"/>
      <c r="I5" s="60"/>
      <c r="J5" s="62"/>
      <c r="K5" s="63"/>
      <c r="L5" s="60"/>
    </row>
    <row r="6" spans="1:12" x14ac:dyDescent="0.25">
      <c r="A6" s="65"/>
      <c r="B6" s="60"/>
      <c r="C6" s="60"/>
      <c r="D6" s="60"/>
      <c r="E6" s="61"/>
      <c r="F6" s="61"/>
      <c r="G6" s="59"/>
      <c r="H6" s="62"/>
      <c r="I6" s="60"/>
      <c r="J6" s="62"/>
      <c r="K6" s="63"/>
      <c r="L6" s="60"/>
    </row>
    <row r="7" spans="1:12" x14ac:dyDescent="0.25">
      <c r="A7" s="65"/>
      <c r="B7" s="60"/>
      <c r="C7" s="60"/>
      <c r="D7" s="60"/>
      <c r="E7" s="61"/>
      <c r="F7" s="61"/>
      <c r="G7" s="59"/>
      <c r="H7" s="62"/>
      <c r="I7" s="60"/>
      <c r="J7" s="62"/>
      <c r="K7" s="63"/>
      <c r="L7" s="60"/>
    </row>
    <row r="8" spans="1:12" x14ac:dyDescent="0.25">
      <c r="A8" s="65"/>
      <c r="B8" s="60"/>
      <c r="C8" s="60"/>
      <c r="D8" s="60"/>
      <c r="E8" s="61"/>
      <c r="F8" s="61"/>
      <c r="G8" s="59"/>
      <c r="H8" s="62"/>
      <c r="I8" s="60"/>
      <c r="J8" s="62"/>
      <c r="K8" s="63"/>
      <c r="L8" s="60"/>
    </row>
    <row r="9" spans="1:12" x14ac:dyDescent="0.25">
      <c r="A9" s="65"/>
      <c r="B9" s="60"/>
      <c r="C9" s="60"/>
      <c r="D9" s="60"/>
      <c r="E9" s="61"/>
      <c r="F9" s="61"/>
      <c r="G9" s="59"/>
      <c r="H9" s="62"/>
      <c r="I9" s="60"/>
      <c r="J9" s="62"/>
      <c r="K9" s="63"/>
      <c r="L9" s="60"/>
    </row>
    <row r="10" spans="1:12" x14ac:dyDescent="0.25">
      <c r="A10" s="65"/>
      <c r="B10" s="60"/>
      <c r="C10" s="60"/>
      <c r="D10" s="60"/>
      <c r="E10" s="61"/>
      <c r="F10" s="61"/>
      <c r="G10" s="59"/>
      <c r="H10" s="62"/>
      <c r="I10" s="60"/>
      <c r="J10" s="62"/>
      <c r="K10" s="63"/>
      <c r="L10" s="60"/>
    </row>
    <row r="11" spans="1:12" x14ac:dyDescent="0.25">
      <c r="A11" s="65"/>
      <c r="B11" s="60"/>
      <c r="C11" s="60"/>
      <c r="D11" s="60"/>
      <c r="E11" s="61"/>
      <c r="F11" s="61"/>
      <c r="G11" s="59"/>
      <c r="H11" s="62"/>
      <c r="I11" s="60"/>
      <c r="J11" s="62"/>
      <c r="K11" s="63"/>
      <c r="L11" s="60"/>
    </row>
    <row r="12" spans="1:12" x14ac:dyDescent="0.25">
      <c r="A12" s="65"/>
      <c r="B12" s="60"/>
      <c r="C12" s="60"/>
      <c r="D12" s="60"/>
      <c r="E12" s="61"/>
      <c r="F12" s="61"/>
      <c r="G12" s="59"/>
      <c r="H12" s="62"/>
      <c r="I12" s="60"/>
      <c r="J12" s="62"/>
      <c r="K12" s="63"/>
      <c r="L12" s="60"/>
    </row>
    <row r="13" spans="1:12" x14ac:dyDescent="0.25">
      <c r="A13" s="65"/>
      <c r="B13" s="60"/>
      <c r="C13" s="60"/>
      <c r="D13" s="60"/>
      <c r="E13" s="61"/>
      <c r="F13" s="61"/>
      <c r="G13" s="59"/>
      <c r="H13" s="62"/>
      <c r="I13" s="60"/>
      <c r="J13" s="62"/>
      <c r="K13" s="63"/>
      <c r="L13" s="60"/>
    </row>
    <row r="14" spans="1:12" x14ac:dyDescent="0.25">
      <c r="A14" s="65"/>
      <c r="B14" s="60"/>
      <c r="C14" s="60"/>
      <c r="D14" s="60"/>
      <c r="E14" s="61"/>
      <c r="F14" s="61"/>
      <c r="G14" s="59"/>
      <c r="H14" s="62"/>
      <c r="I14" s="60"/>
      <c r="J14" s="62"/>
      <c r="K14" s="63"/>
      <c r="L14" s="60"/>
    </row>
    <row r="15" spans="1:12" x14ac:dyDescent="0.25">
      <c r="A15" s="65"/>
      <c r="B15" s="60"/>
      <c r="C15" s="60"/>
      <c r="D15" s="60"/>
      <c r="E15" s="61"/>
      <c r="F15" s="61"/>
      <c r="G15" s="59"/>
      <c r="H15" s="62"/>
      <c r="I15" s="60"/>
      <c r="J15" s="62"/>
      <c r="K15" s="63"/>
      <c r="L15" s="60"/>
    </row>
    <row r="16" spans="1:12" x14ac:dyDescent="0.25">
      <c r="A16" s="65"/>
      <c r="B16" s="60"/>
      <c r="C16" s="60"/>
      <c r="D16" s="60"/>
      <c r="E16" s="61"/>
      <c r="F16" s="61"/>
      <c r="G16" s="59"/>
      <c r="H16" s="62"/>
      <c r="I16" s="60"/>
      <c r="J16" s="62"/>
      <c r="K16" s="63"/>
      <c r="L16" s="60"/>
    </row>
    <row r="17" spans="1:12" x14ac:dyDescent="0.25">
      <c r="A17" s="65"/>
      <c r="B17" s="60"/>
      <c r="C17" s="60"/>
      <c r="D17" s="60"/>
      <c r="E17" s="61"/>
      <c r="F17" s="61"/>
      <c r="G17" s="59"/>
      <c r="H17" s="62"/>
      <c r="I17" s="60"/>
      <c r="J17" s="62"/>
      <c r="K17" s="63"/>
      <c r="L17" s="60"/>
    </row>
    <row r="18" spans="1:12" x14ac:dyDescent="0.25">
      <c r="A18" s="65"/>
      <c r="B18" s="60"/>
      <c r="C18" s="60"/>
      <c r="D18" s="60"/>
      <c r="E18" s="61"/>
      <c r="F18" s="61"/>
      <c r="G18" s="59"/>
      <c r="H18" s="62"/>
      <c r="I18" s="60"/>
      <c r="J18" s="62"/>
      <c r="K18" s="63"/>
      <c r="L18" s="60"/>
    </row>
    <row r="19" spans="1:12" x14ac:dyDescent="0.25">
      <c r="A19" s="65"/>
      <c r="B19" s="60"/>
      <c r="C19" s="60"/>
      <c r="D19" s="60"/>
      <c r="E19" s="61"/>
      <c r="F19" s="61"/>
      <c r="G19" s="59"/>
      <c r="H19" s="62"/>
      <c r="I19" s="60"/>
      <c r="J19" s="62"/>
      <c r="K19" s="63"/>
      <c r="L19" s="60"/>
    </row>
    <row r="20" spans="1:12" x14ac:dyDescent="0.25">
      <c r="A20" s="65"/>
      <c r="B20" s="60"/>
      <c r="C20" s="60"/>
      <c r="D20" s="60"/>
      <c r="E20" s="61"/>
      <c r="F20" s="61"/>
      <c r="G20" s="59"/>
      <c r="H20" s="62"/>
      <c r="I20" s="60"/>
      <c r="J20" s="62"/>
      <c r="K20" s="63"/>
      <c r="L20" s="60"/>
    </row>
    <row r="21" spans="1:12" x14ac:dyDescent="0.25">
      <c r="A21" s="65"/>
      <c r="B21" s="60"/>
      <c r="C21" s="60"/>
      <c r="D21" s="60"/>
      <c r="E21" s="61"/>
      <c r="F21" s="61"/>
      <c r="G21" s="59"/>
      <c r="H21" s="62"/>
      <c r="I21" s="60"/>
      <c r="J21" s="62"/>
      <c r="K21" s="63"/>
      <c r="L21" s="60"/>
    </row>
    <row r="22" spans="1:12" x14ac:dyDescent="0.25">
      <c r="A22" s="65"/>
      <c r="B22" s="60"/>
      <c r="C22" s="60"/>
      <c r="D22" s="60"/>
      <c r="E22" s="61"/>
      <c r="F22" s="61"/>
      <c r="G22" s="59"/>
      <c r="H22" s="62"/>
      <c r="I22" s="60"/>
      <c r="J22" s="62"/>
      <c r="K22" s="63"/>
      <c r="L22" s="60"/>
    </row>
    <row r="23" spans="1:12" x14ac:dyDescent="0.25">
      <c r="A23" s="65"/>
      <c r="B23" s="60"/>
      <c r="C23" s="60"/>
      <c r="D23" s="60"/>
      <c r="E23" s="61"/>
      <c r="F23" s="61"/>
      <c r="G23" s="59"/>
      <c r="H23" s="62"/>
      <c r="I23" s="60"/>
      <c r="J23" s="62"/>
      <c r="K23" s="63"/>
      <c r="L23" s="60"/>
    </row>
    <row r="24" spans="1:12" x14ac:dyDescent="0.25">
      <c r="A24" s="65"/>
      <c r="B24" s="60"/>
      <c r="C24" s="60"/>
      <c r="D24" s="60"/>
      <c r="E24" s="61"/>
      <c r="F24" s="61"/>
      <c r="G24" s="59"/>
      <c r="H24" s="62"/>
      <c r="I24" s="60"/>
      <c r="J24" s="62"/>
      <c r="K24" s="63"/>
      <c r="L24" s="60"/>
    </row>
    <row r="25" spans="1:12" x14ac:dyDescent="0.25">
      <c r="A25" s="65"/>
      <c r="B25" s="60"/>
      <c r="C25" s="60"/>
      <c r="D25" s="60"/>
      <c r="E25" s="61"/>
      <c r="F25" s="61"/>
      <c r="G25" s="59"/>
      <c r="H25" s="62"/>
      <c r="I25" s="60"/>
      <c r="J25" s="62"/>
      <c r="K25" s="63"/>
      <c r="L25" s="60"/>
    </row>
    <row r="26" spans="1:12" x14ac:dyDescent="0.25">
      <c r="A26" s="65"/>
      <c r="B26" s="60"/>
      <c r="C26" s="60"/>
      <c r="D26" s="60"/>
      <c r="E26" s="61"/>
      <c r="F26" s="61"/>
      <c r="G26" s="59"/>
      <c r="H26" s="62"/>
      <c r="I26" s="60"/>
      <c r="J26" s="62"/>
      <c r="K26" s="63"/>
      <c r="L26" s="60"/>
    </row>
    <row r="27" spans="1:12" x14ac:dyDescent="0.25">
      <c r="A27" s="65"/>
      <c r="B27" s="60"/>
      <c r="C27" s="60"/>
      <c r="D27" s="60"/>
      <c r="E27" s="61"/>
      <c r="F27" s="61"/>
      <c r="G27" s="59"/>
      <c r="H27" s="62"/>
      <c r="I27" s="60"/>
      <c r="J27" s="62"/>
      <c r="K27" s="63"/>
      <c r="L27" s="60"/>
    </row>
    <row r="28" spans="1:12" x14ac:dyDescent="0.25">
      <c r="A28" s="65"/>
      <c r="B28" s="60"/>
      <c r="C28" s="60"/>
      <c r="D28" s="60"/>
      <c r="E28" s="61"/>
      <c r="F28" s="61"/>
      <c r="G28" s="59"/>
      <c r="H28" s="62"/>
      <c r="I28" s="60"/>
      <c r="J28" s="62"/>
      <c r="K28" s="63"/>
      <c r="L28" s="60"/>
    </row>
    <row r="29" spans="1:12" x14ac:dyDescent="0.25">
      <c r="A29" s="65"/>
      <c r="B29" s="60"/>
      <c r="C29" s="60"/>
      <c r="D29" s="60"/>
      <c r="E29" s="61"/>
      <c r="F29" s="61"/>
      <c r="G29" s="59"/>
      <c r="H29" s="62"/>
      <c r="I29" s="60"/>
      <c r="J29" s="62"/>
      <c r="K29" s="63"/>
      <c r="L29" s="60"/>
    </row>
    <row r="30" spans="1:12" x14ac:dyDescent="0.25">
      <c r="A30" s="65"/>
      <c r="B30" s="60"/>
      <c r="C30" s="60"/>
      <c r="D30" s="60"/>
      <c r="E30" s="61"/>
      <c r="F30" s="61"/>
      <c r="G30" s="59"/>
      <c r="H30" s="62"/>
      <c r="I30" s="60"/>
      <c r="J30" s="62"/>
      <c r="K30" s="63"/>
      <c r="L30" s="60"/>
    </row>
    <row r="31" spans="1:12" x14ac:dyDescent="0.25">
      <c r="A31" s="65"/>
      <c r="B31" s="60"/>
      <c r="C31" s="60"/>
      <c r="D31" s="60"/>
      <c r="E31" s="61"/>
      <c r="F31" s="61"/>
      <c r="G31" s="59"/>
      <c r="H31" s="62"/>
      <c r="I31" s="60"/>
      <c r="J31" s="62"/>
      <c r="K31" s="63"/>
      <c r="L31" s="60"/>
    </row>
    <row r="32" spans="1:12" x14ac:dyDescent="0.25">
      <c r="A32" s="65"/>
      <c r="B32" s="60"/>
      <c r="C32" s="60"/>
      <c r="D32" s="60"/>
      <c r="E32" s="61"/>
      <c r="F32" s="61"/>
      <c r="G32" s="59"/>
      <c r="H32" s="62"/>
      <c r="I32" s="60"/>
      <c r="J32" s="62"/>
      <c r="K32" s="63"/>
      <c r="L32" s="60"/>
    </row>
    <row r="33" spans="1:12" x14ac:dyDescent="0.25">
      <c r="A33" s="65"/>
      <c r="B33" s="60"/>
      <c r="C33" s="60"/>
      <c r="D33" s="60"/>
      <c r="E33" s="61"/>
      <c r="F33" s="61"/>
      <c r="G33" s="59"/>
      <c r="H33" s="62"/>
      <c r="I33" s="60"/>
      <c r="J33" s="62"/>
      <c r="K33" s="63"/>
      <c r="L33" s="60"/>
    </row>
    <row r="34" spans="1:12" x14ac:dyDescent="0.25">
      <c r="A34" s="65"/>
      <c r="B34" s="60"/>
      <c r="C34" s="60"/>
      <c r="D34" s="60"/>
      <c r="E34" s="61"/>
      <c r="F34" s="61"/>
      <c r="G34" s="59"/>
      <c r="H34" s="62"/>
      <c r="I34" s="60"/>
      <c r="J34" s="62"/>
      <c r="K34" s="63"/>
      <c r="L34" s="60"/>
    </row>
    <row r="35" spans="1:12" x14ac:dyDescent="0.25">
      <c r="A35" s="65"/>
      <c r="B35" s="60"/>
      <c r="C35" s="60"/>
      <c r="D35" s="60"/>
      <c r="E35" s="61"/>
      <c r="F35" s="61"/>
      <c r="G35" s="59"/>
      <c r="H35" s="62"/>
      <c r="I35" s="60"/>
      <c r="J35" s="62"/>
      <c r="K35" s="63"/>
      <c r="L35" s="60"/>
    </row>
    <row r="36" spans="1:12" x14ac:dyDescent="0.25">
      <c r="A36" s="65"/>
      <c r="B36" s="60"/>
      <c r="C36" s="60"/>
      <c r="D36" s="60"/>
      <c r="E36" s="61"/>
      <c r="F36" s="61"/>
      <c r="G36" s="59"/>
      <c r="H36" s="62"/>
      <c r="I36" s="60"/>
      <c r="J36" s="62"/>
      <c r="K36" s="63"/>
      <c r="L36" s="60"/>
    </row>
    <row r="37" spans="1:12" x14ac:dyDescent="0.25">
      <c r="A37" s="65"/>
      <c r="B37" s="60"/>
      <c r="C37" s="60"/>
      <c r="D37" s="60"/>
      <c r="E37" s="61"/>
      <c r="F37" s="61"/>
      <c r="G37" s="59"/>
      <c r="H37" s="62"/>
      <c r="I37" s="60"/>
      <c r="J37" s="62"/>
      <c r="K37" s="63"/>
      <c r="L37" s="60"/>
    </row>
    <row r="38" spans="1:12" x14ac:dyDescent="0.25">
      <c r="A38" s="65"/>
      <c r="B38" s="60"/>
      <c r="C38" s="60"/>
      <c r="D38" s="60"/>
      <c r="E38" s="61"/>
      <c r="F38" s="61"/>
      <c r="G38" s="59"/>
      <c r="H38" s="62"/>
      <c r="I38" s="60"/>
      <c r="J38" s="62"/>
      <c r="K38" s="63"/>
      <c r="L38" s="60"/>
    </row>
    <row r="39" spans="1:12" x14ac:dyDescent="0.25">
      <c r="A39" s="65"/>
      <c r="B39" s="60"/>
      <c r="C39" s="60"/>
      <c r="D39" s="60"/>
      <c r="E39" s="61"/>
      <c r="F39" s="61"/>
      <c r="G39" s="59"/>
      <c r="H39" s="62"/>
      <c r="I39" s="60"/>
      <c r="J39" s="62"/>
      <c r="K39" s="63"/>
      <c r="L39" s="60"/>
    </row>
    <row r="40" spans="1:12" x14ac:dyDescent="0.25">
      <c r="A40" s="65"/>
      <c r="B40" s="60"/>
      <c r="C40" s="60"/>
      <c r="D40" s="60"/>
      <c r="E40" s="61"/>
      <c r="F40" s="61"/>
      <c r="G40" s="59"/>
      <c r="H40" s="62"/>
      <c r="I40" s="60"/>
      <c r="J40" s="62"/>
      <c r="K40" s="63"/>
      <c r="L40" s="60"/>
    </row>
    <row r="41" spans="1:12" x14ac:dyDescent="0.25">
      <c r="A41" s="65"/>
      <c r="B41" s="60"/>
      <c r="C41" s="60"/>
      <c r="D41" s="60"/>
      <c r="E41" s="61"/>
      <c r="F41" s="61"/>
      <c r="G41" s="59"/>
      <c r="H41" s="62"/>
      <c r="I41" s="60"/>
      <c r="J41" s="62"/>
      <c r="K41" s="63"/>
      <c r="L41" s="60"/>
    </row>
    <row r="42" spans="1:12" x14ac:dyDescent="0.25">
      <c r="A42" s="65"/>
      <c r="B42" s="60"/>
      <c r="C42" s="60"/>
      <c r="D42" s="60"/>
      <c r="E42" s="61"/>
      <c r="F42" s="61"/>
      <c r="G42" s="59"/>
      <c r="H42" s="62"/>
      <c r="I42" s="60"/>
      <c r="J42" s="62"/>
      <c r="K42" s="63"/>
      <c r="L42" s="60"/>
    </row>
    <row r="43" spans="1:12" x14ac:dyDescent="0.25">
      <c r="A43" s="65"/>
      <c r="B43" s="60"/>
      <c r="C43" s="60"/>
      <c r="D43" s="60"/>
      <c r="E43" s="61"/>
      <c r="F43" s="61"/>
      <c r="G43" s="59"/>
      <c r="H43" s="62"/>
      <c r="I43" s="60"/>
      <c r="J43" s="62"/>
      <c r="K43" s="63"/>
      <c r="L43" s="60"/>
    </row>
    <row r="44" spans="1:12" x14ac:dyDescent="0.25">
      <c r="A44" s="65"/>
      <c r="B44" s="60"/>
      <c r="C44" s="60"/>
      <c r="D44" s="60"/>
      <c r="E44" s="61"/>
      <c r="F44" s="61"/>
      <c r="G44" s="59"/>
      <c r="H44" s="62"/>
      <c r="I44" s="60"/>
      <c r="J44" s="62"/>
      <c r="K44" s="63"/>
      <c r="L44" s="60"/>
    </row>
    <row r="45" spans="1:12" x14ac:dyDescent="0.25">
      <c r="A45" s="65"/>
      <c r="B45" s="60"/>
      <c r="C45" s="60"/>
      <c r="D45" s="60"/>
      <c r="E45" s="61"/>
      <c r="F45" s="61"/>
      <c r="G45" s="59"/>
      <c r="H45" s="62"/>
      <c r="I45" s="60"/>
      <c r="J45" s="62"/>
      <c r="K45" s="63"/>
      <c r="L45" s="60"/>
    </row>
    <row r="46" spans="1:12" x14ac:dyDescent="0.25">
      <c r="A46" s="65"/>
      <c r="B46" s="60"/>
      <c r="C46" s="60"/>
      <c r="D46" s="60"/>
      <c r="E46" s="61"/>
      <c r="F46" s="61"/>
      <c r="G46" s="59"/>
      <c r="H46" s="62"/>
      <c r="I46" s="60"/>
      <c r="J46" s="62"/>
      <c r="K46" s="63"/>
      <c r="L46" s="60"/>
    </row>
    <row r="47" spans="1:12" x14ac:dyDescent="0.25">
      <c r="A47" s="65"/>
      <c r="B47" s="60"/>
      <c r="C47" s="60"/>
      <c r="D47" s="60"/>
      <c r="E47" s="61"/>
      <c r="F47" s="61"/>
      <c r="G47" s="59"/>
      <c r="H47" s="62"/>
      <c r="I47" s="60"/>
      <c r="J47" s="62"/>
      <c r="K47" s="63"/>
      <c r="L47" s="60"/>
    </row>
    <row r="48" spans="1:12" x14ac:dyDescent="0.25">
      <c r="A48" s="65"/>
      <c r="B48" s="60"/>
      <c r="C48" s="60"/>
      <c r="D48" s="60"/>
      <c r="E48" s="61"/>
      <c r="F48" s="61"/>
      <c r="G48" s="59"/>
      <c r="H48" s="62"/>
      <c r="I48" s="60"/>
      <c r="J48" s="62"/>
      <c r="K48" s="63"/>
      <c r="L48" s="60"/>
    </row>
    <row r="49" spans="1:12" x14ac:dyDescent="0.25">
      <c r="A49" s="65"/>
      <c r="B49" s="60"/>
      <c r="C49" s="60"/>
      <c r="D49" s="60"/>
      <c r="E49" s="61"/>
      <c r="F49" s="61"/>
      <c r="G49" s="59"/>
      <c r="H49" s="62"/>
      <c r="I49" s="60"/>
      <c r="J49" s="62"/>
      <c r="K49" s="63"/>
      <c r="L49" s="60"/>
    </row>
    <row r="50" spans="1:12" x14ac:dyDescent="0.25">
      <c r="A50" s="65"/>
      <c r="B50" s="60"/>
      <c r="C50" s="60"/>
      <c r="D50" s="60"/>
      <c r="E50" s="61"/>
      <c r="F50" s="61"/>
      <c r="G50" s="59"/>
      <c r="H50" s="62"/>
      <c r="I50" s="60"/>
      <c r="J50" s="62"/>
      <c r="K50" s="63"/>
      <c r="L50" s="60"/>
    </row>
    <row r="51" spans="1:12" x14ac:dyDescent="0.25">
      <c r="A51" s="65"/>
      <c r="B51" s="60"/>
      <c r="C51" s="60"/>
      <c r="D51" s="60"/>
      <c r="E51" s="61"/>
      <c r="F51" s="61"/>
      <c r="G51" s="59"/>
      <c r="H51" s="62"/>
      <c r="I51" s="60"/>
      <c r="J51" s="62"/>
      <c r="K51" s="63"/>
      <c r="L51" s="60"/>
    </row>
    <row r="52" spans="1:12" x14ac:dyDescent="0.25">
      <c r="A52" s="65"/>
      <c r="B52" s="60"/>
      <c r="C52" s="60"/>
      <c r="D52" s="60"/>
      <c r="E52" s="61"/>
      <c r="F52" s="61"/>
      <c r="G52" s="59"/>
      <c r="H52" s="62"/>
      <c r="I52" s="60"/>
      <c r="J52" s="62"/>
      <c r="K52" s="63"/>
      <c r="L52" s="60"/>
    </row>
    <row r="53" spans="1:12" x14ac:dyDescent="0.25">
      <c r="A53" s="65"/>
      <c r="B53" s="60"/>
      <c r="C53" s="60"/>
      <c r="D53" s="60"/>
      <c r="E53" s="61"/>
      <c r="F53" s="61"/>
      <c r="G53" s="59"/>
      <c r="H53" s="62"/>
      <c r="I53" s="60"/>
      <c r="J53" s="62"/>
      <c r="K53" s="63"/>
      <c r="L53" s="60"/>
    </row>
    <row r="54" spans="1:12" x14ac:dyDescent="0.25">
      <c r="A54" s="65"/>
      <c r="B54" s="60"/>
      <c r="C54" s="60"/>
      <c r="D54" s="60"/>
      <c r="E54" s="61"/>
      <c r="F54" s="61"/>
      <c r="G54" s="59"/>
      <c r="H54" s="62"/>
      <c r="I54" s="60"/>
      <c r="J54" s="62"/>
      <c r="K54" s="63"/>
      <c r="L54" s="60"/>
    </row>
    <row r="55" spans="1:12" x14ac:dyDescent="0.25">
      <c r="A55" s="65"/>
      <c r="B55" s="60"/>
      <c r="C55" s="60"/>
      <c r="D55" s="60"/>
      <c r="E55" s="61"/>
      <c r="F55" s="61"/>
      <c r="G55" s="59"/>
      <c r="H55" s="62"/>
      <c r="I55" s="60"/>
      <c r="J55" s="62"/>
      <c r="K55" s="63"/>
      <c r="L55" s="60"/>
    </row>
    <row r="56" spans="1:12" x14ac:dyDescent="0.25">
      <c r="A56" s="65"/>
      <c r="B56" s="60"/>
      <c r="C56" s="60"/>
      <c r="D56" s="60"/>
      <c r="E56" s="61"/>
      <c r="F56" s="61"/>
      <c r="G56" s="59"/>
      <c r="H56" s="62"/>
      <c r="I56" s="60"/>
      <c r="J56" s="62"/>
      <c r="K56" s="63"/>
      <c r="L56" s="60"/>
    </row>
    <row r="57" spans="1:12" x14ac:dyDescent="0.25">
      <c r="A57" s="65"/>
      <c r="B57" s="60"/>
      <c r="C57" s="60"/>
      <c r="D57" s="60"/>
      <c r="E57" s="61"/>
      <c r="F57" s="61"/>
      <c r="G57" s="59"/>
      <c r="H57" s="62"/>
      <c r="I57" s="60"/>
      <c r="J57" s="62"/>
      <c r="K57" s="63"/>
      <c r="L57" s="60"/>
    </row>
    <row r="58" spans="1:12" x14ac:dyDescent="0.25">
      <c r="A58" s="65"/>
      <c r="B58" s="60"/>
      <c r="C58" s="60"/>
      <c r="D58" s="60"/>
      <c r="E58" s="61"/>
      <c r="F58" s="61"/>
      <c r="G58" s="59"/>
      <c r="H58" s="62"/>
      <c r="I58" s="60"/>
      <c r="J58" s="62"/>
      <c r="K58" s="63"/>
      <c r="L58" s="60"/>
    </row>
    <row r="59" spans="1:12" x14ac:dyDescent="0.25">
      <c r="A59" s="65"/>
      <c r="B59" s="60"/>
      <c r="C59" s="60"/>
      <c r="D59" s="60"/>
      <c r="E59" s="61"/>
      <c r="F59" s="61"/>
      <c r="G59" s="59"/>
      <c r="H59" s="62"/>
      <c r="I59" s="60"/>
      <c r="J59" s="62"/>
      <c r="K59" s="63"/>
      <c r="L59" s="60"/>
    </row>
    <row r="60" spans="1:12" x14ac:dyDescent="0.25">
      <c r="A60" s="65"/>
      <c r="B60" s="60"/>
      <c r="C60" s="60"/>
      <c r="D60" s="60"/>
      <c r="E60" s="61"/>
      <c r="F60" s="61"/>
      <c r="G60" s="59"/>
      <c r="H60" s="62"/>
      <c r="I60" s="60"/>
      <c r="J60" s="62"/>
      <c r="K60" s="63"/>
      <c r="L60" s="60"/>
    </row>
    <row r="61" spans="1:12" x14ac:dyDescent="0.25">
      <c r="A61" s="65"/>
      <c r="B61" s="60"/>
      <c r="C61" s="60"/>
      <c r="D61" s="60"/>
      <c r="E61" s="61"/>
      <c r="F61" s="61"/>
      <c r="G61" s="59"/>
      <c r="H61" s="62"/>
      <c r="I61" s="60"/>
      <c r="J61" s="62"/>
      <c r="K61" s="63"/>
      <c r="L61" s="60"/>
    </row>
    <row r="62" spans="1:12" x14ac:dyDescent="0.25">
      <c r="A62" s="65"/>
      <c r="B62" s="60"/>
      <c r="C62" s="60"/>
      <c r="D62" s="60"/>
      <c r="E62" s="61"/>
      <c r="F62" s="61"/>
      <c r="G62" s="59"/>
      <c r="H62" s="62"/>
      <c r="I62" s="60"/>
      <c r="J62" s="62"/>
      <c r="K62" s="63"/>
      <c r="L62" s="60"/>
    </row>
    <row r="63" spans="1:12" x14ac:dyDescent="0.25">
      <c r="A63" s="65"/>
      <c r="B63" s="60"/>
      <c r="C63" s="60"/>
      <c r="D63" s="60"/>
      <c r="E63" s="61"/>
      <c r="F63" s="61"/>
      <c r="G63" s="59"/>
      <c r="H63" s="62"/>
      <c r="I63" s="60"/>
      <c r="J63" s="62"/>
      <c r="K63" s="63"/>
      <c r="L63" s="60"/>
    </row>
    <row r="64" spans="1:12" x14ac:dyDescent="0.25">
      <c r="A64" s="65"/>
      <c r="B64" s="60"/>
      <c r="C64" s="60"/>
      <c r="D64" s="60"/>
      <c r="E64" s="61"/>
      <c r="F64" s="61"/>
      <c r="G64" s="59"/>
      <c r="H64" s="62"/>
      <c r="I64" s="60"/>
      <c r="J64" s="62"/>
      <c r="K64" s="63"/>
      <c r="L64" s="60"/>
    </row>
    <row r="65" spans="1:12" x14ac:dyDescent="0.25">
      <c r="A65" s="65"/>
      <c r="B65" s="60"/>
      <c r="C65" s="60"/>
      <c r="D65" s="60"/>
      <c r="E65" s="61"/>
      <c r="F65" s="61"/>
      <c r="G65" s="59"/>
      <c r="H65" s="62"/>
      <c r="I65" s="60"/>
      <c r="J65" s="62"/>
      <c r="K65" s="63"/>
      <c r="L65" s="60"/>
    </row>
    <row r="66" spans="1:12" x14ac:dyDescent="0.25">
      <c r="A66" s="65"/>
      <c r="B66" s="60"/>
      <c r="C66" s="60"/>
      <c r="D66" s="60"/>
      <c r="E66" s="61"/>
      <c r="F66" s="61"/>
      <c r="G66" s="59"/>
      <c r="H66" s="62"/>
      <c r="I66" s="60"/>
      <c r="J66" s="62"/>
      <c r="K66" s="63"/>
      <c r="L66" s="60"/>
    </row>
    <row r="67" spans="1:12" x14ac:dyDescent="0.25">
      <c r="A67" s="65"/>
      <c r="B67" s="60"/>
      <c r="C67" s="60"/>
      <c r="D67" s="60"/>
      <c r="E67" s="61"/>
      <c r="F67" s="61"/>
      <c r="G67" s="59"/>
      <c r="H67" s="62"/>
      <c r="I67" s="60"/>
      <c r="J67" s="62"/>
      <c r="K67" s="63"/>
      <c r="L67" s="60"/>
    </row>
    <row r="68" spans="1:12" x14ac:dyDescent="0.25">
      <c r="A68" s="65"/>
      <c r="B68" s="60"/>
      <c r="C68" s="60"/>
      <c r="D68" s="60"/>
      <c r="E68" s="61"/>
      <c r="F68" s="61"/>
      <c r="G68" s="59"/>
      <c r="H68" s="62"/>
      <c r="I68" s="60"/>
      <c r="J68" s="62"/>
      <c r="K68" s="63"/>
      <c r="L68" s="60"/>
    </row>
    <row r="69" spans="1:12" x14ac:dyDescent="0.25">
      <c r="A69" s="65"/>
      <c r="B69" s="60"/>
      <c r="C69" s="60"/>
      <c r="D69" s="60"/>
      <c r="E69" s="61"/>
      <c r="F69" s="61"/>
      <c r="G69" s="59"/>
      <c r="H69" s="62"/>
      <c r="I69" s="60"/>
      <c r="J69" s="62"/>
      <c r="K69" s="63"/>
      <c r="L69" s="60"/>
    </row>
    <row r="70" spans="1:12" x14ac:dyDescent="0.25">
      <c r="A70" s="65"/>
      <c r="B70" s="60"/>
      <c r="C70" s="60"/>
      <c r="D70" s="60"/>
      <c r="E70" s="61"/>
      <c r="F70" s="61"/>
      <c r="G70" s="59"/>
      <c r="H70" s="62"/>
      <c r="I70" s="60"/>
      <c r="J70" s="62"/>
      <c r="K70" s="63"/>
      <c r="L70" s="60"/>
    </row>
    <row r="71" spans="1:12" x14ac:dyDescent="0.25">
      <c r="A71" s="65"/>
      <c r="B71" s="60"/>
      <c r="C71" s="60"/>
      <c r="D71" s="60"/>
      <c r="E71" s="61"/>
      <c r="F71" s="61"/>
      <c r="G71" s="59"/>
      <c r="H71" s="62"/>
      <c r="I71" s="60"/>
      <c r="J71" s="62"/>
      <c r="K71" s="63"/>
      <c r="L71" s="60"/>
    </row>
    <row r="72" spans="1:12" x14ac:dyDescent="0.25">
      <c r="A72" s="65"/>
      <c r="B72" s="60"/>
      <c r="C72" s="60"/>
      <c r="D72" s="60"/>
      <c r="E72" s="61"/>
      <c r="F72" s="61"/>
      <c r="G72" s="59"/>
      <c r="H72" s="62"/>
      <c r="I72" s="60"/>
      <c r="J72" s="62"/>
      <c r="K72" s="63"/>
      <c r="L72" s="60"/>
    </row>
    <row r="73" spans="1:12" x14ac:dyDescent="0.25">
      <c r="A73" s="65"/>
      <c r="B73" s="60"/>
      <c r="C73" s="60"/>
      <c r="D73" s="60"/>
      <c r="E73" s="61"/>
      <c r="F73" s="61"/>
      <c r="G73" s="59"/>
      <c r="H73" s="62"/>
      <c r="I73" s="60"/>
      <c r="J73" s="62"/>
      <c r="K73" s="63"/>
      <c r="L73" s="60"/>
    </row>
    <row r="74" spans="1:12" x14ac:dyDescent="0.25">
      <c r="A74" s="65"/>
      <c r="B74" s="60"/>
      <c r="C74" s="60"/>
      <c r="D74" s="60"/>
      <c r="E74" s="61"/>
      <c r="F74" s="61"/>
      <c r="G74" s="59"/>
      <c r="H74" s="62"/>
      <c r="I74" s="60"/>
      <c r="J74" s="62"/>
      <c r="K74" s="63"/>
      <c r="L74" s="60"/>
    </row>
    <row r="75" spans="1:12" x14ac:dyDescent="0.25">
      <c r="A75" s="65"/>
      <c r="B75" s="60"/>
      <c r="C75" s="60"/>
      <c r="D75" s="60"/>
      <c r="E75" s="61"/>
      <c r="F75" s="61"/>
      <c r="G75" s="59"/>
      <c r="H75" s="62"/>
      <c r="I75" s="60"/>
      <c r="J75" s="62"/>
      <c r="K75" s="63"/>
      <c r="L75" s="60"/>
    </row>
    <row r="76" spans="1:12" x14ac:dyDescent="0.25">
      <c r="A76" s="65"/>
      <c r="B76" s="60"/>
      <c r="C76" s="60"/>
      <c r="D76" s="60"/>
      <c r="E76" s="61"/>
      <c r="F76" s="61"/>
      <c r="G76" s="59"/>
      <c r="H76" s="62"/>
      <c r="I76" s="60"/>
      <c r="J76" s="62"/>
      <c r="K76" s="63"/>
      <c r="L76" s="60"/>
    </row>
    <row r="77" spans="1:12" x14ac:dyDescent="0.25">
      <c r="A77" s="65"/>
      <c r="B77" s="60"/>
      <c r="C77" s="60"/>
      <c r="D77" s="60"/>
      <c r="E77" s="61"/>
      <c r="F77" s="61"/>
      <c r="G77" s="59"/>
      <c r="H77" s="62"/>
      <c r="I77" s="60"/>
      <c r="J77" s="62"/>
      <c r="K77" s="63"/>
      <c r="L77" s="60"/>
    </row>
    <row r="78" spans="1:12" x14ac:dyDescent="0.25">
      <c r="A78" s="65"/>
      <c r="B78" s="60"/>
      <c r="C78" s="60"/>
      <c r="D78" s="60"/>
      <c r="E78" s="61"/>
      <c r="F78" s="61"/>
      <c r="G78" s="59"/>
      <c r="H78" s="62"/>
      <c r="I78" s="60"/>
      <c r="J78" s="62"/>
      <c r="K78" s="63"/>
      <c r="L78" s="60"/>
    </row>
    <row r="79" spans="1:12" x14ac:dyDescent="0.25">
      <c r="A79" s="65"/>
      <c r="B79" s="60"/>
      <c r="C79" s="60"/>
      <c r="D79" s="60"/>
      <c r="E79" s="61"/>
      <c r="F79" s="61"/>
      <c r="G79" s="59"/>
      <c r="H79" s="62"/>
      <c r="I79" s="60"/>
      <c r="J79" s="62"/>
      <c r="K79" s="63"/>
      <c r="L79" s="60"/>
    </row>
    <row r="80" spans="1:12" x14ac:dyDescent="0.25">
      <c r="A80" s="65"/>
      <c r="B80" s="60"/>
      <c r="C80" s="60"/>
      <c r="D80" s="60"/>
      <c r="E80" s="61"/>
      <c r="F80" s="61"/>
      <c r="G80" s="59"/>
      <c r="H80" s="62"/>
      <c r="I80" s="60"/>
      <c r="J80" s="62"/>
      <c r="K80" s="63"/>
      <c r="L80" s="60"/>
    </row>
    <row r="81" spans="1:12" x14ac:dyDescent="0.25">
      <c r="A81" s="65"/>
      <c r="B81" s="60"/>
      <c r="C81" s="60"/>
      <c r="D81" s="60"/>
      <c r="E81" s="61"/>
      <c r="F81" s="61"/>
      <c r="G81" s="59"/>
      <c r="H81" s="62"/>
      <c r="I81" s="60"/>
      <c r="J81" s="62"/>
      <c r="K81" s="63"/>
      <c r="L81" s="60"/>
    </row>
    <row r="82" spans="1:12" x14ac:dyDescent="0.25">
      <c r="A82" s="65"/>
      <c r="B82" s="60"/>
      <c r="C82" s="60"/>
      <c r="D82" s="60"/>
      <c r="E82" s="61"/>
      <c r="F82" s="61"/>
      <c r="G82" s="59"/>
      <c r="H82" s="62"/>
      <c r="I82" s="60"/>
      <c r="J82" s="62"/>
      <c r="K82" s="63"/>
      <c r="L82" s="60"/>
    </row>
    <row r="83" spans="1:12" x14ac:dyDescent="0.25">
      <c r="A83" s="65"/>
      <c r="B83" s="60"/>
      <c r="C83" s="60"/>
      <c r="D83" s="60"/>
      <c r="E83" s="61"/>
      <c r="F83" s="61"/>
      <c r="G83" s="59"/>
      <c r="H83" s="62"/>
      <c r="I83" s="60"/>
      <c r="J83" s="62"/>
      <c r="K83" s="63"/>
      <c r="L83" s="60"/>
    </row>
    <row r="84" spans="1:12" x14ac:dyDescent="0.25">
      <c r="A84" s="65"/>
      <c r="B84" s="60"/>
      <c r="C84" s="60"/>
      <c r="D84" s="60"/>
      <c r="E84" s="61"/>
      <c r="F84" s="61"/>
      <c r="G84" s="59"/>
      <c r="H84" s="62"/>
      <c r="I84" s="60"/>
      <c r="J84" s="62"/>
      <c r="K84" s="63"/>
      <c r="L84" s="60"/>
    </row>
    <row r="85" spans="1:12" x14ac:dyDescent="0.25">
      <c r="A85" s="65"/>
      <c r="B85" s="60"/>
      <c r="C85" s="60"/>
      <c r="D85" s="60"/>
      <c r="E85" s="61"/>
      <c r="F85" s="61"/>
      <c r="G85" s="59"/>
      <c r="H85" s="62"/>
      <c r="I85" s="60"/>
      <c r="J85" s="62"/>
      <c r="K85" s="63"/>
      <c r="L85" s="60"/>
    </row>
    <row r="86" spans="1:12" x14ac:dyDescent="0.25">
      <c r="A86" s="65"/>
      <c r="B86" s="60"/>
      <c r="C86" s="60"/>
      <c r="D86" s="60"/>
      <c r="E86" s="61"/>
      <c r="F86" s="61"/>
      <c r="G86" s="59"/>
      <c r="H86" s="62"/>
      <c r="I86" s="60"/>
      <c r="J86" s="62"/>
      <c r="K86" s="63"/>
      <c r="L86" s="60"/>
    </row>
    <row r="87" spans="1:12" x14ac:dyDescent="0.25">
      <c r="A87" s="65"/>
      <c r="B87" s="60"/>
      <c r="C87" s="60"/>
      <c r="D87" s="60"/>
      <c r="E87" s="61"/>
      <c r="F87" s="61"/>
      <c r="G87" s="59"/>
      <c r="H87" s="62"/>
      <c r="I87" s="60"/>
      <c r="J87" s="62"/>
      <c r="K87" s="63"/>
      <c r="L87" s="60"/>
    </row>
    <row r="88" spans="1:12" x14ac:dyDescent="0.25">
      <c r="A88" s="65"/>
      <c r="B88" s="60"/>
      <c r="C88" s="60"/>
      <c r="D88" s="60"/>
      <c r="E88" s="61"/>
      <c r="F88" s="61"/>
      <c r="G88" s="59"/>
      <c r="H88" s="62"/>
      <c r="I88" s="60"/>
      <c r="J88" s="62"/>
      <c r="K88" s="63"/>
      <c r="L88" s="60"/>
    </row>
    <row r="89" spans="1:12" x14ac:dyDescent="0.25">
      <c r="A89" s="65"/>
      <c r="B89" s="60"/>
      <c r="C89" s="60"/>
      <c r="D89" s="60"/>
      <c r="E89" s="61"/>
      <c r="F89" s="61"/>
      <c r="G89" s="59"/>
      <c r="H89" s="62"/>
      <c r="I89" s="60"/>
      <c r="J89" s="62"/>
      <c r="K89" s="63"/>
      <c r="L89" s="60"/>
    </row>
    <row r="90" spans="1:12" x14ac:dyDescent="0.25">
      <c r="A90" s="65"/>
      <c r="B90" s="60"/>
      <c r="C90" s="60"/>
      <c r="D90" s="60"/>
      <c r="E90" s="61"/>
      <c r="F90" s="61"/>
      <c r="G90" s="59"/>
      <c r="H90" s="62"/>
      <c r="I90" s="60"/>
      <c r="J90" s="62"/>
      <c r="K90" s="63"/>
      <c r="L90" s="60"/>
    </row>
    <row r="91" spans="1:12" x14ac:dyDescent="0.25">
      <c r="A91" s="65"/>
      <c r="B91" s="60"/>
      <c r="C91" s="60"/>
      <c r="D91" s="60"/>
      <c r="E91" s="61"/>
      <c r="F91" s="61"/>
      <c r="G91" s="59"/>
      <c r="H91" s="62"/>
      <c r="I91" s="60"/>
      <c r="J91" s="62"/>
      <c r="K91" s="63"/>
      <c r="L91" s="60"/>
    </row>
    <row r="92" spans="1:12" x14ac:dyDescent="0.25">
      <c r="A92" s="65"/>
      <c r="B92" s="60"/>
      <c r="C92" s="60"/>
      <c r="D92" s="60"/>
      <c r="E92" s="61"/>
      <c r="F92" s="61"/>
      <c r="G92" s="59"/>
      <c r="H92" s="62"/>
      <c r="I92" s="60"/>
      <c r="J92" s="62"/>
      <c r="K92" s="63"/>
      <c r="L92" s="60"/>
    </row>
    <row r="93" spans="1:12" x14ac:dyDescent="0.25">
      <c r="A93" s="65"/>
      <c r="B93" s="60"/>
      <c r="C93" s="60"/>
      <c r="D93" s="60"/>
      <c r="E93" s="61"/>
      <c r="F93" s="61"/>
      <c r="G93" s="59"/>
      <c r="H93" s="62"/>
      <c r="I93" s="60"/>
      <c r="J93" s="62"/>
      <c r="K93" s="63"/>
      <c r="L93" s="60"/>
    </row>
    <row r="94" spans="1:12" x14ac:dyDescent="0.25">
      <c r="A94" s="65"/>
      <c r="B94" s="60"/>
      <c r="C94" s="60"/>
      <c r="D94" s="60"/>
      <c r="E94" s="61"/>
      <c r="F94" s="61"/>
      <c r="G94" s="59"/>
      <c r="H94" s="62"/>
      <c r="I94" s="60"/>
      <c r="J94" s="62"/>
      <c r="K94" s="63"/>
      <c r="L94" s="60"/>
    </row>
    <row r="95" spans="1:12" x14ac:dyDescent="0.25">
      <c r="A95" s="65"/>
      <c r="B95" s="60"/>
      <c r="C95" s="60"/>
      <c r="D95" s="60"/>
      <c r="E95" s="61"/>
      <c r="F95" s="61"/>
      <c r="G95" s="59"/>
      <c r="H95" s="62"/>
      <c r="I95" s="60"/>
      <c r="J95" s="62"/>
      <c r="K95" s="63"/>
      <c r="L95" s="60"/>
    </row>
    <row r="96" spans="1:12" x14ac:dyDescent="0.25">
      <c r="A96" s="65"/>
      <c r="B96" s="60"/>
      <c r="C96" s="60"/>
      <c r="D96" s="60"/>
      <c r="E96" s="61"/>
      <c r="F96" s="61"/>
      <c r="G96" s="59"/>
      <c r="H96" s="62"/>
      <c r="I96" s="60"/>
      <c r="J96" s="62"/>
      <c r="K96" s="63"/>
      <c r="L96" s="60"/>
    </row>
    <row r="97" spans="1:12" x14ac:dyDescent="0.25">
      <c r="A97" s="65"/>
      <c r="B97" s="60"/>
      <c r="C97" s="60"/>
      <c r="D97" s="60"/>
      <c r="E97" s="61"/>
      <c r="F97" s="61"/>
      <c r="G97" s="59"/>
      <c r="H97" s="62"/>
      <c r="I97" s="60"/>
      <c r="J97" s="62"/>
      <c r="K97" s="63"/>
      <c r="L97" s="60"/>
    </row>
    <row r="98" spans="1:12" x14ac:dyDescent="0.25">
      <c r="A98" s="65"/>
      <c r="B98" s="60"/>
      <c r="C98" s="60"/>
      <c r="D98" s="60"/>
      <c r="E98" s="61"/>
      <c r="F98" s="61"/>
      <c r="G98" s="59"/>
      <c r="H98" s="62"/>
      <c r="I98" s="60"/>
      <c r="J98" s="62"/>
      <c r="K98" s="63"/>
      <c r="L98" s="60"/>
    </row>
    <row r="99" spans="1:12" x14ac:dyDescent="0.25">
      <c r="A99" s="65"/>
      <c r="B99" s="60"/>
      <c r="C99" s="60"/>
      <c r="D99" s="60"/>
      <c r="E99" s="61"/>
      <c r="F99" s="61"/>
      <c r="G99" s="59"/>
      <c r="H99" s="62"/>
      <c r="I99" s="60"/>
      <c r="J99" s="62"/>
      <c r="K99" s="63"/>
      <c r="L99" s="60"/>
    </row>
    <row r="100" spans="1:12" x14ac:dyDescent="0.25">
      <c r="A100" s="65"/>
      <c r="B100" s="60"/>
      <c r="C100" s="60"/>
      <c r="D100" s="60"/>
      <c r="E100" s="61"/>
      <c r="F100" s="61"/>
      <c r="G100" s="59"/>
      <c r="H100" s="62"/>
      <c r="I100" s="60"/>
      <c r="J100" s="62"/>
      <c r="K100" s="63"/>
      <c r="L100" s="60"/>
    </row>
    <row r="101" spans="1:12" x14ac:dyDescent="0.25">
      <c r="A101" s="65"/>
      <c r="B101" s="60"/>
      <c r="C101" s="60"/>
      <c r="D101" s="60"/>
      <c r="E101" s="61"/>
      <c r="F101" s="61"/>
      <c r="G101" s="59"/>
      <c r="H101" s="62"/>
      <c r="I101" s="60"/>
      <c r="J101" s="62"/>
      <c r="K101" s="63"/>
      <c r="L101" s="60"/>
    </row>
    <row r="102" spans="1:12" x14ac:dyDescent="0.25">
      <c r="A102" s="65"/>
      <c r="B102" s="60"/>
      <c r="C102" s="60"/>
      <c r="D102" s="60"/>
      <c r="E102" s="61"/>
      <c r="F102" s="61"/>
      <c r="G102" s="59"/>
      <c r="H102" s="62"/>
      <c r="I102" s="60"/>
      <c r="J102" s="62"/>
      <c r="K102" s="63"/>
      <c r="L102" s="60"/>
    </row>
    <row r="103" spans="1:12" x14ac:dyDescent="0.25">
      <c r="A103" s="65"/>
      <c r="B103" s="60"/>
      <c r="C103" s="60"/>
      <c r="D103" s="60"/>
      <c r="E103" s="61"/>
      <c r="F103" s="61"/>
      <c r="G103" s="59"/>
      <c r="H103" s="62"/>
      <c r="I103" s="60"/>
      <c r="J103" s="62"/>
      <c r="K103" s="63"/>
      <c r="L103" s="60"/>
    </row>
    <row r="104" spans="1:12" x14ac:dyDescent="0.25">
      <c r="A104" s="65"/>
      <c r="B104" s="60"/>
      <c r="C104" s="60"/>
      <c r="D104" s="60"/>
      <c r="E104" s="61"/>
      <c r="F104" s="61"/>
      <c r="G104" s="59"/>
      <c r="H104" s="62"/>
      <c r="I104" s="60"/>
      <c r="J104" s="62"/>
      <c r="K104" s="63"/>
      <c r="L104" s="60"/>
    </row>
    <row r="105" spans="1:12" x14ac:dyDescent="0.25">
      <c r="A105" s="65"/>
      <c r="B105" s="60"/>
      <c r="C105" s="60"/>
      <c r="D105" s="60"/>
      <c r="E105" s="61"/>
      <c r="F105" s="61"/>
      <c r="G105" s="59"/>
      <c r="H105" s="62"/>
      <c r="I105" s="60"/>
      <c r="J105" s="62"/>
      <c r="K105" s="63"/>
      <c r="L105" s="60"/>
    </row>
    <row r="106" spans="1:12" x14ac:dyDescent="0.25">
      <c r="A106" s="65"/>
      <c r="B106" s="60"/>
      <c r="C106" s="60"/>
      <c r="D106" s="60"/>
      <c r="E106" s="61"/>
      <c r="F106" s="61"/>
      <c r="G106" s="59"/>
      <c r="H106" s="62"/>
      <c r="I106" s="60"/>
      <c r="J106" s="62"/>
      <c r="K106" s="63"/>
      <c r="L106" s="60"/>
    </row>
    <row r="107" spans="1:12" x14ac:dyDescent="0.25">
      <c r="A107" s="65"/>
      <c r="B107" s="60"/>
      <c r="C107" s="60"/>
      <c r="D107" s="60"/>
      <c r="E107" s="61"/>
      <c r="F107" s="61"/>
      <c r="G107" s="59"/>
      <c r="H107" s="62"/>
      <c r="I107" s="60"/>
      <c r="J107" s="62"/>
      <c r="K107" s="63"/>
      <c r="L107" s="60"/>
    </row>
    <row r="108" spans="1:12" x14ac:dyDescent="0.25">
      <c r="A108" s="65"/>
      <c r="B108" s="60"/>
      <c r="C108" s="60"/>
      <c r="D108" s="60"/>
      <c r="E108" s="61"/>
      <c r="F108" s="61"/>
      <c r="G108" s="59"/>
      <c r="H108" s="62"/>
      <c r="I108" s="60"/>
      <c r="J108" s="62"/>
      <c r="K108" s="63"/>
      <c r="L108" s="60"/>
    </row>
    <row r="109" spans="1:12" x14ac:dyDescent="0.25">
      <c r="A109" s="65"/>
      <c r="B109" s="60"/>
      <c r="C109" s="60"/>
      <c r="D109" s="60"/>
      <c r="E109" s="61"/>
      <c r="F109" s="61"/>
      <c r="G109" s="59"/>
      <c r="H109" s="62"/>
      <c r="I109" s="60"/>
      <c r="J109" s="62"/>
      <c r="K109" s="63"/>
      <c r="L109" s="60"/>
    </row>
    <row r="110" spans="1:12" x14ac:dyDescent="0.25">
      <c r="A110" s="65"/>
      <c r="B110" s="60"/>
      <c r="C110" s="60"/>
      <c r="D110" s="60"/>
      <c r="E110" s="61"/>
      <c r="F110" s="61"/>
      <c r="G110" s="59"/>
      <c r="H110" s="62"/>
      <c r="I110" s="60"/>
      <c r="J110" s="62"/>
      <c r="K110" s="63"/>
      <c r="L110" s="60"/>
    </row>
    <row r="111" spans="1:12" x14ac:dyDescent="0.25">
      <c r="A111" s="65"/>
      <c r="B111" s="60"/>
      <c r="C111" s="60"/>
      <c r="D111" s="60"/>
      <c r="E111" s="61"/>
      <c r="F111" s="61"/>
      <c r="G111" s="59"/>
      <c r="H111" s="62"/>
      <c r="I111" s="60"/>
      <c r="J111" s="62"/>
      <c r="K111" s="63"/>
      <c r="L111" s="60"/>
    </row>
    <row r="112" spans="1:12" x14ac:dyDescent="0.25">
      <c r="A112" s="65"/>
      <c r="B112" s="60"/>
      <c r="C112" s="60"/>
      <c r="D112" s="60"/>
      <c r="E112" s="61"/>
      <c r="F112" s="61"/>
      <c r="G112" s="59"/>
      <c r="H112" s="62"/>
      <c r="I112" s="60"/>
      <c r="J112" s="62"/>
      <c r="K112" s="63"/>
      <c r="L112" s="60"/>
    </row>
    <row r="113" spans="1:12" x14ac:dyDescent="0.25">
      <c r="A113" s="65"/>
      <c r="B113" s="60"/>
      <c r="C113" s="60"/>
      <c r="D113" s="60"/>
      <c r="E113" s="61"/>
      <c r="F113" s="61"/>
      <c r="G113" s="59"/>
      <c r="H113" s="62"/>
      <c r="I113" s="60"/>
      <c r="J113" s="62"/>
      <c r="K113" s="63"/>
      <c r="L113" s="60"/>
    </row>
    <row r="114" spans="1:12" x14ac:dyDescent="0.25">
      <c r="A114" s="65"/>
      <c r="B114" s="60"/>
      <c r="C114" s="60"/>
      <c r="D114" s="60"/>
      <c r="E114" s="61"/>
      <c r="F114" s="61"/>
      <c r="G114" s="59"/>
      <c r="H114" s="62"/>
      <c r="I114" s="60"/>
      <c r="J114" s="62"/>
      <c r="K114" s="63"/>
      <c r="L114" s="60"/>
    </row>
    <row r="115" spans="1:12" x14ac:dyDescent="0.25">
      <c r="A115" s="65"/>
      <c r="B115" s="60"/>
      <c r="C115" s="60"/>
      <c r="D115" s="60"/>
      <c r="E115" s="61"/>
      <c r="F115" s="61"/>
      <c r="G115" s="59"/>
      <c r="H115" s="62"/>
      <c r="I115" s="60"/>
      <c r="J115" s="62"/>
      <c r="K115" s="63"/>
      <c r="L115" s="60"/>
    </row>
    <row r="116" spans="1:12" x14ac:dyDescent="0.25">
      <c r="A116" s="65"/>
      <c r="B116" s="60"/>
      <c r="C116" s="60"/>
      <c r="D116" s="60"/>
      <c r="E116" s="61"/>
      <c r="F116" s="61"/>
      <c r="G116" s="59"/>
      <c r="H116" s="62"/>
      <c r="I116" s="60"/>
      <c r="J116" s="62"/>
      <c r="K116" s="63"/>
      <c r="L116" s="60"/>
    </row>
    <row r="117" spans="1:12" x14ac:dyDescent="0.25">
      <c r="A117" s="65"/>
      <c r="B117" s="60"/>
      <c r="C117" s="60"/>
      <c r="D117" s="60"/>
      <c r="E117" s="61"/>
      <c r="F117" s="61"/>
      <c r="G117" s="59"/>
      <c r="H117" s="62"/>
      <c r="I117" s="60"/>
      <c r="J117" s="62"/>
      <c r="K117" s="63"/>
      <c r="L117" s="60"/>
    </row>
    <row r="118" spans="1:12" x14ac:dyDescent="0.25">
      <c r="A118" s="65"/>
      <c r="B118" s="60"/>
      <c r="C118" s="60"/>
      <c r="D118" s="60"/>
      <c r="E118" s="61"/>
      <c r="F118" s="61"/>
      <c r="G118" s="59"/>
      <c r="H118" s="62"/>
      <c r="I118" s="60"/>
      <c r="J118" s="62"/>
      <c r="K118" s="63"/>
      <c r="L118" s="60"/>
    </row>
    <row r="119" spans="1:12" x14ac:dyDescent="0.25">
      <c r="A119" s="65"/>
      <c r="B119" s="60"/>
      <c r="C119" s="60"/>
      <c r="D119" s="60"/>
      <c r="E119" s="61"/>
      <c r="F119" s="61"/>
      <c r="G119" s="59"/>
      <c r="H119" s="62"/>
      <c r="I119" s="60"/>
      <c r="J119" s="62"/>
      <c r="K119" s="63"/>
      <c r="L119" s="60"/>
    </row>
    <row r="120" spans="1:12" x14ac:dyDescent="0.25">
      <c r="A120" s="65"/>
      <c r="B120" s="60"/>
      <c r="C120" s="60"/>
      <c r="D120" s="60"/>
      <c r="E120" s="61"/>
      <c r="F120" s="61"/>
      <c r="G120" s="59"/>
      <c r="H120" s="62"/>
      <c r="I120" s="60"/>
      <c r="J120" s="62"/>
      <c r="K120" s="63"/>
      <c r="L120" s="60"/>
    </row>
    <row r="121" spans="1:12" x14ac:dyDescent="0.25">
      <c r="A121" s="65"/>
      <c r="B121" s="60"/>
      <c r="C121" s="60"/>
      <c r="D121" s="60"/>
      <c r="E121" s="61"/>
      <c r="F121" s="61"/>
      <c r="G121" s="59"/>
      <c r="H121" s="62"/>
      <c r="I121" s="60"/>
      <c r="J121" s="62"/>
      <c r="K121" s="63"/>
      <c r="L121" s="60"/>
    </row>
    <row r="122" spans="1:12" x14ac:dyDescent="0.25">
      <c r="A122" s="65"/>
      <c r="B122" s="60"/>
      <c r="C122" s="60"/>
      <c r="D122" s="60"/>
      <c r="E122" s="61"/>
      <c r="F122" s="61"/>
      <c r="G122" s="59"/>
      <c r="H122" s="62"/>
      <c r="I122" s="60"/>
      <c r="J122" s="62"/>
      <c r="K122" s="63"/>
      <c r="L122" s="60"/>
    </row>
    <row r="123" spans="1:12" x14ac:dyDescent="0.25">
      <c r="A123" s="65"/>
      <c r="B123" s="60"/>
      <c r="C123" s="60"/>
      <c r="D123" s="60"/>
      <c r="E123" s="61"/>
      <c r="F123" s="61"/>
      <c r="G123" s="59"/>
      <c r="H123" s="62"/>
      <c r="I123" s="60"/>
      <c r="J123" s="62"/>
      <c r="K123" s="63"/>
      <c r="L123" s="60"/>
    </row>
    <row r="124" spans="1:12" x14ac:dyDescent="0.25">
      <c r="A124" s="65"/>
      <c r="B124" s="60"/>
      <c r="C124" s="60"/>
      <c r="D124" s="60"/>
      <c r="E124" s="61"/>
      <c r="F124" s="61"/>
      <c r="G124" s="59"/>
      <c r="H124" s="62"/>
      <c r="I124" s="60"/>
      <c r="J124" s="62"/>
      <c r="K124" s="63"/>
      <c r="L124" s="60"/>
    </row>
    <row r="125" spans="1:12" x14ac:dyDescent="0.25">
      <c r="A125" s="65"/>
      <c r="B125" s="60"/>
      <c r="C125" s="60"/>
      <c r="D125" s="60"/>
      <c r="E125" s="61"/>
      <c r="F125" s="61"/>
      <c r="G125" s="59"/>
      <c r="H125" s="62"/>
      <c r="I125" s="60"/>
      <c r="J125" s="62"/>
      <c r="K125" s="63"/>
      <c r="L125" s="60"/>
    </row>
    <row r="126" spans="1:12" x14ac:dyDescent="0.25">
      <c r="A126" s="65"/>
      <c r="B126" s="60"/>
      <c r="C126" s="60"/>
      <c r="D126" s="60"/>
      <c r="E126" s="61"/>
      <c r="F126" s="61"/>
      <c r="G126" s="59"/>
      <c r="H126" s="62"/>
      <c r="I126" s="60"/>
      <c r="J126" s="62"/>
      <c r="K126" s="63"/>
      <c r="L126" s="60"/>
    </row>
    <row r="127" spans="1:12" x14ac:dyDescent="0.25">
      <c r="A127" s="65"/>
      <c r="B127" s="60"/>
      <c r="C127" s="60"/>
      <c r="D127" s="60"/>
      <c r="E127" s="61"/>
      <c r="F127" s="61"/>
      <c r="G127" s="59"/>
      <c r="H127" s="62"/>
      <c r="I127" s="60"/>
      <c r="J127" s="62"/>
      <c r="K127" s="63"/>
      <c r="L127" s="60"/>
    </row>
    <row r="128" spans="1:12" x14ac:dyDescent="0.25">
      <c r="A128" s="65"/>
      <c r="B128" s="60"/>
      <c r="C128" s="60"/>
      <c r="D128" s="60"/>
      <c r="E128" s="61"/>
      <c r="F128" s="61"/>
      <c r="G128" s="59"/>
      <c r="H128" s="62"/>
      <c r="I128" s="60"/>
      <c r="J128" s="62"/>
      <c r="K128" s="63"/>
      <c r="L128" s="60"/>
    </row>
    <row r="129" spans="1:12" x14ac:dyDescent="0.25">
      <c r="A129" s="65"/>
      <c r="B129" s="60"/>
      <c r="C129" s="60"/>
      <c r="D129" s="60"/>
      <c r="E129" s="61"/>
      <c r="F129" s="61"/>
      <c r="G129" s="59"/>
      <c r="H129" s="62"/>
      <c r="I129" s="60"/>
      <c r="J129" s="62"/>
      <c r="K129" s="63"/>
      <c r="L129" s="60"/>
    </row>
    <row r="130" spans="1:12" x14ac:dyDescent="0.25">
      <c r="A130" s="65"/>
      <c r="B130" s="60"/>
      <c r="C130" s="60"/>
      <c r="D130" s="60"/>
      <c r="E130" s="61"/>
      <c r="F130" s="61"/>
      <c r="G130" s="59"/>
      <c r="H130" s="62"/>
      <c r="I130" s="60"/>
      <c r="J130" s="62"/>
      <c r="K130" s="63"/>
      <c r="L130" s="60"/>
    </row>
    <row r="131" spans="1:12" x14ac:dyDescent="0.25">
      <c r="A131" s="65"/>
      <c r="B131" s="60"/>
      <c r="C131" s="60"/>
      <c r="D131" s="60"/>
      <c r="E131" s="61"/>
      <c r="F131" s="61"/>
      <c r="G131" s="59"/>
      <c r="H131" s="62"/>
      <c r="I131" s="60"/>
      <c r="J131" s="62"/>
      <c r="K131" s="63"/>
      <c r="L131" s="60"/>
    </row>
    <row r="132" spans="1:12" x14ac:dyDescent="0.25">
      <c r="A132" s="65"/>
      <c r="B132" s="60"/>
      <c r="C132" s="60"/>
      <c r="D132" s="60"/>
      <c r="E132" s="61"/>
      <c r="F132" s="61"/>
      <c r="G132" s="59"/>
      <c r="H132" s="62"/>
      <c r="I132" s="60"/>
      <c r="J132" s="62"/>
      <c r="K132" s="63"/>
      <c r="L132" s="60"/>
    </row>
    <row r="133" spans="1:12" x14ac:dyDescent="0.25">
      <c r="A133" s="65"/>
      <c r="B133" s="60"/>
      <c r="C133" s="60"/>
      <c r="D133" s="60"/>
      <c r="E133" s="61"/>
      <c r="F133" s="61"/>
      <c r="G133" s="59"/>
      <c r="H133" s="62"/>
      <c r="I133" s="60"/>
      <c r="J133" s="62"/>
      <c r="K133" s="63"/>
      <c r="L133" s="60"/>
    </row>
    <row r="134" spans="1:12" x14ac:dyDescent="0.25">
      <c r="A134" s="65"/>
      <c r="B134" s="60"/>
      <c r="C134" s="60"/>
      <c r="D134" s="60"/>
      <c r="E134" s="61"/>
      <c r="F134" s="61"/>
      <c r="G134" s="59"/>
      <c r="H134" s="62"/>
      <c r="I134" s="60"/>
      <c r="J134" s="62"/>
      <c r="K134" s="63"/>
      <c r="L134" s="60"/>
    </row>
    <row r="135" spans="1:12" x14ac:dyDescent="0.25">
      <c r="A135" s="65"/>
      <c r="B135" s="60"/>
      <c r="C135" s="60"/>
      <c r="D135" s="60"/>
      <c r="E135" s="61"/>
      <c r="F135" s="61"/>
      <c r="G135" s="59"/>
      <c r="H135" s="62"/>
      <c r="I135" s="60"/>
      <c r="J135" s="62"/>
      <c r="K135" s="63"/>
      <c r="L135" s="60"/>
    </row>
    <row r="136" spans="1:12" x14ac:dyDescent="0.25">
      <c r="A136" s="65"/>
      <c r="B136" s="60"/>
      <c r="C136" s="60"/>
      <c r="D136" s="60"/>
      <c r="E136" s="61"/>
      <c r="F136" s="61"/>
      <c r="G136" s="59"/>
      <c r="H136" s="62"/>
      <c r="I136" s="60"/>
      <c r="J136" s="62"/>
      <c r="K136" s="63"/>
      <c r="L136" s="60"/>
    </row>
    <row r="137" spans="1:12" x14ac:dyDescent="0.25">
      <c r="A137" s="65"/>
      <c r="B137" s="60"/>
      <c r="C137" s="60"/>
      <c r="D137" s="60"/>
      <c r="E137" s="61"/>
      <c r="F137" s="61"/>
      <c r="G137" s="59"/>
      <c r="H137" s="62"/>
      <c r="I137" s="60"/>
      <c r="J137" s="62"/>
      <c r="K137" s="63"/>
      <c r="L137" s="60"/>
    </row>
    <row r="138" spans="1:12" x14ac:dyDescent="0.25">
      <c r="A138" s="65"/>
      <c r="B138" s="60"/>
      <c r="C138" s="60"/>
      <c r="D138" s="60"/>
      <c r="E138" s="61"/>
      <c r="F138" s="61"/>
      <c r="G138" s="59"/>
      <c r="H138" s="62"/>
      <c r="I138" s="60"/>
      <c r="J138" s="62"/>
      <c r="K138" s="63"/>
      <c r="L138" s="60"/>
    </row>
    <row r="139" spans="1:12" x14ac:dyDescent="0.25">
      <c r="A139" s="65"/>
      <c r="B139" s="60"/>
      <c r="C139" s="60"/>
      <c r="D139" s="60"/>
      <c r="E139" s="61"/>
      <c r="F139" s="61"/>
      <c r="G139" s="59"/>
      <c r="H139" s="62"/>
      <c r="I139" s="60"/>
      <c r="J139" s="62"/>
      <c r="K139" s="63"/>
      <c r="L139" s="60"/>
    </row>
    <row r="140" spans="1:12" x14ac:dyDescent="0.25">
      <c r="A140" s="65"/>
      <c r="B140" s="60"/>
      <c r="C140" s="60"/>
      <c r="D140" s="60"/>
      <c r="E140" s="61"/>
      <c r="F140" s="61"/>
      <c r="G140" s="59"/>
      <c r="H140" s="62"/>
      <c r="I140" s="60"/>
      <c r="J140" s="62"/>
      <c r="K140" s="63"/>
      <c r="L140" s="60"/>
    </row>
    <row r="141" spans="1:12" x14ac:dyDescent="0.25">
      <c r="A141" s="65"/>
      <c r="B141" s="60"/>
      <c r="C141" s="60"/>
      <c r="D141" s="60"/>
      <c r="E141" s="61"/>
      <c r="F141" s="61"/>
      <c r="G141" s="59"/>
      <c r="H141" s="62"/>
      <c r="I141" s="60"/>
      <c r="J141" s="62"/>
      <c r="K141" s="63"/>
      <c r="L141" s="60"/>
    </row>
    <row r="142" spans="1:12" x14ac:dyDescent="0.25">
      <c r="A142" s="65"/>
      <c r="B142" s="60"/>
      <c r="C142" s="60"/>
      <c r="D142" s="60"/>
      <c r="E142" s="61"/>
      <c r="F142" s="61"/>
      <c r="G142" s="59"/>
      <c r="H142" s="62"/>
      <c r="I142" s="60"/>
      <c r="J142" s="62"/>
      <c r="K142" s="63"/>
      <c r="L142" s="60"/>
    </row>
    <row r="143" spans="1:12" x14ac:dyDescent="0.25">
      <c r="A143" s="65"/>
      <c r="B143" s="60"/>
      <c r="C143" s="60"/>
      <c r="D143" s="60"/>
      <c r="E143" s="61"/>
      <c r="F143" s="61"/>
      <c r="G143" s="59"/>
      <c r="H143" s="62"/>
      <c r="I143" s="60"/>
      <c r="J143" s="62"/>
      <c r="K143" s="63"/>
      <c r="L143" s="60"/>
    </row>
    <row r="144" spans="1:12" x14ac:dyDescent="0.25">
      <c r="A144" s="65"/>
      <c r="B144" s="60"/>
      <c r="C144" s="60"/>
      <c r="D144" s="60"/>
      <c r="E144" s="61"/>
      <c r="F144" s="61"/>
      <c r="G144" s="59"/>
      <c r="H144" s="62"/>
      <c r="I144" s="60"/>
      <c r="J144" s="62"/>
      <c r="K144" s="63"/>
      <c r="L144" s="60"/>
    </row>
    <row r="145" spans="1:12" x14ac:dyDescent="0.25">
      <c r="A145" s="65"/>
      <c r="B145" s="60"/>
      <c r="C145" s="60"/>
      <c r="D145" s="60"/>
      <c r="E145" s="61"/>
      <c r="F145" s="61"/>
      <c r="G145" s="59"/>
      <c r="H145" s="62"/>
      <c r="I145" s="60"/>
      <c r="J145" s="62"/>
      <c r="K145" s="63"/>
      <c r="L145" s="60"/>
    </row>
    <row r="146" spans="1:12" x14ac:dyDescent="0.25">
      <c r="A146" s="65"/>
      <c r="B146" s="60"/>
      <c r="C146" s="60"/>
      <c r="D146" s="60"/>
      <c r="E146" s="61"/>
      <c r="F146" s="61"/>
      <c r="G146" s="59"/>
      <c r="H146" s="62"/>
      <c r="I146" s="60"/>
      <c r="J146" s="62"/>
      <c r="K146" s="63"/>
      <c r="L146" s="60"/>
    </row>
    <row r="147" spans="1:12" x14ac:dyDescent="0.25">
      <c r="A147" s="65"/>
      <c r="B147" s="60"/>
      <c r="C147" s="60"/>
      <c r="D147" s="60"/>
      <c r="E147" s="61"/>
      <c r="F147" s="61"/>
      <c r="G147" s="59"/>
      <c r="H147" s="62"/>
      <c r="I147" s="60"/>
      <c r="J147" s="62"/>
      <c r="K147" s="63"/>
      <c r="L147" s="60"/>
    </row>
    <row r="148" spans="1:12" x14ac:dyDescent="0.25">
      <c r="A148" s="65"/>
      <c r="B148" s="60"/>
      <c r="C148" s="60"/>
      <c r="D148" s="60"/>
      <c r="E148" s="61"/>
      <c r="F148" s="61"/>
      <c r="G148" s="59"/>
      <c r="H148" s="62"/>
      <c r="I148" s="60"/>
      <c r="J148" s="62"/>
      <c r="K148" s="63"/>
      <c r="L148" s="60"/>
    </row>
    <row r="149" spans="1:12" x14ac:dyDescent="0.25">
      <c r="A149" s="65"/>
      <c r="B149" s="60"/>
      <c r="C149" s="60"/>
      <c r="D149" s="60"/>
      <c r="E149" s="61"/>
      <c r="F149" s="61"/>
      <c r="G149" s="59"/>
      <c r="H149" s="62"/>
      <c r="I149" s="60"/>
      <c r="J149" s="62"/>
      <c r="K149" s="63"/>
      <c r="L149" s="60"/>
    </row>
    <row r="150" spans="1:12" x14ac:dyDescent="0.25">
      <c r="A150" s="65"/>
      <c r="B150" s="60"/>
      <c r="C150" s="60"/>
      <c r="D150" s="60"/>
      <c r="E150" s="61"/>
      <c r="F150" s="61"/>
      <c r="G150" s="59"/>
      <c r="H150" s="62"/>
      <c r="I150" s="60"/>
      <c r="J150" s="62"/>
      <c r="K150" s="63"/>
      <c r="L150" s="60"/>
    </row>
    <row r="151" spans="1:12" x14ac:dyDescent="0.25">
      <c r="A151" s="65"/>
      <c r="B151" s="60"/>
      <c r="C151" s="60"/>
      <c r="D151" s="60"/>
      <c r="E151" s="61"/>
      <c r="F151" s="61"/>
      <c r="G151" s="59"/>
      <c r="H151" s="62"/>
      <c r="I151" s="60"/>
      <c r="J151" s="62"/>
      <c r="K151" s="63"/>
      <c r="L151" s="60"/>
    </row>
    <row r="152" spans="1:12" x14ac:dyDescent="0.25">
      <c r="A152" s="65"/>
      <c r="B152" s="60"/>
      <c r="C152" s="60"/>
      <c r="D152" s="60"/>
      <c r="E152" s="61"/>
      <c r="F152" s="61"/>
      <c r="G152" s="59"/>
      <c r="H152" s="62"/>
      <c r="I152" s="60"/>
      <c r="J152" s="62"/>
      <c r="K152" s="63"/>
      <c r="L152" s="60"/>
    </row>
    <row r="153" spans="1:12" x14ac:dyDescent="0.25">
      <c r="A153" s="65"/>
      <c r="B153" s="60"/>
      <c r="C153" s="60"/>
      <c r="D153" s="60"/>
      <c r="E153" s="61"/>
      <c r="F153" s="61"/>
      <c r="G153" s="59"/>
      <c r="H153" s="62"/>
      <c r="I153" s="60"/>
      <c r="J153" s="62"/>
      <c r="K153" s="63"/>
      <c r="L153" s="60"/>
    </row>
    <row r="154" spans="1:12" x14ac:dyDescent="0.25">
      <c r="A154" s="65"/>
      <c r="B154" s="60"/>
      <c r="C154" s="60"/>
      <c r="D154" s="60"/>
      <c r="E154" s="61"/>
      <c r="F154" s="61"/>
      <c r="G154" s="59"/>
      <c r="H154" s="62"/>
      <c r="I154" s="60"/>
      <c r="J154" s="62"/>
      <c r="K154" s="63"/>
      <c r="L154" s="60"/>
    </row>
    <row r="155" spans="1:12" x14ac:dyDescent="0.25">
      <c r="A155" s="65"/>
      <c r="B155" s="60"/>
      <c r="C155" s="60"/>
      <c r="D155" s="60"/>
      <c r="E155" s="61"/>
      <c r="F155" s="61"/>
      <c r="G155" s="59"/>
      <c r="H155" s="62"/>
      <c r="I155" s="60"/>
      <c r="J155" s="62"/>
      <c r="K155" s="63"/>
      <c r="L155" s="60"/>
    </row>
    <row r="156" spans="1:12" x14ac:dyDescent="0.25">
      <c r="A156" s="65"/>
      <c r="B156" s="60"/>
      <c r="C156" s="60"/>
      <c r="D156" s="60"/>
      <c r="E156" s="61"/>
      <c r="F156" s="61"/>
      <c r="G156" s="59"/>
      <c r="H156" s="62"/>
      <c r="I156" s="60"/>
      <c r="J156" s="62"/>
      <c r="K156" s="63"/>
      <c r="L156" s="60"/>
    </row>
    <row r="157" spans="1:12" x14ac:dyDescent="0.25">
      <c r="A157" s="65"/>
      <c r="B157" s="60"/>
      <c r="C157" s="60"/>
      <c r="D157" s="60"/>
      <c r="E157" s="61"/>
      <c r="F157" s="61"/>
      <c r="G157" s="59"/>
      <c r="H157" s="62"/>
      <c r="I157" s="60"/>
      <c r="J157" s="62"/>
      <c r="K157" s="63"/>
      <c r="L157" s="60"/>
    </row>
    <row r="158" spans="1:12" x14ac:dyDescent="0.25">
      <c r="A158" s="65"/>
      <c r="B158" s="60"/>
      <c r="C158" s="60"/>
      <c r="D158" s="60"/>
      <c r="E158" s="61"/>
      <c r="F158" s="61"/>
      <c r="G158" s="59"/>
      <c r="H158" s="62"/>
      <c r="I158" s="60"/>
      <c r="J158" s="62"/>
      <c r="K158" s="63"/>
      <c r="L158" s="60"/>
    </row>
    <row r="159" spans="1:12" x14ac:dyDescent="0.25">
      <c r="A159" s="65"/>
      <c r="B159" s="60"/>
      <c r="C159" s="60"/>
      <c r="D159" s="60"/>
      <c r="E159" s="61"/>
      <c r="F159" s="61"/>
      <c r="G159" s="59"/>
      <c r="H159" s="62"/>
      <c r="I159" s="60"/>
      <c r="J159" s="62"/>
      <c r="K159" s="63"/>
      <c r="L159" s="60"/>
    </row>
    <row r="160" spans="1:12" x14ac:dyDescent="0.25">
      <c r="A160" s="65"/>
      <c r="B160" s="60"/>
      <c r="C160" s="60"/>
      <c r="D160" s="60"/>
      <c r="E160" s="61"/>
      <c r="F160" s="61"/>
      <c r="G160" s="59"/>
      <c r="H160" s="62"/>
      <c r="I160" s="60"/>
      <c r="J160" s="62"/>
      <c r="K160" s="63"/>
      <c r="L160" s="60"/>
    </row>
    <row r="161" spans="1:12" x14ac:dyDescent="0.25">
      <c r="A161" s="65"/>
      <c r="B161" s="60"/>
      <c r="C161" s="60"/>
      <c r="D161" s="60"/>
      <c r="E161" s="61"/>
      <c r="F161" s="61"/>
      <c r="G161" s="59"/>
      <c r="H161" s="62"/>
      <c r="I161" s="60"/>
      <c r="J161" s="62"/>
      <c r="K161" s="63"/>
      <c r="L161" s="60"/>
    </row>
    <row r="162" spans="1:12" x14ac:dyDescent="0.25">
      <c r="A162" s="65"/>
      <c r="B162" s="60"/>
      <c r="C162" s="60"/>
      <c r="D162" s="60"/>
      <c r="E162" s="61"/>
      <c r="F162" s="61"/>
      <c r="G162" s="59"/>
      <c r="H162" s="62"/>
      <c r="I162" s="60"/>
      <c r="J162" s="62"/>
      <c r="K162" s="63"/>
      <c r="L162" s="60"/>
    </row>
    <row r="163" spans="1:12" x14ac:dyDescent="0.25">
      <c r="A163" s="65"/>
      <c r="B163" s="60"/>
      <c r="C163" s="60"/>
      <c r="D163" s="60"/>
      <c r="E163" s="61"/>
      <c r="F163" s="61"/>
      <c r="G163" s="59"/>
      <c r="H163" s="62"/>
      <c r="I163" s="60"/>
      <c r="J163" s="62"/>
      <c r="K163" s="63"/>
      <c r="L163" s="60"/>
    </row>
    <row r="164" spans="1:12" x14ac:dyDescent="0.25">
      <c r="A164" s="65"/>
      <c r="B164" s="60"/>
      <c r="C164" s="60"/>
      <c r="D164" s="60"/>
      <c r="E164" s="61"/>
      <c r="F164" s="61"/>
      <c r="G164" s="59"/>
      <c r="H164" s="62"/>
      <c r="I164" s="60"/>
      <c r="J164" s="62"/>
      <c r="K164" s="63"/>
      <c r="L164" s="60"/>
    </row>
    <row r="165" spans="1:12" x14ac:dyDescent="0.25">
      <c r="A165" s="65"/>
      <c r="B165" s="60"/>
      <c r="C165" s="60"/>
      <c r="D165" s="60"/>
      <c r="E165" s="61"/>
      <c r="F165" s="61"/>
      <c r="G165" s="59"/>
      <c r="H165" s="62"/>
      <c r="I165" s="60"/>
      <c r="J165" s="62"/>
      <c r="K165" s="63"/>
      <c r="L165" s="60"/>
    </row>
    <row r="166" spans="1:12" x14ac:dyDescent="0.25">
      <c r="A166" s="65"/>
      <c r="B166" s="60"/>
      <c r="C166" s="60"/>
      <c r="D166" s="60"/>
      <c r="E166" s="61"/>
      <c r="F166" s="61"/>
      <c r="G166" s="59"/>
      <c r="H166" s="62"/>
      <c r="I166" s="60"/>
      <c r="J166" s="62"/>
      <c r="K166" s="63"/>
      <c r="L166" s="60"/>
    </row>
    <row r="167" spans="1:12" x14ac:dyDescent="0.25">
      <c r="A167" s="65"/>
      <c r="B167" s="60"/>
      <c r="C167" s="60"/>
      <c r="D167" s="60"/>
      <c r="E167" s="61"/>
      <c r="F167" s="61"/>
      <c r="G167" s="59"/>
      <c r="H167" s="62"/>
      <c r="I167" s="60"/>
      <c r="J167" s="62"/>
      <c r="K167" s="63"/>
      <c r="L167" s="60"/>
    </row>
    <row r="168" spans="1:12" x14ac:dyDescent="0.25">
      <c r="A168" s="65"/>
      <c r="B168" s="60"/>
      <c r="C168" s="60"/>
      <c r="D168" s="60"/>
      <c r="E168" s="61"/>
      <c r="F168" s="61"/>
      <c r="G168" s="59"/>
      <c r="H168" s="62"/>
      <c r="I168" s="60"/>
      <c r="J168" s="62"/>
      <c r="K168" s="63"/>
      <c r="L168" s="60"/>
    </row>
    <row r="169" spans="1:12" x14ac:dyDescent="0.25">
      <c r="A169" s="65"/>
      <c r="B169" s="60"/>
      <c r="C169" s="60"/>
      <c r="D169" s="60"/>
      <c r="E169" s="61"/>
      <c r="F169" s="61"/>
      <c r="G169" s="59"/>
      <c r="H169" s="62"/>
      <c r="I169" s="60"/>
      <c r="J169" s="62"/>
      <c r="K169" s="63"/>
      <c r="L169" s="60"/>
    </row>
    <row r="170" spans="1:12" x14ac:dyDescent="0.25">
      <c r="A170" s="65"/>
      <c r="B170" s="60"/>
      <c r="C170" s="60"/>
      <c r="D170" s="60"/>
      <c r="E170" s="61"/>
      <c r="F170" s="61"/>
      <c r="G170" s="59"/>
      <c r="H170" s="62"/>
      <c r="I170" s="60"/>
      <c r="J170" s="62"/>
      <c r="K170" s="63"/>
      <c r="L170" s="60"/>
    </row>
    <row r="171" spans="1:12" x14ac:dyDescent="0.25">
      <c r="A171" s="65"/>
      <c r="B171" s="60"/>
      <c r="C171" s="60"/>
      <c r="D171" s="60"/>
      <c r="E171" s="61"/>
      <c r="F171" s="61"/>
      <c r="G171" s="59"/>
      <c r="H171" s="62"/>
      <c r="I171" s="60"/>
      <c r="J171" s="62"/>
      <c r="K171" s="63"/>
      <c r="L171" s="60"/>
    </row>
    <row r="172" spans="1:12" x14ac:dyDescent="0.25">
      <c r="A172" s="65"/>
      <c r="B172" s="60"/>
      <c r="C172" s="60"/>
      <c r="D172" s="60"/>
      <c r="E172" s="61"/>
      <c r="F172" s="61"/>
      <c r="G172" s="59"/>
      <c r="H172" s="62"/>
      <c r="I172" s="60"/>
      <c r="J172" s="62"/>
      <c r="K172" s="63"/>
      <c r="L172" s="60"/>
    </row>
    <row r="173" spans="1:12" x14ac:dyDescent="0.25">
      <c r="A173" s="65"/>
      <c r="B173" s="60"/>
      <c r="C173" s="60"/>
      <c r="D173" s="60"/>
      <c r="E173" s="61"/>
      <c r="F173" s="61"/>
      <c r="G173" s="59"/>
      <c r="H173" s="62"/>
      <c r="I173" s="60"/>
      <c r="J173" s="62"/>
      <c r="K173" s="63"/>
      <c r="L173" s="60"/>
    </row>
    <row r="174" spans="1:12" x14ac:dyDescent="0.25">
      <c r="A174" s="65"/>
      <c r="B174" s="60"/>
      <c r="C174" s="60"/>
      <c r="D174" s="60"/>
      <c r="E174" s="61"/>
      <c r="F174" s="61"/>
      <c r="G174" s="59"/>
      <c r="H174" s="62"/>
      <c r="I174" s="60"/>
      <c r="J174" s="62"/>
      <c r="K174" s="63"/>
      <c r="L174" s="60"/>
    </row>
    <row r="175" spans="1:12" x14ac:dyDescent="0.25">
      <c r="A175" s="65"/>
      <c r="B175" s="60"/>
      <c r="C175" s="60"/>
      <c r="D175" s="60"/>
      <c r="E175" s="61"/>
      <c r="F175" s="61"/>
      <c r="G175" s="59"/>
      <c r="H175" s="62"/>
      <c r="I175" s="60"/>
      <c r="J175" s="62"/>
      <c r="K175" s="63"/>
      <c r="L175" s="60"/>
    </row>
    <row r="176" spans="1:12" x14ac:dyDescent="0.25">
      <c r="A176" s="65"/>
      <c r="B176" s="60"/>
      <c r="C176" s="60"/>
      <c r="D176" s="60"/>
      <c r="E176" s="61"/>
      <c r="F176" s="61"/>
      <c r="G176" s="59"/>
      <c r="H176" s="62"/>
      <c r="I176" s="60"/>
      <c r="J176" s="62"/>
      <c r="K176" s="63"/>
      <c r="L176" s="60"/>
    </row>
    <row r="177" spans="1:12" x14ac:dyDescent="0.25">
      <c r="A177" s="65"/>
      <c r="B177" s="60"/>
      <c r="C177" s="60"/>
      <c r="D177" s="60"/>
      <c r="E177" s="61"/>
      <c r="F177" s="61"/>
      <c r="G177" s="59"/>
      <c r="H177" s="62"/>
      <c r="I177" s="60"/>
      <c r="J177" s="62"/>
      <c r="K177" s="63"/>
      <c r="L177" s="60"/>
    </row>
    <row r="178" spans="1:12" x14ac:dyDescent="0.25">
      <c r="A178" s="65"/>
      <c r="B178" s="60"/>
      <c r="C178" s="60"/>
      <c r="D178" s="60"/>
      <c r="E178" s="61"/>
      <c r="F178" s="61"/>
      <c r="G178" s="59"/>
      <c r="H178" s="62"/>
      <c r="I178" s="60"/>
      <c r="J178" s="62"/>
      <c r="K178" s="63"/>
      <c r="L178" s="60"/>
    </row>
    <row r="179" spans="1:12" x14ac:dyDescent="0.25">
      <c r="A179" s="65"/>
      <c r="B179" s="60"/>
      <c r="C179" s="60"/>
      <c r="D179" s="60"/>
      <c r="E179" s="61"/>
      <c r="F179" s="61"/>
      <c r="G179" s="59"/>
      <c r="H179" s="62"/>
      <c r="I179" s="60"/>
      <c r="J179" s="62"/>
      <c r="K179" s="63"/>
      <c r="L179" s="60"/>
    </row>
    <row r="180" spans="1:12" x14ac:dyDescent="0.25">
      <c r="A180" s="65"/>
      <c r="B180" s="60"/>
      <c r="C180" s="60"/>
      <c r="D180" s="60"/>
      <c r="E180" s="61"/>
      <c r="F180" s="61"/>
      <c r="G180" s="59"/>
      <c r="H180" s="62"/>
      <c r="I180" s="60"/>
      <c r="J180" s="62"/>
      <c r="K180" s="63"/>
      <c r="L180" s="60"/>
    </row>
    <row r="181" spans="1:12" x14ac:dyDescent="0.25">
      <c r="A181" s="65"/>
      <c r="B181" s="60"/>
      <c r="C181" s="60"/>
      <c r="D181" s="60"/>
      <c r="E181" s="61"/>
      <c r="F181" s="61"/>
      <c r="G181" s="59"/>
      <c r="H181" s="62"/>
      <c r="I181" s="60"/>
      <c r="J181" s="62"/>
      <c r="K181" s="63"/>
      <c r="L181" s="60"/>
    </row>
    <row r="182" spans="1:12" x14ac:dyDescent="0.25">
      <c r="A182" s="65"/>
      <c r="B182" s="60"/>
      <c r="C182" s="60"/>
      <c r="D182" s="60"/>
      <c r="E182" s="61"/>
      <c r="F182" s="61"/>
      <c r="G182" s="59"/>
      <c r="H182" s="62"/>
      <c r="I182" s="60"/>
      <c r="J182" s="62"/>
      <c r="K182" s="63"/>
      <c r="L182" s="60"/>
    </row>
    <row r="183" spans="1:12" x14ac:dyDescent="0.25">
      <c r="A183" s="65"/>
      <c r="B183" s="60"/>
      <c r="C183" s="60"/>
      <c r="D183" s="60"/>
      <c r="E183" s="61"/>
      <c r="F183" s="61"/>
      <c r="G183" s="59"/>
      <c r="H183" s="62"/>
      <c r="I183" s="60"/>
      <c r="J183" s="62"/>
      <c r="K183" s="63"/>
      <c r="L183" s="60"/>
    </row>
    <row r="184" spans="1:12" x14ac:dyDescent="0.25">
      <c r="A184" s="65"/>
      <c r="B184" s="60"/>
      <c r="C184" s="60"/>
      <c r="D184" s="60"/>
      <c r="E184" s="61"/>
      <c r="F184" s="61"/>
      <c r="G184" s="59"/>
      <c r="H184" s="62"/>
      <c r="I184" s="60"/>
      <c r="J184" s="62"/>
      <c r="K184" s="63"/>
      <c r="L184" s="60"/>
    </row>
    <row r="185" spans="1:12" x14ac:dyDescent="0.25">
      <c r="A185" s="65"/>
      <c r="B185" s="60"/>
      <c r="C185" s="60"/>
      <c r="D185" s="60"/>
      <c r="E185" s="61"/>
      <c r="F185" s="61"/>
      <c r="G185" s="59"/>
      <c r="H185" s="62"/>
      <c r="I185" s="60"/>
      <c r="J185" s="62"/>
      <c r="K185" s="63"/>
      <c r="L185" s="60"/>
    </row>
    <row r="186" spans="1:12" x14ac:dyDescent="0.25">
      <c r="A186" s="65"/>
      <c r="B186" s="60"/>
      <c r="C186" s="60"/>
      <c r="D186" s="60"/>
      <c r="E186" s="61"/>
      <c r="F186" s="61"/>
      <c r="G186" s="59"/>
      <c r="H186" s="62"/>
      <c r="I186" s="60"/>
      <c r="J186" s="62"/>
      <c r="K186" s="63"/>
      <c r="L186" s="60"/>
    </row>
    <row r="187" spans="1:12" x14ac:dyDescent="0.25">
      <c r="A187" s="65"/>
      <c r="B187" s="60"/>
      <c r="C187" s="60"/>
      <c r="D187" s="60"/>
      <c r="E187" s="61"/>
      <c r="F187" s="61"/>
      <c r="G187" s="59"/>
      <c r="H187" s="62"/>
      <c r="I187" s="60"/>
      <c r="J187" s="62"/>
      <c r="K187" s="63"/>
      <c r="L187" s="60"/>
    </row>
    <row r="188" spans="1:12" x14ac:dyDescent="0.25">
      <c r="A188" s="65"/>
      <c r="B188" s="60"/>
      <c r="C188" s="60"/>
      <c r="D188" s="60"/>
      <c r="E188" s="61"/>
      <c r="F188" s="61"/>
      <c r="G188" s="59"/>
      <c r="H188" s="62"/>
      <c r="I188" s="60"/>
      <c r="J188" s="62"/>
      <c r="K188" s="63"/>
      <c r="L188" s="60"/>
    </row>
    <row r="189" spans="1:12" x14ac:dyDescent="0.25">
      <c r="A189" s="65"/>
      <c r="B189" s="60"/>
      <c r="C189" s="60"/>
      <c r="D189" s="60"/>
      <c r="E189" s="61"/>
      <c r="F189" s="61"/>
      <c r="G189" s="59"/>
      <c r="H189" s="62"/>
      <c r="I189" s="60"/>
      <c r="J189" s="62"/>
      <c r="K189" s="63"/>
      <c r="L189" s="60"/>
    </row>
    <row r="190" spans="1:12" x14ac:dyDescent="0.25">
      <c r="A190" s="65"/>
      <c r="B190" s="60"/>
      <c r="C190" s="60"/>
      <c r="D190" s="60"/>
      <c r="E190" s="61"/>
      <c r="F190" s="61"/>
      <c r="G190" s="59"/>
      <c r="H190" s="62"/>
      <c r="I190" s="60"/>
      <c r="J190" s="62"/>
      <c r="K190" s="63"/>
      <c r="L190" s="60"/>
    </row>
    <row r="191" spans="1:12" x14ac:dyDescent="0.25">
      <c r="A191" s="65"/>
      <c r="B191" s="60"/>
      <c r="C191" s="60"/>
      <c r="D191" s="60"/>
      <c r="E191" s="61"/>
      <c r="F191" s="61"/>
      <c r="G191" s="59"/>
      <c r="H191" s="62"/>
      <c r="I191" s="60"/>
      <c r="J191" s="62"/>
      <c r="K191" s="63"/>
      <c r="L191" s="60"/>
    </row>
    <row r="192" spans="1:12" x14ac:dyDescent="0.25">
      <c r="A192" s="65"/>
      <c r="B192" s="60"/>
      <c r="C192" s="60"/>
      <c r="D192" s="60"/>
      <c r="E192" s="61"/>
      <c r="F192" s="61"/>
      <c r="G192" s="59"/>
      <c r="H192" s="62"/>
      <c r="I192" s="60"/>
      <c r="J192" s="62"/>
      <c r="K192" s="63"/>
      <c r="L192" s="60"/>
    </row>
    <row r="193" spans="1:12" x14ac:dyDescent="0.25">
      <c r="A193" s="65"/>
      <c r="B193" s="60"/>
      <c r="C193" s="60"/>
      <c r="D193" s="60"/>
      <c r="E193" s="61"/>
      <c r="F193" s="61"/>
      <c r="G193" s="59"/>
      <c r="H193" s="62"/>
      <c r="I193" s="60"/>
      <c r="J193" s="62"/>
      <c r="K193" s="63"/>
      <c r="L193" s="60"/>
    </row>
    <row r="194" spans="1:12" x14ac:dyDescent="0.25">
      <c r="A194" s="65"/>
      <c r="B194" s="60"/>
      <c r="C194" s="60"/>
      <c r="D194" s="60"/>
      <c r="E194" s="61"/>
      <c r="F194" s="61"/>
      <c r="G194" s="59"/>
      <c r="H194" s="62"/>
      <c r="I194" s="60"/>
      <c r="J194" s="62"/>
      <c r="K194" s="63"/>
      <c r="L194" s="60"/>
    </row>
    <row r="195" spans="1:12" x14ac:dyDescent="0.25">
      <c r="A195" s="65"/>
      <c r="B195" s="60"/>
      <c r="C195" s="60"/>
      <c r="D195" s="60"/>
      <c r="E195" s="61"/>
      <c r="F195" s="61"/>
      <c r="G195" s="59"/>
      <c r="H195" s="62"/>
      <c r="I195" s="60"/>
      <c r="J195" s="62"/>
      <c r="K195" s="63"/>
      <c r="L195" s="60"/>
    </row>
    <row r="196" spans="1:12" x14ac:dyDescent="0.25">
      <c r="A196" s="65"/>
      <c r="B196" s="60"/>
      <c r="C196" s="60"/>
      <c r="D196" s="60"/>
      <c r="E196" s="61"/>
      <c r="F196" s="61"/>
      <c r="G196" s="59"/>
      <c r="H196" s="62"/>
      <c r="I196" s="60"/>
      <c r="J196" s="62"/>
      <c r="K196" s="63"/>
      <c r="L196" s="60"/>
    </row>
    <row r="197" spans="1:12" x14ac:dyDescent="0.25">
      <c r="A197" s="65"/>
      <c r="B197" s="60"/>
      <c r="C197" s="60"/>
      <c r="D197" s="60"/>
      <c r="E197" s="61"/>
      <c r="F197" s="61"/>
      <c r="G197" s="59"/>
      <c r="H197" s="62"/>
      <c r="I197" s="60"/>
      <c r="J197" s="62"/>
      <c r="K197" s="63"/>
      <c r="L197" s="60"/>
    </row>
    <row r="198" spans="1:12" x14ac:dyDescent="0.25">
      <c r="A198" s="65"/>
      <c r="B198" s="60"/>
      <c r="C198" s="60"/>
      <c r="D198" s="60"/>
      <c r="E198" s="61"/>
      <c r="F198" s="61"/>
      <c r="G198" s="59"/>
      <c r="H198" s="62"/>
      <c r="I198" s="60"/>
      <c r="J198" s="62"/>
      <c r="K198" s="63"/>
      <c r="L198" s="60"/>
    </row>
    <row r="199" spans="1:12" x14ac:dyDescent="0.25">
      <c r="A199" s="65"/>
      <c r="B199" s="60"/>
      <c r="C199" s="60"/>
      <c r="D199" s="60"/>
      <c r="E199" s="61"/>
      <c r="F199" s="61"/>
      <c r="G199" s="59"/>
      <c r="H199" s="62"/>
      <c r="I199" s="60"/>
      <c r="J199" s="62"/>
      <c r="K199" s="63"/>
      <c r="L199" s="60"/>
    </row>
    <row r="200" spans="1:12" x14ac:dyDescent="0.25">
      <c r="A200" s="65"/>
      <c r="B200" s="60"/>
      <c r="C200" s="60"/>
      <c r="D200" s="60"/>
      <c r="E200" s="61"/>
      <c r="F200" s="61"/>
      <c r="G200" s="59"/>
      <c r="H200" s="62"/>
      <c r="I200" s="60"/>
      <c r="J200" s="62"/>
      <c r="K200" s="63"/>
      <c r="L200" s="60"/>
    </row>
    <row r="201" spans="1:12" x14ac:dyDescent="0.25">
      <c r="A201" s="65"/>
      <c r="B201" s="60"/>
      <c r="C201" s="60"/>
      <c r="D201" s="60"/>
      <c r="E201" s="61"/>
      <c r="F201" s="61"/>
      <c r="G201" s="59"/>
      <c r="H201" s="62"/>
      <c r="I201" s="60"/>
      <c r="J201" s="62"/>
      <c r="K201" s="63"/>
      <c r="L201" s="60"/>
    </row>
    <row r="202" spans="1:12" x14ac:dyDescent="0.25">
      <c r="A202" s="65"/>
      <c r="B202" s="60"/>
      <c r="C202" s="60"/>
      <c r="D202" s="60"/>
      <c r="E202" s="61"/>
      <c r="F202" s="61"/>
      <c r="G202" s="59"/>
      <c r="H202" s="62"/>
      <c r="I202" s="60"/>
      <c r="J202" s="62"/>
      <c r="K202" s="63"/>
      <c r="L202" s="60"/>
    </row>
    <row r="203" spans="1:12" x14ac:dyDescent="0.25">
      <c r="A203" s="65"/>
      <c r="B203" s="60"/>
      <c r="C203" s="60"/>
      <c r="D203" s="60"/>
      <c r="E203" s="61"/>
      <c r="F203" s="61"/>
      <c r="G203" s="59"/>
      <c r="H203" s="62"/>
      <c r="I203" s="60"/>
      <c r="J203" s="62"/>
      <c r="K203" s="63"/>
      <c r="L203" s="60"/>
    </row>
    <row r="204" spans="1:12" x14ac:dyDescent="0.25">
      <c r="A204" s="65"/>
      <c r="B204" s="60"/>
      <c r="C204" s="60"/>
      <c r="D204" s="60"/>
      <c r="E204" s="61"/>
      <c r="F204" s="61"/>
      <c r="G204" s="59"/>
      <c r="H204" s="62"/>
      <c r="I204" s="60"/>
      <c r="J204" s="62"/>
      <c r="K204" s="63"/>
      <c r="L204" s="60"/>
    </row>
    <row r="205" spans="1:12" x14ac:dyDescent="0.25">
      <c r="A205" s="65"/>
      <c r="B205" s="60"/>
      <c r="C205" s="60"/>
      <c r="D205" s="60"/>
      <c r="E205" s="61"/>
      <c r="F205" s="61"/>
      <c r="G205" s="59"/>
      <c r="H205" s="62"/>
      <c r="I205" s="60"/>
      <c r="J205" s="62"/>
      <c r="K205" s="63"/>
      <c r="L205" s="60"/>
    </row>
    <row r="206" spans="1:12" x14ac:dyDescent="0.25">
      <c r="A206" s="65"/>
      <c r="B206" s="60"/>
      <c r="C206" s="60"/>
      <c r="D206" s="60"/>
      <c r="E206" s="61"/>
      <c r="F206" s="61"/>
      <c r="G206" s="59"/>
      <c r="H206" s="62"/>
      <c r="I206" s="60"/>
      <c r="J206" s="62"/>
      <c r="K206" s="63"/>
      <c r="L206" s="60"/>
    </row>
    <row r="207" spans="1:12" x14ac:dyDescent="0.25">
      <c r="A207" s="65"/>
      <c r="B207" s="60"/>
      <c r="C207" s="60"/>
      <c r="D207" s="60"/>
      <c r="E207" s="61"/>
      <c r="F207" s="61"/>
      <c r="G207" s="59"/>
      <c r="H207" s="62"/>
      <c r="I207" s="60"/>
      <c r="J207" s="62"/>
      <c r="K207" s="63"/>
      <c r="L207" s="60"/>
    </row>
    <row r="208" spans="1:12" x14ac:dyDescent="0.25">
      <c r="A208" s="65"/>
      <c r="B208" s="60"/>
      <c r="C208" s="60"/>
      <c r="D208" s="60"/>
      <c r="E208" s="61"/>
      <c r="F208" s="61"/>
      <c r="G208" s="59"/>
      <c r="H208" s="62"/>
      <c r="I208" s="60"/>
      <c r="J208" s="62"/>
      <c r="K208" s="63"/>
      <c r="L208" s="60"/>
    </row>
    <row r="209" spans="1:12" x14ac:dyDescent="0.25">
      <c r="A209" s="65"/>
      <c r="B209" s="60"/>
      <c r="C209" s="60"/>
      <c r="D209" s="60"/>
      <c r="E209" s="61"/>
      <c r="F209" s="61"/>
      <c r="G209" s="59"/>
      <c r="H209" s="62"/>
      <c r="I209" s="60"/>
      <c r="J209" s="62"/>
      <c r="K209" s="63"/>
      <c r="L209" s="60"/>
    </row>
    <row r="210" spans="1:12" x14ac:dyDescent="0.25">
      <c r="A210" s="65"/>
      <c r="B210" s="60"/>
      <c r="C210" s="60"/>
      <c r="D210" s="60"/>
      <c r="E210" s="61"/>
      <c r="F210" s="61"/>
      <c r="G210" s="59"/>
      <c r="H210" s="62"/>
      <c r="I210" s="60"/>
      <c r="J210" s="62"/>
      <c r="K210" s="63"/>
      <c r="L210" s="60"/>
    </row>
    <row r="211" spans="1:12" x14ac:dyDescent="0.25">
      <c r="A211" s="65"/>
      <c r="B211" s="60"/>
      <c r="C211" s="60"/>
      <c r="D211" s="60"/>
      <c r="E211" s="61"/>
      <c r="F211" s="61"/>
      <c r="G211" s="59"/>
      <c r="H211" s="62"/>
      <c r="I211" s="60"/>
      <c r="J211" s="62"/>
      <c r="K211" s="63"/>
      <c r="L211" s="60"/>
    </row>
    <row r="212" spans="1:12" x14ac:dyDescent="0.25">
      <c r="A212" s="65"/>
      <c r="B212" s="60"/>
      <c r="C212" s="60"/>
      <c r="D212" s="60"/>
      <c r="E212" s="61"/>
      <c r="F212" s="61"/>
      <c r="G212" s="59"/>
      <c r="H212" s="62"/>
      <c r="I212" s="60"/>
      <c r="J212" s="62"/>
      <c r="K212" s="63"/>
      <c r="L212" s="60"/>
    </row>
    <row r="213" spans="1:12" x14ac:dyDescent="0.25">
      <c r="A213" s="65"/>
      <c r="B213" s="60"/>
      <c r="C213" s="60"/>
      <c r="D213" s="60"/>
      <c r="E213" s="61"/>
      <c r="F213" s="61"/>
      <c r="G213" s="59"/>
      <c r="H213" s="62"/>
      <c r="I213" s="60"/>
      <c r="J213" s="62"/>
      <c r="K213" s="63"/>
      <c r="L213" s="60"/>
    </row>
    <row r="214" spans="1:12" x14ac:dyDescent="0.25">
      <c r="A214" s="65"/>
      <c r="B214" s="60"/>
      <c r="C214" s="60"/>
      <c r="D214" s="60"/>
      <c r="E214" s="61"/>
      <c r="F214" s="61"/>
      <c r="G214" s="59"/>
      <c r="H214" s="62"/>
      <c r="I214" s="60"/>
      <c r="J214" s="62"/>
      <c r="K214" s="63"/>
      <c r="L214" s="60"/>
    </row>
    <row r="215" spans="1:12" x14ac:dyDescent="0.25">
      <c r="A215" s="65"/>
      <c r="B215" s="60"/>
      <c r="C215" s="60"/>
      <c r="D215" s="60"/>
      <c r="E215" s="61"/>
      <c r="F215" s="61"/>
      <c r="G215" s="59"/>
      <c r="H215" s="62"/>
      <c r="I215" s="60"/>
      <c r="J215" s="62"/>
      <c r="K215" s="63"/>
      <c r="L215" s="60"/>
    </row>
    <row r="216" spans="1:12" x14ac:dyDescent="0.25">
      <c r="A216" s="65"/>
      <c r="B216" s="60"/>
      <c r="C216" s="60"/>
      <c r="D216" s="60"/>
      <c r="E216" s="61"/>
      <c r="F216" s="61"/>
      <c r="G216" s="59"/>
      <c r="H216" s="62"/>
      <c r="I216" s="60"/>
      <c r="J216" s="62"/>
      <c r="K216" s="63"/>
      <c r="L216" s="60"/>
    </row>
    <row r="217" spans="1:12" x14ac:dyDescent="0.25">
      <c r="A217" s="65"/>
      <c r="B217" s="60"/>
      <c r="C217" s="60"/>
      <c r="D217" s="60"/>
      <c r="E217" s="61"/>
      <c r="F217" s="61"/>
      <c r="G217" s="59"/>
      <c r="H217" s="62"/>
      <c r="I217" s="60"/>
      <c r="J217" s="62"/>
      <c r="K217" s="63"/>
      <c r="L217" s="60"/>
    </row>
    <row r="218" spans="1:12" x14ac:dyDescent="0.25">
      <c r="A218" s="65"/>
      <c r="B218" s="60"/>
      <c r="C218" s="60"/>
      <c r="D218" s="60"/>
      <c r="E218" s="61"/>
      <c r="F218" s="61"/>
      <c r="G218" s="59"/>
      <c r="H218" s="62"/>
      <c r="I218" s="60"/>
      <c r="J218" s="62"/>
      <c r="K218" s="63"/>
      <c r="L218" s="60"/>
    </row>
    <row r="219" spans="1:12" x14ac:dyDescent="0.25">
      <c r="A219" s="65"/>
      <c r="B219" s="60"/>
      <c r="C219" s="60"/>
      <c r="D219" s="60"/>
      <c r="E219" s="61"/>
      <c r="F219" s="61"/>
      <c r="G219" s="59"/>
      <c r="H219" s="62"/>
      <c r="I219" s="60"/>
      <c r="J219" s="62"/>
      <c r="K219" s="63"/>
      <c r="L219" s="60"/>
    </row>
    <row r="220" spans="1:12" x14ac:dyDescent="0.25">
      <c r="A220" s="65"/>
      <c r="B220" s="60"/>
      <c r="C220" s="60"/>
      <c r="D220" s="60"/>
      <c r="E220" s="61"/>
      <c r="F220" s="61"/>
      <c r="G220" s="59"/>
      <c r="H220" s="62"/>
      <c r="I220" s="60"/>
      <c r="J220" s="62"/>
      <c r="K220" s="63"/>
      <c r="L220" s="60"/>
    </row>
    <row r="221" spans="1:12" x14ac:dyDescent="0.25">
      <c r="A221" s="65"/>
      <c r="B221" s="60"/>
      <c r="C221" s="60"/>
      <c r="D221" s="60"/>
      <c r="E221" s="61"/>
      <c r="F221" s="61"/>
      <c r="G221" s="59"/>
      <c r="H221" s="62"/>
      <c r="I221" s="60"/>
      <c r="J221" s="62"/>
      <c r="K221" s="63"/>
      <c r="L221" s="60"/>
    </row>
    <row r="222" spans="1:12" x14ac:dyDescent="0.25">
      <c r="A222" s="65"/>
      <c r="B222" s="60"/>
      <c r="C222" s="60"/>
      <c r="D222" s="60"/>
      <c r="E222" s="61"/>
      <c r="F222" s="61"/>
      <c r="G222" s="59"/>
      <c r="H222" s="62"/>
      <c r="I222" s="60"/>
      <c r="J222" s="62"/>
      <c r="K222" s="63"/>
      <c r="L222" s="60"/>
    </row>
    <row r="223" spans="1:12" x14ac:dyDescent="0.25">
      <c r="A223" s="65"/>
      <c r="B223" s="60"/>
      <c r="C223" s="60"/>
      <c r="D223" s="60"/>
      <c r="E223" s="61"/>
      <c r="F223" s="61"/>
      <c r="G223" s="59"/>
      <c r="H223" s="62"/>
      <c r="I223" s="60"/>
      <c r="J223" s="62"/>
      <c r="K223" s="63"/>
      <c r="L223" s="60"/>
    </row>
    <row r="224" spans="1:12" x14ac:dyDescent="0.25">
      <c r="A224" s="65"/>
      <c r="B224" s="60"/>
      <c r="C224" s="60"/>
      <c r="D224" s="60"/>
      <c r="E224" s="61"/>
      <c r="F224" s="61"/>
      <c r="G224" s="59"/>
      <c r="H224" s="62"/>
      <c r="I224" s="60"/>
      <c r="J224" s="62"/>
      <c r="K224" s="63"/>
      <c r="L224" s="60"/>
    </row>
    <row r="225" spans="1:12" x14ac:dyDescent="0.25">
      <c r="A225" s="65"/>
      <c r="B225" s="60"/>
      <c r="C225" s="60"/>
      <c r="D225" s="60"/>
      <c r="E225" s="61"/>
      <c r="F225" s="61"/>
      <c r="G225" s="59"/>
      <c r="H225" s="62"/>
      <c r="I225" s="60"/>
      <c r="J225" s="62"/>
      <c r="K225" s="63"/>
      <c r="L225" s="60"/>
    </row>
    <row r="226" spans="1:12" x14ac:dyDescent="0.25">
      <c r="A226" s="65"/>
      <c r="B226" s="60"/>
      <c r="C226" s="60"/>
      <c r="D226" s="60"/>
      <c r="E226" s="61"/>
      <c r="F226" s="61"/>
      <c r="G226" s="59"/>
      <c r="H226" s="62"/>
      <c r="I226" s="60"/>
      <c r="J226" s="62"/>
      <c r="K226" s="63"/>
      <c r="L226" s="60"/>
    </row>
    <row r="227" spans="1:12" x14ac:dyDescent="0.25">
      <c r="A227" s="65"/>
      <c r="B227" s="60"/>
      <c r="C227" s="60"/>
      <c r="D227" s="60"/>
      <c r="E227" s="61"/>
      <c r="F227" s="61"/>
      <c r="G227" s="59"/>
      <c r="H227" s="62"/>
      <c r="I227" s="60"/>
      <c r="J227" s="62"/>
      <c r="K227" s="63"/>
      <c r="L227" s="60"/>
    </row>
    <row r="228" spans="1:12" x14ac:dyDescent="0.25">
      <c r="A228" s="65"/>
      <c r="B228" s="60"/>
      <c r="C228" s="60"/>
      <c r="D228" s="60"/>
      <c r="E228" s="61"/>
      <c r="F228" s="61"/>
      <c r="G228" s="59"/>
      <c r="H228" s="62"/>
      <c r="I228" s="60"/>
      <c r="J228" s="62"/>
      <c r="K228" s="63"/>
      <c r="L228" s="60"/>
    </row>
    <row r="229" spans="1:12" x14ac:dyDescent="0.25">
      <c r="A229" s="65"/>
      <c r="B229" s="60"/>
      <c r="C229" s="60"/>
      <c r="D229" s="60"/>
      <c r="E229" s="61"/>
      <c r="F229" s="61"/>
      <c r="G229" s="59"/>
      <c r="H229" s="62"/>
      <c r="I229" s="60"/>
      <c r="J229" s="62"/>
      <c r="K229" s="63"/>
      <c r="L229" s="60"/>
    </row>
    <row r="230" spans="1:12" x14ac:dyDescent="0.25">
      <c r="A230" s="65"/>
      <c r="B230" s="60"/>
      <c r="C230" s="60"/>
      <c r="D230" s="60"/>
      <c r="E230" s="61"/>
      <c r="F230" s="61"/>
      <c r="G230" s="59"/>
      <c r="H230" s="62"/>
      <c r="I230" s="60"/>
      <c r="J230" s="62"/>
      <c r="K230" s="63"/>
      <c r="L230" s="60"/>
    </row>
    <row r="231" spans="1:12" x14ac:dyDescent="0.25">
      <c r="A231" s="65"/>
      <c r="B231" s="60"/>
      <c r="C231" s="60"/>
      <c r="D231" s="60"/>
      <c r="E231" s="61"/>
      <c r="F231" s="61"/>
      <c r="G231" s="59"/>
      <c r="H231" s="62"/>
      <c r="I231" s="60"/>
      <c r="J231" s="62"/>
      <c r="K231" s="63"/>
      <c r="L231" s="60"/>
    </row>
    <row r="232" spans="1:12" x14ac:dyDescent="0.25">
      <c r="A232" s="65"/>
      <c r="B232" s="60"/>
      <c r="C232" s="60"/>
      <c r="D232" s="60"/>
      <c r="E232" s="61"/>
      <c r="F232" s="61"/>
      <c r="G232" s="59"/>
      <c r="H232" s="62"/>
      <c r="I232" s="60"/>
      <c r="J232" s="62"/>
      <c r="K232" s="63"/>
      <c r="L232" s="60"/>
    </row>
    <row r="233" spans="1:12" x14ac:dyDescent="0.25">
      <c r="A233" s="65"/>
      <c r="B233" s="60"/>
      <c r="C233" s="60"/>
      <c r="D233" s="60"/>
      <c r="E233" s="61"/>
      <c r="F233" s="61"/>
      <c r="G233" s="59"/>
      <c r="H233" s="62"/>
      <c r="I233" s="60"/>
      <c r="J233" s="62"/>
      <c r="K233" s="63"/>
      <c r="L233" s="60"/>
    </row>
    <row r="234" spans="1:12" x14ac:dyDescent="0.25">
      <c r="A234" s="65"/>
      <c r="B234" s="60"/>
      <c r="C234" s="60"/>
      <c r="D234" s="60"/>
      <c r="E234" s="61"/>
      <c r="F234" s="61"/>
      <c r="G234" s="59"/>
      <c r="H234" s="62"/>
      <c r="I234" s="60"/>
      <c r="J234" s="62"/>
      <c r="K234" s="63"/>
      <c r="L234" s="60"/>
    </row>
    <row r="235" spans="1:12" x14ac:dyDescent="0.25">
      <c r="A235" s="65"/>
      <c r="B235" s="60"/>
      <c r="C235" s="60"/>
      <c r="D235" s="60"/>
      <c r="E235" s="61"/>
      <c r="F235" s="61"/>
      <c r="G235" s="59"/>
      <c r="H235" s="62"/>
      <c r="I235" s="60"/>
      <c r="J235" s="62"/>
      <c r="K235" s="63"/>
      <c r="L235" s="60"/>
    </row>
    <row r="236" spans="1:12" x14ac:dyDescent="0.25">
      <c r="A236" s="65"/>
      <c r="B236" s="60"/>
      <c r="C236" s="60"/>
      <c r="D236" s="60"/>
      <c r="E236" s="61"/>
      <c r="F236" s="61"/>
      <c r="G236" s="59"/>
      <c r="H236" s="62"/>
      <c r="I236" s="60"/>
      <c r="J236" s="62"/>
      <c r="K236" s="63"/>
      <c r="L236" s="60"/>
    </row>
    <row r="237" spans="1:12" x14ac:dyDescent="0.25">
      <c r="A237" s="65"/>
      <c r="B237" s="60"/>
      <c r="C237" s="60"/>
      <c r="D237" s="60"/>
      <c r="E237" s="61"/>
      <c r="F237" s="61"/>
      <c r="G237" s="59"/>
      <c r="H237" s="62"/>
      <c r="I237" s="60"/>
      <c r="J237" s="62"/>
      <c r="K237" s="63"/>
      <c r="L237" s="60"/>
    </row>
    <row r="238" spans="1:12" x14ac:dyDescent="0.25">
      <c r="A238" s="65"/>
      <c r="B238" s="60"/>
      <c r="C238" s="60"/>
      <c r="D238" s="60"/>
      <c r="E238" s="61"/>
      <c r="F238" s="61"/>
      <c r="G238" s="59"/>
      <c r="H238" s="62"/>
      <c r="I238" s="60"/>
      <c r="J238" s="62"/>
      <c r="K238" s="63"/>
      <c r="L238" s="60"/>
    </row>
    <row r="239" spans="1:12" x14ac:dyDescent="0.25">
      <c r="A239" s="65"/>
      <c r="B239" s="60"/>
      <c r="C239" s="60"/>
      <c r="D239" s="60"/>
      <c r="E239" s="61"/>
      <c r="F239" s="61"/>
      <c r="G239" s="59"/>
      <c r="H239" s="62"/>
      <c r="I239" s="60"/>
      <c r="J239" s="62"/>
      <c r="K239" s="63"/>
      <c r="L239" s="60"/>
    </row>
    <row r="240" spans="1:12" x14ac:dyDescent="0.25">
      <c r="A240" s="65"/>
      <c r="B240" s="60"/>
      <c r="C240" s="60"/>
      <c r="D240" s="60"/>
      <c r="E240" s="61"/>
      <c r="F240" s="61"/>
      <c r="G240" s="59"/>
      <c r="H240" s="62"/>
      <c r="I240" s="60"/>
      <c r="J240" s="62"/>
      <c r="K240" s="63"/>
      <c r="L240" s="60"/>
    </row>
    <row r="241" spans="1:12" x14ac:dyDescent="0.25">
      <c r="A241" s="65"/>
      <c r="B241" s="60"/>
      <c r="C241" s="60"/>
      <c r="D241" s="60"/>
      <c r="E241" s="61"/>
      <c r="F241" s="61"/>
      <c r="G241" s="59"/>
      <c r="H241" s="62"/>
      <c r="I241" s="60"/>
      <c r="J241" s="62"/>
      <c r="K241" s="63"/>
      <c r="L241" s="60"/>
    </row>
    <row r="242" spans="1:12" x14ac:dyDescent="0.25">
      <c r="A242" s="65"/>
      <c r="B242" s="60"/>
      <c r="C242" s="60"/>
      <c r="D242" s="60"/>
      <c r="E242" s="61"/>
      <c r="F242" s="61"/>
      <c r="G242" s="59"/>
      <c r="H242" s="62"/>
      <c r="I242" s="60"/>
      <c r="J242" s="62"/>
      <c r="K242" s="63"/>
      <c r="L242" s="60"/>
    </row>
    <row r="243" spans="1:12" x14ac:dyDescent="0.25">
      <c r="A243" s="65"/>
      <c r="B243" s="60"/>
      <c r="C243" s="60"/>
      <c r="D243" s="60"/>
      <c r="E243" s="61"/>
      <c r="F243" s="61"/>
      <c r="G243" s="59"/>
      <c r="H243" s="62"/>
      <c r="I243" s="60"/>
      <c r="J243" s="62"/>
      <c r="K243" s="63"/>
      <c r="L243" s="60"/>
    </row>
    <row r="244" spans="1:12" x14ac:dyDescent="0.25">
      <c r="A244" s="65"/>
      <c r="B244" s="60"/>
      <c r="C244" s="60"/>
      <c r="D244" s="60"/>
      <c r="E244" s="61"/>
      <c r="F244" s="61"/>
      <c r="G244" s="59"/>
      <c r="H244" s="62"/>
      <c r="I244" s="60"/>
      <c r="J244" s="62"/>
      <c r="K244" s="63"/>
      <c r="L244" s="60"/>
    </row>
    <row r="245" spans="1:12" x14ac:dyDescent="0.25">
      <c r="A245" s="65"/>
      <c r="B245" s="60"/>
      <c r="C245" s="60"/>
      <c r="D245" s="60"/>
      <c r="E245" s="61"/>
      <c r="F245" s="61"/>
      <c r="G245" s="59"/>
      <c r="H245" s="62"/>
      <c r="I245" s="60"/>
      <c r="J245" s="62"/>
      <c r="K245" s="63"/>
      <c r="L245" s="60"/>
    </row>
    <row r="246" spans="1:12" x14ac:dyDescent="0.25">
      <c r="A246" s="65"/>
      <c r="B246" s="60"/>
      <c r="C246" s="60"/>
      <c r="D246" s="60"/>
      <c r="E246" s="61"/>
      <c r="F246" s="61"/>
      <c r="G246" s="59"/>
      <c r="H246" s="62"/>
      <c r="I246" s="60"/>
      <c r="J246" s="62"/>
      <c r="K246" s="63"/>
      <c r="L246" s="60"/>
    </row>
    <row r="247" spans="1:12" x14ac:dyDescent="0.25">
      <c r="A247" s="65"/>
      <c r="B247" s="60"/>
      <c r="C247" s="60"/>
      <c r="D247" s="60"/>
      <c r="E247" s="61"/>
      <c r="F247" s="61"/>
      <c r="G247" s="59"/>
      <c r="H247" s="62"/>
      <c r="I247" s="60"/>
      <c r="J247" s="62"/>
      <c r="K247" s="63"/>
      <c r="L247" s="60"/>
    </row>
    <row r="248" spans="1:12" x14ac:dyDescent="0.25">
      <c r="A248" s="65"/>
      <c r="B248" s="60"/>
      <c r="C248" s="60"/>
      <c r="D248" s="60"/>
      <c r="E248" s="61"/>
      <c r="F248" s="61"/>
      <c r="G248" s="59"/>
      <c r="H248" s="62"/>
      <c r="I248" s="60"/>
      <c r="J248" s="62"/>
      <c r="K248" s="63"/>
      <c r="L248" s="60"/>
    </row>
    <row r="249" spans="1:12" x14ac:dyDescent="0.25">
      <c r="A249" s="65"/>
      <c r="B249" s="60"/>
      <c r="C249" s="60"/>
      <c r="D249" s="60"/>
      <c r="E249" s="61"/>
      <c r="F249" s="61"/>
      <c r="G249" s="59"/>
      <c r="H249" s="62"/>
      <c r="I249" s="60"/>
      <c r="J249" s="62"/>
      <c r="K249" s="63"/>
      <c r="L249" s="60"/>
    </row>
    <row r="250" spans="1:12" x14ac:dyDescent="0.25">
      <c r="A250" s="65"/>
      <c r="B250" s="60"/>
      <c r="C250" s="60"/>
      <c r="D250" s="60"/>
      <c r="E250" s="61"/>
      <c r="F250" s="61"/>
      <c r="G250" s="59"/>
      <c r="H250" s="62"/>
      <c r="I250" s="60"/>
      <c r="J250" s="62"/>
      <c r="K250" s="63"/>
      <c r="L250" s="60"/>
    </row>
    <row r="251" spans="1:12" x14ac:dyDescent="0.25">
      <c r="A251" s="65"/>
      <c r="B251" s="60"/>
      <c r="C251" s="60"/>
      <c r="D251" s="60"/>
      <c r="E251" s="61"/>
      <c r="F251" s="61"/>
      <c r="G251" s="59"/>
      <c r="H251" s="62"/>
      <c r="I251" s="60"/>
      <c r="J251" s="62"/>
      <c r="K251" s="63"/>
      <c r="L251" s="60"/>
    </row>
    <row r="252" spans="1:12" x14ac:dyDescent="0.25">
      <c r="A252" s="65"/>
      <c r="B252" s="60"/>
      <c r="C252" s="60"/>
      <c r="D252" s="60"/>
      <c r="E252" s="61"/>
      <c r="F252" s="61"/>
      <c r="G252" s="59"/>
      <c r="H252" s="62"/>
      <c r="I252" s="60"/>
      <c r="J252" s="62"/>
      <c r="K252" s="63"/>
      <c r="L252" s="60"/>
    </row>
    <row r="253" spans="1:12" x14ac:dyDescent="0.25">
      <c r="A253" s="65"/>
      <c r="B253" s="60"/>
      <c r="C253" s="60"/>
      <c r="D253" s="60"/>
      <c r="E253" s="61"/>
      <c r="F253" s="61"/>
      <c r="G253" s="59"/>
      <c r="H253" s="62"/>
      <c r="I253" s="60"/>
      <c r="J253" s="62"/>
      <c r="K253" s="63"/>
      <c r="L253" s="60"/>
    </row>
    <row r="254" spans="1:12" x14ac:dyDescent="0.25">
      <c r="A254" s="65"/>
      <c r="B254" s="60"/>
      <c r="C254" s="60"/>
      <c r="D254" s="60"/>
      <c r="E254" s="61"/>
      <c r="F254" s="61"/>
      <c r="G254" s="59"/>
      <c r="H254" s="62"/>
      <c r="I254" s="60"/>
      <c r="J254" s="62"/>
      <c r="K254" s="63"/>
      <c r="L254" s="60"/>
    </row>
    <row r="255" spans="1:12" x14ac:dyDescent="0.25">
      <c r="A255" s="65"/>
      <c r="B255" s="60"/>
      <c r="C255" s="60"/>
      <c r="D255" s="60"/>
      <c r="E255" s="61"/>
      <c r="F255" s="61"/>
      <c r="G255" s="59"/>
      <c r="H255" s="62"/>
      <c r="I255" s="60"/>
      <c r="J255" s="62"/>
      <c r="K255" s="63"/>
      <c r="L255" s="60"/>
    </row>
    <row r="256" spans="1:12" x14ac:dyDescent="0.25">
      <c r="A256" s="65"/>
      <c r="B256" s="60"/>
      <c r="C256" s="60"/>
      <c r="D256" s="60"/>
      <c r="E256" s="61"/>
      <c r="F256" s="61"/>
      <c r="G256" s="59"/>
      <c r="H256" s="62"/>
      <c r="I256" s="60"/>
      <c r="J256" s="62"/>
      <c r="K256" s="63"/>
      <c r="L256" s="60"/>
    </row>
    <row r="257" spans="1:12" x14ac:dyDescent="0.25">
      <c r="A257" s="65"/>
      <c r="B257" s="60"/>
      <c r="C257" s="60"/>
      <c r="D257" s="60"/>
      <c r="E257" s="61"/>
      <c r="F257" s="61"/>
      <c r="G257" s="59"/>
      <c r="H257" s="62"/>
      <c r="I257" s="60"/>
      <c r="J257" s="62"/>
      <c r="K257" s="63"/>
      <c r="L257" s="60"/>
    </row>
    <row r="258" spans="1:12" x14ac:dyDescent="0.25">
      <c r="A258" s="65"/>
      <c r="B258" s="60"/>
      <c r="C258" s="60"/>
      <c r="D258" s="60"/>
      <c r="E258" s="61"/>
      <c r="F258" s="61"/>
      <c r="G258" s="59"/>
      <c r="H258" s="62"/>
      <c r="I258" s="60"/>
      <c r="J258" s="62"/>
      <c r="K258" s="63"/>
      <c r="L258" s="60"/>
    </row>
    <row r="259" spans="1:12" x14ac:dyDescent="0.25">
      <c r="A259" s="65"/>
      <c r="B259" s="60"/>
      <c r="C259" s="60"/>
      <c r="D259" s="60"/>
      <c r="E259" s="61"/>
      <c r="F259" s="61"/>
      <c r="G259" s="59"/>
      <c r="H259" s="62"/>
      <c r="I259" s="60"/>
      <c r="J259" s="62"/>
      <c r="K259" s="63"/>
      <c r="L259" s="60"/>
    </row>
    <row r="260" spans="1:12" x14ac:dyDescent="0.25">
      <c r="A260" s="65"/>
      <c r="B260" s="60"/>
      <c r="C260" s="60"/>
      <c r="D260" s="60"/>
      <c r="E260" s="61"/>
      <c r="F260" s="61"/>
      <c r="G260" s="59"/>
      <c r="H260" s="62"/>
      <c r="I260" s="60"/>
      <c r="J260" s="62"/>
      <c r="K260" s="63"/>
      <c r="L260" s="60"/>
    </row>
    <row r="261" spans="1:12" x14ac:dyDescent="0.25">
      <c r="A261" s="65"/>
      <c r="B261" s="60"/>
      <c r="C261" s="60"/>
      <c r="D261" s="60"/>
      <c r="E261" s="61"/>
      <c r="F261" s="61"/>
      <c r="G261" s="59"/>
      <c r="H261" s="62"/>
      <c r="I261" s="60"/>
      <c r="J261" s="62"/>
      <c r="K261" s="63"/>
      <c r="L261" s="60"/>
    </row>
    <row r="262" spans="1:12" x14ac:dyDescent="0.25">
      <c r="A262" s="65"/>
      <c r="B262" s="60"/>
      <c r="C262" s="60"/>
      <c r="D262" s="60"/>
      <c r="E262" s="61"/>
      <c r="F262" s="61"/>
      <c r="G262" s="59"/>
      <c r="H262" s="62"/>
      <c r="I262" s="60"/>
      <c r="J262" s="62"/>
      <c r="K262" s="63"/>
      <c r="L262" s="60"/>
    </row>
    <row r="263" spans="1:12" x14ac:dyDescent="0.25">
      <c r="A263" s="65"/>
      <c r="B263" s="60"/>
      <c r="C263" s="60"/>
      <c r="D263" s="60"/>
      <c r="E263" s="61"/>
      <c r="F263" s="61"/>
      <c r="G263" s="59"/>
      <c r="H263" s="62"/>
      <c r="I263" s="60"/>
      <c r="J263" s="62"/>
      <c r="K263" s="63"/>
      <c r="L263" s="60"/>
    </row>
    <row r="264" spans="1:12" x14ac:dyDescent="0.25">
      <c r="A264" s="65"/>
      <c r="B264" s="60"/>
      <c r="C264" s="60"/>
      <c r="D264" s="60"/>
      <c r="E264" s="61"/>
      <c r="F264" s="61"/>
      <c r="G264" s="59"/>
      <c r="H264" s="62"/>
      <c r="I264" s="60"/>
      <c r="J264" s="62"/>
      <c r="K264" s="63"/>
      <c r="L264" s="60"/>
    </row>
    <row r="265" spans="1:12" x14ac:dyDescent="0.25">
      <c r="A265" s="65"/>
      <c r="B265" s="60"/>
      <c r="C265" s="60"/>
      <c r="D265" s="60"/>
      <c r="E265" s="61"/>
      <c r="F265" s="61"/>
      <c r="G265" s="59"/>
      <c r="H265" s="62"/>
      <c r="I265" s="60"/>
      <c r="J265" s="62"/>
      <c r="K265" s="63"/>
      <c r="L265" s="60"/>
    </row>
    <row r="266" spans="1:12" x14ac:dyDescent="0.25">
      <c r="A266" s="65"/>
      <c r="B266" s="60"/>
      <c r="C266" s="60"/>
      <c r="D266" s="60"/>
      <c r="E266" s="61"/>
      <c r="F266" s="61"/>
      <c r="G266" s="59"/>
      <c r="H266" s="62"/>
      <c r="I266" s="60"/>
      <c r="J266" s="62"/>
      <c r="K266" s="63"/>
      <c r="L266" s="60"/>
    </row>
    <row r="267" spans="1:12" x14ac:dyDescent="0.25">
      <c r="A267" s="65"/>
      <c r="B267" s="60"/>
      <c r="C267" s="60"/>
      <c r="D267" s="60"/>
      <c r="E267" s="61"/>
      <c r="F267" s="61"/>
      <c r="G267" s="59"/>
      <c r="H267" s="62"/>
      <c r="I267" s="60"/>
      <c r="J267" s="62"/>
      <c r="K267" s="63"/>
      <c r="L267" s="60"/>
    </row>
    <row r="268" spans="1:12" x14ac:dyDescent="0.25">
      <c r="A268" s="65"/>
      <c r="B268" s="60"/>
      <c r="C268" s="60"/>
      <c r="D268" s="60"/>
      <c r="E268" s="61"/>
      <c r="F268" s="61"/>
      <c r="G268" s="59"/>
      <c r="H268" s="62"/>
      <c r="I268" s="60"/>
      <c r="J268" s="62"/>
      <c r="K268" s="63"/>
      <c r="L268" s="60"/>
    </row>
    <row r="269" spans="1:12" x14ac:dyDescent="0.25">
      <c r="A269" s="65"/>
      <c r="B269" s="60"/>
      <c r="C269" s="60"/>
      <c r="D269" s="60"/>
      <c r="E269" s="61"/>
      <c r="F269" s="61"/>
      <c r="G269" s="59"/>
      <c r="H269" s="62"/>
      <c r="I269" s="60"/>
      <c r="J269" s="62"/>
      <c r="K269" s="63"/>
      <c r="L269" s="60"/>
    </row>
    <row r="270" spans="1:12" x14ac:dyDescent="0.25">
      <c r="A270" s="65"/>
      <c r="B270" s="60"/>
      <c r="C270" s="60"/>
      <c r="D270" s="60"/>
      <c r="E270" s="61"/>
      <c r="F270" s="61"/>
      <c r="G270" s="59"/>
      <c r="H270" s="62"/>
      <c r="I270" s="60"/>
      <c r="J270" s="62"/>
      <c r="K270" s="63"/>
      <c r="L270" s="60"/>
    </row>
    <row r="271" spans="1:12" x14ac:dyDescent="0.25">
      <c r="A271" s="65"/>
      <c r="B271" s="60"/>
      <c r="C271" s="60"/>
      <c r="D271" s="60"/>
      <c r="E271" s="61"/>
      <c r="F271" s="61"/>
      <c r="G271" s="59"/>
      <c r="H271" s="62"/>
      <c r="I271" s="60"/>
      <c r="J271" s="62"/>
      <c r="K271" s="63"/>
      <c r="L271" s="60"/>
    </row>
    <row r="272" spans="1:12" x14ac:dyDescent="0.25">
      <c r="A272" s="65"/>
      <c r="B272" s="60"/>
      <c r="C272" s="60"/>
      <c r="D272" s="60"/>
      <c r="E272" s="61"/>
      <c r="F272" s="61"/>
      <c r="G272" s="59"/>
      <c r="H272" s="62"/>
      <c r="I272" s="60"/>
      <c r="J272" s="62"/>
      <c r="K272" s="63"/>
      <c r="L272" s="60"/>
    </row>
    <row r="273" spans="1:12" x14ac:dyDescent="0.25">
      <c r="A273" s="65"/>
      <c r="B273" s="60"/>
      <c r="C273" s="60"/>
      <c r="D273" s="60"/>
      <c r="E273" s="61"/>
      <c r="F273" s="61"/>
      <c r="G273" s="59"/>
      <c r="H273" s="62"/>
      <c r="I273" s="60"/>
      <c r="J273" s="62"/>
      <c r="K273" s="63"/>
      <c r="L273" s="60"/>
    </row>
    <row r="274" spans="1:12" x14ac:dyDescent="0.25">
      <c r="A274" s="65"/>
      <c r="B274" s="60"/>
      <c r="C274" s="60"/>
      <c r="D274" s="60"/>
      <c r="E274" s="61"/>
      <c r="F274" s="61"/>
      <c r="G274" s="59"/>
      <c r="H274" s="62"/>
      <c r="I274" s="60"/>
      <c r="J274" s="62"/>
      <c r="K274" s="63"/>
      <c r="L274" s="60"/>
    </row>
    <row r="275" spans="1:12" x14ac:dyDescent="0.25">
      <c r="A275" s="65"/>
      <c r="B275" s="60"/>
      <c r="C275" s="60"/>
      <c r="D275" s="60"/>
      <c r="E275" s="61"/>
      <c r="F275" s="61"/>
      <c r="G275" s="59"/>
      <c r="H275" s="62"/>
      <c r="I275" s="60"/>
      <c r="J275" s="62"/>
      <c r="K275" s="63"/>
      <c r="L275" s="60"/>
    </row>
    <row r="276" spans="1:12" x14ac:dyDescent="0.25">
      <c r="A276" s="65"/>
      <c r="B276" s="60"/>
      <c r="C276" s="60"/>
      <c r="D276" s="60"/>
      <c r="E276" s="61"/>
      <c r="F276" s="61"/>
      <c r="G276" s="59"/>
      <c r="H276" s="62"/>
      <c r="I276" s="60"/>
      <c r="J276" s="62"/>
      <c r="K276" s="63"/>
      <c r="L276" s="60"/>
    </row>
    <row r="277" spans="1:12" x14ac:dyDescent="0.25">
      <c r="A277" s="65"/>
      <c r="B277" s="60"/>
      <c r="C277" s="60"/>
      <c r="D277" s="60"/>
      <c r="E277" s="61"/>
      <c r="F277" s="61"/>
      <c r="G277" s="59"/>
      <c r="H277" s="62"/>
      <c r="I277" s="60"/>
      <c r="J277" s="62"/>
      <c r="K277" s="63"/>
      <c r="L277" s="60"/>
    </row>
    <row r="278" spans="1:12" x14ac:dyDescent="0.25">
      <c r="A278" s="65"/>
      <c r="B278" s="60"/>
      <c r="C278" s="60"/>
      <c r="D278" s="60"/>
      <c r="E278" s="61"/>
      <c r="F278" s="61"/>
      <c r="G278" s="59"/>
      <c r="H278" s="62"/>
      <c r="I278" s="60"/>
      <c r="J278" s="62"/>
      <c r="K278" s="63"/>
      <c r="L278" s="60"/>
    </row>
    <row r="279" spans="1:12" x14ac:dyDescent="0.25">
      <c r="A279" s="65"/>
      <c r="B279" s="60"/>
      <c r="C279" s="60"/>
      <c r="D279" s="60"/>
      <c r="E279" s="61"/>
      <c r="F279" s="61"/>
      <c r="G279" s="59"/>
      <c r="H279" s="62"/>
      <c r="I279" s="60"/>
      <c r="J279" s="62"/>
      <c r="K279" s="63"/>
      <c r="L279" s="60"/>
    </row>
    <row r="280" spans="1:12" x14ac:dyDescent="0.25">
      <c r="A280" s="65"/>
      <c r="B280" s="60"/>
      <c r="C280" s="60"/>
      <c r="D280" s="60"/>
      <c r="E280" s="61"/>
      <c r="F280" s="61"/>
      <c r="G280" s="59"/>
      <c r="H280" s="62"/>
      <c r="I280" s="60"/>
      <c r="J280" s="62"/>
      <c r="K280" s="63"/>
      <c r="L280" s="60"/>
    </row>
    <row r="281" spans="1:12" x14ac:dyDescent="0.25">
      <c r="A281" s="65"/>
      <c r="B281" s="60"/>
      <c r="C281" s="60"/>
      <c r="D281" s="60"/>
      <c r="E281" s="61"/>
      <c r="F281" s="61"/>
      <c r="G281" s="59"/>
      <c r="H281" s="62"/>
      <c r="I281" s="60"/>
      <c r="J281" s="62"/>
      <c r="K281" s="63"/>
      <c r="L281" s="60"/>
    </row>
    <row r="282" spans="1:12" x14ac:dyDescent="0.25">
      <c r="A282" s="65"/>
      <c r="B282" s="60"/>
      <c r="C282" s="60"/>
      <c r="D282" s="60"/>
      <c r="E282" s="61"/>
      <c r="F282" s="61"/>
      <c r="G282" s="59"/>
      <c r="H282" s="62"/>
      <c r="I282" s="60"/>
      <c r="J282" s="62"/>
      <c r="K282" s="63"/>
      <c r="L282" s="60"/>
    </row>
    <row r="283" spans="1:12" x14ac:dyDescent="0.25">
      <c r="A283" s="65"/>
      <c r="B283" s="60"/>
      <c r="C283" s="60"/>
      <c r="D283" s="60"/>
      <c r="E283" s="61"/>
      <c r="F283" s="61"/>
      <c r="G283" s="59"/>
      <c r="H283" s="62"/>
      <c r="I283" s="60"/>
      <c r="J283" s="62"/>
      <c r="K283" s="63"/>
      <c r="L283" s="60"/>
    </row>
    <row r="284" spans="1:12" x14ac:dyDescent="0.25">
      <c r="A284" s="65"/>
      <c r="B284" s="60"/>
      <c r="C284" s="60"/>
      <c r="D284" s="60"/>
      <c r="E284" s="61"/>
      <c r="F284" s="61"/>
      <c r="G284" s="59"/>
      <c r="H284" s="62"/>
      <c r="I284" s="60"/>
      <c r="J284" s="62"/>
      <c r="K284" s="63"/>
      <c r="L284" s="60"/>
    </row>
    <row r="285" spans="1:12" x14ac:dyDescent="0.25">
      <c r="A285" s="65"/>
      <c r="B285" s="60"/>
      <c r="C285" s="60"/>
      <c r="D285" s="60"/>
      <c r="E285" s="61"/>
      <c r="F285" s="61"/>
      <c r="G285" s="59"/>
      <c r="H285" s="62"/>
      <c r="I285" s="60"/>
      <c r="J285" s="62"/>
      <c r="K285" s="63"/>
      <c r="L285" s="60"/>
    </row>
    <row r="286" spans="1:12" x14ac:dyDescent="0.25">
      <c r="A286" s="65"/>
      <c r="B286" s="60"/>
      <c r="C286" s="60"/>
      <c r="D286" s="60"/>
      <c r="E286" s="61"/>
      <c r="F286" s="61"/>
      <c r="G286" s="59"/>
      <c r="H286" s="62"/>
      <c r="I286" s="60"/>
      <c r="J286" s="62"/>
      <c r="K286" s="63"/>
      <c r="L286" s="60"/>
    </row>
    <row r="287" spans="1:12" x14ac:dyDescent="0.25">
      <c r="A287" s="65"/>
      <c r="B287" s="60"/>
      <c r="C287" s="60"/>
      <c r="D287" s="60"/>
      <c r="E287" s="61"/>
      <c r="F287" s="61"/>
      <c r="G287" s="59"/>
      <c r="H287" s="62"/>
      <c r="I287" s="60"/>
      <c r="J287" s="62"/>
      <c r="K287" s="63"/>
      <c r="L287" s="60"/>
    </row>
    <row r="288" spans="1:12" x14ac:dyDescent="0.25">
      <c r="A288" s="65"/>
      <c r="B288" s="60"/>
      <c r="C288" s="60"/>
      <c r="D288" s="60"/>
      <c r="E288" s="61"/>
      <c r="F288" s="61"/>
      <c r="G288" s="59"/>
      <c r="H288" s="62"/>
      <c r="I288" s="60"/>
      <c r="J288" s="62"/>
      <c r="K288" s="63"/>
      <c r="L288" s="60"/>
    </row>
    <row r="289" spans="1:12" x14ac:dyDescent="0.25">
      <c r="A289" s="65"/>
      <c r="B289" s="60"/>
      <c r="C289" s="60"/>
      <c r="D289" s="60"/>
      <c r="E289" s="61"/>
      <c r="F289" s="61"/>
      <c r="G289" s="59"/>
      <c r="H289" s="62"/>
      <c r="I289" s="60"/>
      <c r="J289" s="62"/>
      <c r="K289" s="63"/>
      <c r="L289" s="60"/>
    </row>
    <row r="290" spans="1:12" x14ac:dyDescent="0.25">
      <c r="A290" s="65"/>
      <c r="B290" s="60"/>
      <c r="C290" s="60"/>
      <c r="D290" s="60"/>
      <c r="E290" s="61"/>
      <c r="F290" s="61"/>
      <c r="G290" s="59"/>
      <c r="H290" s="62"/>
      <c r="I290" s="60"/>
      <c r="J290" s="62"/>
      <c r="K290" s="63"/>
      <c r="L290" s="60"/>
    </row>
    <row r="291" spans="1:12" x14ac:dyDescent="0.25">
      <c r="A291" s="65"/>
      <c r="B291" s="60"/>
      <c r="C291" s="60"/>
      <c r="D291" s="60"/>
      <c r="E291" s="61"/>
      <c r="F291" s="61"/>
      <c r="G291" s="59"/>
      <c r="H291" s="62"/>
      <c r="I291" s="60"/>
      <c r="J291" s="62"/>
      <c r="K291" s="63"/>
      <c r="L291" s="60"/>
    </row>
    <row r="292" spans="1:12" x14ac:dyDescent="0.25">
      <c r="A292" s="65"/>
      <c r="B292" s="60"/>
      <c r="C292" s="60"/>
      <c r="D292" s="60"/>
      <c r="E292" s="61"/>
      <c r="F292" s="61"/>
      <c r="G292" s="59"/>
      <c r="H292" s="62"/>
      <c r="I292" s="60"/>
      <c r="J292" s="62"/>
      <c r="K292" s="63"/>
      <c r="L292" s="60"/>
    </row>
    <row r="293" spans="1:12" x14ac:dyDescent="0.25">
      <c r="A293" s="65"/>
      <c r="B293" s="60"/>
      <c r="C293" s="60"/>
      <c r="D293" s="60"/>
      <c r="E293" s="61"/>
      <c r="F293" s="61"/>
      <c r="G293" s="59"/>
      <c r="H293" s="62"/>
      <c r="I293" s="60"/>
      <c r="J293" s="62"/>
      <c r="K293" s="63"/>
      <c r="L293" s="60"/>
    </row>
    <row r="294" spans="1:12" x14ac:dyDescent="0.25">
      <c r="A294" s="65"/>
      <c r="B294" s="60"/>
      <c r="C294" s="60"/>
      <c r="D294" s="60"/>
      <c r="E294" s="61"/>
      <c r="F294" s="61"/>
      <c r="G294" s="59"/>
      <c r="H294" s="62"/>
      <c r="I294" s="60"/>
      <c r="J294" s="62"/>
      <c r="K294" s="63"/>
      <c r="L294" s="60"/>
    </row>
    <row r="295" spans="1:12" x14ac:dyDescent="0.25">
      <c r="A295" s="65"/>
      <c r="B295" s="60"/>
      <c r="C295" s="60"/>
      <c r="D295" s="60"/>
      <c r="E295" s="61"/>
      <c r="F295" s="61"/>
      <c r="G295" s="59"/>
      <c r="H295" s="62"/>
      <c r="I295" s="60"/>
      <c r="J295" s="62"/>
      <c r="K295" s="63"/>
      <c r="L295" s="60"/>
    </row>
    <row r="296" spans="1:12" x14ac:dyDescent="0.25">
      <c r="A296" s="65"/>
      <c r="B296" s="60"/>
      <c r="C296" s="60"/>
      <c r="D296" s="60"/>
      <c r="E296" s="61"/>
      <c r="F296" s="61"/>
      <c r="G296" s="59"/>
      <c r="H296" s="62"/>
      <c r="I296" s="60"/>
      <c r="J296" s="62"/>
      <c r="K296" s="63"/>
      <c r="L296" s="60"/>
    </row>
    <row r="297" spans="1:12" x14ac:dyDescent="0.25">
      <c r="A297" s="65"/>
      <c r="B297" s="60"/>
      <c r="C297" s="60"/>
      <c r="D297" s="60"/>
      <c r="E297" s="61"/>
      <c r="F297" s="61"/>
      <c r="G297" s="59"/>
      <c r="H297" s="62"/>
      <c r="I297" s="60"/>
      <c r="J297" s="62"/>
      <c r="K297" s="63"/>
      <c r="L297" s="60"/>
    </row>
    <row r="298" spans="1:12" x14ac:dyDescent="0.25">
      <c r="A298" s="65"/>
      <c r="B298" s="60"/>
      <c r="C298" s="60"/>
      <c r="D298" s="60"/>
      <c r="E298" s="61"/>
      <c r="F298" s="61"/>
      <c r="G298" s="59"/>
      <c r="H298" s="62"/>
      <c r="I298" s="60"/>
      <c r="J298" s="62"/>
      <c r="K298" s="63"/>
      <c r="L298" s="60"/>
    </row>
    <row r="299" spans="1:12" x14ac:dyDescent="0.25">
      <c r="A299" s="65"/>
      <c r="B299" s="60"/>
      <c r="C299" s="60"/>
      <c r="D299" s="60"/>
      <c r="E299" s="61"/>
      <c r="F299" s="61"/>
      <c r="G299" s="59"/>
      <c r="H299" s="62"/>
      <c r="I299" s="60"/>
      <c r="J299" s="62"/>
      <c r="K299" s="63"/>
      <c r="L299" s="60"/>
    </row>
    <row r="300" spans="1:12" x14ac:dyDescent="0.25">
      <c r="A300" s="65"/>
      <c r="B300" s="60"/>
      <c r="C300" s="60"/>
      <c r="D300" s="60"/>
      <c r="E300" s="61"/>
      <c r="F300" s="61"/>
      <c r="G300" s="59"/>
      <c r="H300" s="62"/>
      <c r="I300" s="60"/>
      <c r="J300" s="62"/>
      <c r="K300" s="63"/>
      <c r="L300" s="60"/>
    </row>
    <row r="301" spans="1:12" x14ac:dyDescent="0.25">
      <c r="A301" s="65"/>
      <c r="B301" s="60"/>
      <c r="C301" s="60"/>
      <c r="D301" s="60"/>
      <c r="E301" s="61"/>
      <c r="F301" s="61"/>
      <c r="G301" s="59"/>
      <c r="H301" s="62"/>
      <c r="I301" s="60"/>
      <c r="J301" s="62"/>
      <c r="K301" s="63"/>
      <c r="L301" s="60"/>
    </row>
    <row r="302" spans="1:12" x14ac:dyDescent="0.25">
      <c r="A302" s="65"/>
      <c r="B302" s="60"/>
      <c r="C302" s="60"/>
      <c r="D302" s="60"/>
      <c r="E302" s="61"/>
      <c r="F302" s="61"/>
      <c r="G302" s="59"/>
      <c r="H302" s="62"/>
      <c r="I302" s="60"/>
      <c r="J302" s="62"/>
      <c r="K302" s="63"/>
      <c r="L302" s="60"/>
    </row>
    <row r="303" spans="1:12" x14ac:dyDescent="0.25">
      <c r="A303" s="65"/>
      <c r="B303" s="60"/>
      <c r="C303" s="60"/>
      <c r="D303" s="60"/>
      <c r="E303" s="61"/>
      <c r="F303" s="61"/>
      <c r="G303" s="59"/>
      <c r="H303" s="62"/>
      <c r="I303" s="60"/>
      <c r="J303" s="62"/>
      <c r="K303" s="63"/>
      <c r="L303" s="60"/>
    </row>
    <row r="304" spans="1:12" x14ac:dyDescent="0.25">
      <c r="A304" s="65"/>
      <c r="B304" s="60"/>
      <c r="C304" s="60"/>
      <c r="D304" s="60"/>
      <c r="E304" s="61"/>
      <c r="F304" s="61"/>
      <c r="G304" s="59"/>
      <c r="H304" s="62"/>
      <c r="I304" s="60"/>
      <c r="J304" s="62"/>
      <c r="K304" s="63"/>
      <c r="L304" s="60"/>
    </row>
    <row r="305" spans="1:12" x14ac:dyDescent="0.25">
      <c r="A305" s="65"/>
      <c r="B305" s="60"/>
      <c r="C305" s="60"/>
      <c r="D305" s="60"/>
      <c r="E305" s="61"/>
      <c r="F305" s="61"/>
      <c r="G305" s="59"/>
      <c r="H305" s="62"/>
      <c r="I305" s="60"/>
      <c r="J305" s="62"/>
      <c r="K305" s="63"/>
      <c r="L305" s="60"/>
    </row>
    <row r="306" spans="1:12" x14ac:dyDescent="0.25">
      <c r="A306" s="65"/>
      <c r="B306" s="60"/>
      <c r="C306" s="60"/>
      <c r="D306" s="60"/>
      <c r="E306" s="61"/>
      <c r="F306" s="61"/>
      <c r="G306" s="59"/>
      <c r="H306" s="62"/>
      <c r="I306" s="60"/>
      <c r="J306" s="62"/>
      <c r="K306" s="63"/>
      <c r="L306" s="60"/>
    </row>
    <row r="307" spans="1:12" x14ac:dyDescent="0.25">
      <c r="A307" s="65"/>
      <c r="B307" s="60"/>
      <c r="C307" s="60"/>
      <c r="D307" s="60"/>
      <c r="E307" s="61"/>
      <c r="F307" s="61"/>
      <c r="G307" s="59"/>
      <c r="H307" s="62"/>
      <c r="I307" s="60"/>
      <c r="J307" s="62"/>
      <c r="K307" s="63"/>
      <c r="L307" s="60"/>
    </row>
    <row r="308" spans="1:12" x14ac:dyDescent="0.25">
      <c r="A308" s="65"/>
      <c r="B308" s="60"/>
      <c r="C308" s="60"/>
      <c r="D308" s="60"/>
      <c r="E308" s="61"/>
      <c r="F308" s="61"/>
      <c r="G308" s="59"/>
      <c r="H308" s="62"/>
      <c r="I308" s="60"/>
      <c r="J308" s="62"/>
      <c r="K308" s="63"/>
      <c r="L308" s="60"/>
    </row>
    <row r="309" spans="1:12" x14ac:dyDescent="0.25">
      <c r="A309" s="65"/>
      <c r="B309" s="60"/>
      <c r="C309" s="60"/>
      <c r="D309" s="60"/>
      <c r="E309" s="61"/>
      <c r="F309" s="61"/>
      <c r="G309" s="59"/>
      <c r="H309" s="62"/>
      <c r="I309" s="60"/>
      <c r="J309" s="62"/>
      <c r="K309" s="63"/>
      <c r="L309" s="60"/>
    </row>
    <row r="310" spans="1:12" x14ac:dyDescent="0.25">
      <c r="A310" s="65"/>
      <c r="B310" s="60"/>
      <c r="C310" s="60"/>
      <c r="D310" s="60"/>
      <c r="E310" s="61"/>
      <c r="F310" s="61"/>
      <c r="G310" s="59"/>
      <c r="H310" s="62"/>
      <c r="I310" s="60"/>
      <c r="J310" s="62"/>
      <c r="K310" s="63"/>
      <c r="L310" s="60"/>
    </row>
    <row r="311" spans="1:12" x14ac:dyDescent="0.25">
      <c r="A311" s="65"/>
      <c r="B311" s="60"/>
      <c r="C311" s="60"/>
      <c r="D311" s="60"/>
      <c r="E311" s="61"/>
      <c r="F311" s="61"/>
      <c r="G311" s="59"/>
      <c r="H311" s="62"/>
      <c r="I311" s="60"/>
      <c r="J311" s="62"/>
      <c r="K311" s="63"/>
      <c r="L311" s="60"/>
    </row>
    <row r="312" spans="1:12" x14ac:dyDescent="0.25">
      <c r="A312" s="65"/>
      <c r="B312" s="60"/>
      <c r="C312" s="60"/>
      <c r="D312" s="60"/>
      <c r="E312" s="61"/>
      <c r="F312" s="61"/>
      <c r="G312" s="59"/>
      <c r="H312" s="62"/>
      <c r="I312" s="60"/>
      <c r="J312" s="62"/>
      <c r="K312" s="63"/>
      <c r="L312" s="60"/>
    </row>
    <row r="313" spans="1:12" x14ac:dyDescent="0.25">
      <c r="A313" s="65"/>
      <c r="B313" s="60"/>
      <c r="C313" s="60"/>
      <c r="D313" s="60"/>
      <c r="E313" s="61"/>
      <c r="F313" s="61"/>
      <c r="G313" s="59"/>
      <c r="H313" s="62"/>
      <c r="I313" s="60"/>
      <c r="J313" s="62"/>
      <c r="K313" s="63"/>
      <c r="L313" s="60"/>
    </row>
    <row r="314" spans="1:12" x14ac:dyDescent="0.25">
      <c r="A314" s="65"/>
      <c r="B314" s="60"/>
      <c r="C314" s="60"/>
      <c r="D314" s="60"/>
      <c r="E314" s="61"/>
      <c r="F314" s="61"/>
      <c r="G314" s="59"/>
      <c r="H314" s="62"/>
      <c r="I314" s="60"/>
      <c r="J314" s="62"/>
      <c r="K314" s="63"/>
      <c r="L314" s="60"/>
    </row>
    <row r="315" spans="1:12" x14ac:dyDescent="0.25">
      <c r="A315" s="65"/>
      <c r="B315" s="60"/>
      <c r="C315" s="60"/>
      <c r="D315" s="60"/>
      <c r="E315" s="61"/>
      <c r="F315" s="61"/>
      <c r="G315" s="59"/>
      <c r="H315" s="62"/>
      <c r="I315" s="60"/>
      <c r="J315" s="62"/>
      <c r="K315" s="63"/>
      <c r="L315" s="60"/>
    </row>
    <row r="316" spans="1:12" x14ac:dyDescent="0.25">
      <c r="A316" s="65"/>
      <c r="B316" s="60"/>
      <c r="C316" s="60"/>
      <c r="D316" s="60"/>
      <c r="E316" s="61"/>
      <c r="F316" s="61"/>
      <c r="G316" s="59"/>
      <c r="H316" s="62"/>
      <c r="I316" s="60"/>
      <c r="J316" s="62"/>
      <c r="K316" s="63"/>
      <c r="L316" s="60"/>
    </row>
    <row r="317" spans="1:12" x14ac:dyDescent="0.25">
      <c r="A317" s="65"/>
      <c r="B317" s="60"/>
      <c r="C317" s="60"/>
      <c r="D317" s="60"/>
      <c r="E317" s="61"/>
      <c r="F317" s="61"/>
      <c r="G317" s="59"/>
      <c r="H317" s="62"/>
      <c r="I317" s="60"/>
      <c r="J317" s="62"/>
      <c r="K317" s="63"/>
      <c r="L317" s="60"/>
    </row>
    <row r="318" spans="1:12" x14ac:dyDescent="0.25">
      <c r="A318" s="65"/>
      <c r="B318" s="60"/>
      <c r="C318" s="60"/>
      <c r="D318" s="60"/>
      <c r="E318" s="61"/>
      <c r="F318" s="61"/>
      <c r="G318" s="59"/>
      <c r="H318" s="62"/>
      <c r="I318" s="60"/>
      <c r="J318" s="62"/>
      <c r="K318" s="63"/>
      <c r="L318" s="60"/>
    </row>
    <row r="319" spans="1:12" x14ac:dyDescent="0.25">
      <c r="A319" s="65"/>
      <c r="B319" s="60"/>
      <c r="C319" s="60"/>
      <c r="D319" s="60"/>
      <c r="E319" s="61"/>
      <c r="F319" s="61"/>
      <c r="G319" s="59"/>
      <c r="H319" s="62"/>
      <c r="I319" s="60"/>
      <c r="J319" s="62"/>
      <c r="K319" s="63"/>
      <c r="L319" s="60"/>
    </row>
    <row r="320" spans="1:12" x14ac:dyDescent="0.25">
      <c r="A320" s="65"/>
      <c r="B320" s="60"/>
      <c r="C320" s="60"/>
      <c r="D320" s="60"/>
      <c r="E320" s="61"/>
      <c r="F320" s="61"/>
      <c r="G320" s="59"/>
      <c r="H320" s="62"/>
      <c r="I320" s="60"/>
      <c r="J320" s="62"/>
      <c r="K320" s="63"/>
      <c r="L320" s="60"/>
    </row>
    <row r="321" spans="1:12" x14ac:dyDescent="0.25">
      <c r="A321" s="65"/>
      <c r="B321" s="60"/>
      <c r="C321" s="60"/>
      <c r="D321" s="60"/>
      <c r="E321" s="61"/>
      <c r="F321" s="61"/>
      <c r="G321" s="59"/>
      <c r="H321" s="62"/>
      <c r="I321" s="60"/>
      <c r="J321" s="62"/>
      <c r="K321" s="63"/>
      <c r="L321" s="60"/>
    </row>
    <row r="322" spans="1:12" x14ac:dyDescent="0.25">
      <c r="A322" s="65"/>
      <c r="B322" s="60"/>
      <c r="C322" s="60"/>
      <c r="D322" s="60"/>
      <c r="E322" s="61"/>
      <c r="F322" s="61"/>
      <c r="G322" s="59"/>
      <c r="H322" s="62"/>
      <c r="I322" s="60"/>
      <c r="J322" s="62"/>
      <c r="K322" s="63"/>
      <c r="L322" s="60"/>
    </row>
    <row r="323" spans="1:12" x14ac:dyDescent="0.25">
      <c r="A323" s="65"/>
      <c r="B323" s="60"/>
      <c r="C323" s="60"/>
      <c r="D323" s="60"/>
      <c r="E323" s="61"/>
      <c r="F323" s="61"/>
      <c r="G323" s="59"/>
      <c r="H323" s="62"/>
      <c r="I323" s="60"/>
      <c r="J323" s="62"/>
      <c r="K323" s="63"/>
      <c r="L323" s="60"/>
    </row>
    <row r="324" spans="1:12" x14ac:dyDescent="0.25">
      <c r="A324" s="65"/>
      <c r="B324" s="60"/>
      <c r="C324" s="60"/>
      <c r="D324" s="60"/>
      <c r="E324" s="61"/>
      <c r="F324" s="61"/>
      <c r="G324" s="59"/>
      <c r="H324" s="62"/>
      <c r="I324" s="60"/>
      <c r="J324" s="62"/>
      <c r="K324" s="63"/>
      <c r="L324" s="60"/>
    </row>
    <row r="325" spans="1:12" x14ac:dyDescent="0.25">
      <c r="A325" s="65"/>
      <c r="B325" s="60"/>
      <c r="C325" s="60"/>
      <c r="D325" s="60"/>
      <c r="E325" s="61"/>
      <c r="F325" s="61"/>
      <c r="G325" s="59"/>
      <c r="H325" s="62"/>
      <c r="I325" s="60"/>
      <c r="J325" s="62"/>
      <c r="K325" s="63"/>
      <c r="L325" s="60"/>
    </row>
    <row r="326" spans="1:12" x14ac:dyDescent="0.25">
      <c r="A326" s="65"/>
      <c r="B326" s="60"/>
      <c r="C326" s="60"/>
      <c r="D326" s="60"/>
      <c r="E326" s="61"/>
      <c r="F326" s="61"/>
      <c r="G326" s="59"/>
      <c r="H326" s="62"/>
      <c r="I326" s="60"/>
      <c r="J326" s="62"/>
      <c r="K326" s="63"/>
      <c r="L326" s="60"/>
    </row>
    <row r="327" spans="1:12" x14ac:dyDescent="0.25">
      <c r="A327" s="65"/>
      <c r="B327" s="60"/>
      <c r="C327" s="60"/>
      <c r="D327" s="60"/>
      <c r="E327" s="61"/>
      <c r="F327" s="61"/>
      <c r="G327" s="59"/>
      <c r="H327" s="62"/>
      <c r="I327" s="60"/>
      <c r="J327" s="62"/>
      <c r="K327" s="63"/>
      <c r="L327" s="60"/>
    </row>
    <row r="328" spans="1:12" x14ac:dyDescent="0.25">
      <c r="A328" s="65"/>
      <c r="B328" s="60"/>
      <c r="C328" s="60"/>
      <c r="D328" s="60"/>
      <c r="E328" s="61"/>
      <c r="F328" s="61"/>
      <c r="G328" s="59"/>
      <c r="H328" s="62"/>
      <c r="I328" s="60"/>
      <c r="J328" s="62"/>
      <c r="K328" s="63"/>
      <c r="L328" s="60"/>
    </row>
    <row r="329" spans="1:12" x14ac:dyDescent="0.25">
      <c r="A329" s="65"/>
      <c r="B329" s="60"/>
      <c r="C329" s="60"/>
      <c r="D329" s="60"/>
      <c r="E329" s="61"/>
      <c r="F329" s="61"/>
      <c r="G329" s="59"/>
      <c r="H329" s="62"/>
      <c r="I329" s="60"/>
      <c r="J329" s="62"/>
      <c r="K329" s="63"/>
      <c r="L329" s="60"/>
    </row>
    <row r="330" spans="1:12" x14ac:dyDescent="0.25">
      <c r="A330" s="65"/>
      <c r="B330" s="60"/>
      <c r="C330" s="60"/>
      <c r="D330" s="60"/>
      <c r="E330" s="61"/>
      <c r="F330" s="61"/>
      <c r="G330" s="59"/>
      <c r="H330" s="62"/>
      <c r="I330" s="60"/>
      <c r="J330" s="62"/>
      <c r="K330" s="63"/>
      <c r="L330" s="60"/>
    </row>
    <row r="331" spans="1:12" x14ac:dyDescent="0.25">
      <c r="A331" s="65"/>
      <c r="B331" s="60"/>
      <c r="C331" s="60"/>
      <c r="D331" s="60"/>
      <c r="E331" s="61"/>
      <c r="F331" s="61"/>
      <c r="G331" s="59"/>
      <c r="H331" s="62"/>
      <c r="I331" s="60"/>
      <c r="J331" s="62"/>
      <c r="K331" s="63"/>
      <c r="L331" s="60"/>
    </row>
    <row r="332" spans="1:12" x14ac:dyDescent="0.25">
      <c r="A332" s="65"/>
      <c r="B332" s="60"/>
      <c r="C332" s="60"/>
      <c r="D332" s="60"/>
      <c r="E332" s="61"/>
      <c r="F332" s="61"/>
      <c r="G332" s="59"/>
      <c r="H332" s="62"/>
      <c r="I332" s="60"/>
      <c r="J332" s="62"/>
      <c r="K332" s="63"/>
      <c r="L332" s="60"/>
    </row>
    <row r="333" spans="1:12" x14ac:dyDescent="0.25">
      <c r="A333" s="65"/>
      <c r="B333" s="60"/>
      <c r="C333" s="60"/>
      <c r="D333" s="60"/>
      <c r="E333" s="61"/>
      <c r="F333" s="61"/>
      <c r="G333" s="59"/>
      <c r="H333" s="62"/>
      <c r="I333" s="60"/>
      <c r="J333" s="62"/>
      <c r="K333" s="63"/>
      <c r="L333" s="60"/>
    </row>
    <row r="334" spans="1:12" x14ac:dyDescent="0.25">
      <c r="A334" s="65"/>
      <c r="B334" s="60"/>
      <c r="C334" s="60"/>
      <c r="D334" s="60"/>
      <c r="E334" s="61"/>
      <c r="F334" s="61"/>
      <c r="G334" s="59"/>
      <c r="H334" s="62"/>
      <c r="I334" s="60"/>
      <c r="J334" s="62"/>
      <c r="K334" s="63"/>
      <c r="L334" s="60"/>
    </row>
    <row r="335" spans="1:12" x14ac:dyDescent="0.25">
      <c r="A335" s="65"/>
      <c r="B335" s="60"/>
      <c r="C335" s="60"/>
      <c r="D335" s="60"/>
      <c r="E335" s="61"/>
      <c r="F335" s="61"/>
      <c r="G335" s="59"/>
      <c r="H335" s="62"/>
      <c r="I335" s="60"/>
      <c r="J335" s="62"/>
      <c r="K335" s="63"/>
      <c r="L335" s="60"/>
    </row>
    <row r="336" spans="1:12" x14ac:dyDescent="0.25">
      <c r="A336" s="65"/>
      <c r="B336" s="60"/>
      <c r="C336" s="60"/>
      <c r="D336" s="60"/>
      <c r="E336" s="61"/>
      <c r="F336" s="61"/>
      <c r="G336" s="59"/>
      <c r="H336" s="62"/>
      <c r="I336" s="60"/>
      <c r="J336" s="62"/>
      <c r="K336" s="63"/>
      <c r="L336" s="60"/>
    </row>
    <row r="337" spans="1:12" x14ac:dyDescent="0.25">
      <c r="A337" s="65"/>
      <c r="B337" s="60"/>
      <c r="C337" s="60"/>
      <c r="D337" s="60"/>
      <c r="E337" s="61"/>
      <c r="F337" s="61"/>
      <c r="G337" s="59"/>
      <c r="H337" s="62"/>
      <c r="I337" s="60"/>
      <c r="J337" s="62"/>
      <c r="K337" s="63"/>
      <c r="L337" s="60"/>
    </row>
    <row r="338" spans="1:12" x14ac:dyDescent="0.25">
      <c r="A338" s="65"/>
      <c r="B338" s="60"/>
      <c r="C338" s="60"/>
      <c r="D338" s="60"/>
      <c r="E338" s="61"/>
      <c r="F338" s="61"/>
      <c r="G338" s="59"/>
      <c r="H338" s="62"/>
      <c r="I338" s="60"/>
      <c r="J338" s="62"/>
      <c r="K338" s="63"/>
      <c r="L338" s="60"/>
    </row>
    <row r="339" spans="1:12" x14ac:dyDescent="0.25">
      <c r="A339" s="65"/>
      <c r="B339" s="60"/>
      <c r="C339" s="60"/>
      <c r="D339" s="60"/>
      <c r="E339" s="61"/>
      <c r="F339" s="61"/>
      <c r="G339" s="59"/>
      <c r="H339" s="62"/>
      <c r="I339" s="60"/>
      <c r="J339" s="62"/>
      <c r="K339" s="63"/>
      <c r="L339" s="60"/>
    </row>
    <row r="340" spans="1:12" x14ac:dyDescent="0.25">
      <c r="A340" s="65"/>
      <c r="B340" s="60"/>
      <c r="C340" s="60"/>
      <c r="D340" s="60"/>
      <c r="E340" s="61"/>
      <c r="F340" s="61"/>
      <c r="G340" s="59"/>
      <c r="H340" s="62"/>
      <c r="I340" s="60"/>
      <c r="J340" s="62"/>
      <c r="K340" s="63"/>
      <c r="L340" s="60"/>
    </row>
    <row r="341" spans="1:12" x14ac:dyDescent="0.25">
      <c r="A341" s="65"/>
      <c r="B341" s="60"/>
      <c r="C341" s="60"/>
      <c r="D341" s="60"/>
      <c r="E341" s="61"/>
      <c r="F341" s="61"/>
      <c r="G341" s="59"/>
      <c r="H341" s="62"/>
      <c r="I341" s="60"/>
      <c r="J341" s="62"/>
      <c r="K341" s="63"/>
      <c r="L341" s="60"/>
    </row>
    <row r="342" spans="1:12" x14ac:dyDescent="0.25">
      <c r="A342" s="65"/>
      <c r="B342" s="60"/>
      <c r="C342" s="60"/>
      <c r="D342" s="60"/>
      <c r="E342" s="61"/>
      <c r="F342" s="61"/>
      <c r="G342" s="59"/>
      <c r="H342" s="62"/>
      <c r="I342" s="60"/>
      <c r="J342" s="62"/>
      <c r="K342" s="63"/>
      <c r="L342" s="60"/>
    </row>
    <row r="343" spans="1:12" x14ac:dyDescent="0.25">
      <c r="A343" s="65"/>
      <c r="B343" s="60"/>
      <c r="C343" s="60"/>
      <c r="D343" s="60"/>
      <c r="E343" s="61"/>
      <c r="F343" s="61"/>
      <c r="G343" s="59"/>
      <c r="H343" s="62"/>
      <c r="I343" s="60"/>
      <c r="J343" s="62"/>
      <c r="K343" s="63"/>
      <c r="L343" s="60"/>
    </row>
    <row r="344" spans="1:12" x14ac:dyDescent="0.25">
      <c r="A344" s="65"/>
      <c r="B344" s="60"/>
      <c r="C344" s="60"/>
      <c r="D344" s="60"/>
      <c r="E344" s="61"/>
      <c r="F344" s="61"/>
      <c r="G344" s="59"/>
      <c r="H344" s="62"/>
      <c r="I344" s="60"/>
      <c r="J344" s="62"/>
      <c r="K344" s="63"/>
      <c r="L344" s="60"/>
    </row>
    <row r="345" spans="1:12" x14ac:dyDescent="0.25">
      <c r="A345" s="65"/>
      <c r="B345" s="60"/>
      <c r="C345" s="60"/>
      <c r="D345" s="60"/>
      <c r="E345" s="61"/>
      <c r="F345" s="61"/>
      <c r="G345" s="59"/>
      <c r="H345" s="62"/>
      <c r="I345" s="60"/>
      <c r="J345" s="62"/>
      <c r="K345" s="63"/>
      <c r="L345" s="60"/>
    </row>
    <row r="346" spans="1:12" x14ac:dyDescent="0.25">
      <c r="A346" s="65"/>
      <c r="B346" s="60"/>
      <c r="C346" s="60"/>
      <c r="D346" s="60"/>
      <c r="E346" s="61"/>
      <c r="F346" s="61"/>
      <c r="G346" s="59"/>
      <c r="H346" s="62"/>
      <c r="I346" s="60"/>
      <c r="J346" s="62"/>
      <c r="K346" s="63"/>
      <c r="L346" s="60"/>
    </row>
    <row r="347" spans="1:12" x14ac:dyDescent="0.25">
      <c r="A347" s="65"/>
      <c r="B347" s="60"/>
      <c r="C347" s="60"/>
      <c r="D347" s="60"/>
      <c r="E347" s="61"/>
      <c r="F347" s="61"/>
      <c r="G347" s="59"/>
      <c r="H347" s="62"/>
      <c r="I347" s="60"/>
      <c r="J347" s="62"/>
      <c r="K347" s="63"/>
      <c r="L347" s="60"/>
    </row>
    <row r="348" spans="1:12" x14ac:dyDescent="0.25">
      <c r="A348" s="65"/>
      <c r="B348" s="60"/>
      <c r="C348" s="60"/>
      <c r="D348" s="60"/>
      <c r="E348" s="61"/>
      <c r="F348" s="61"/>
      <c r="G348" s="59"/>
      <c r="H348" s="62"/>
      <c r="I348" s="60"/>
      <c r="J348" s="62"/>
      <c r="K348" s="63"/>
      <c r="L348" s="60"/>
    </row>
    <row r="349" spans="1:12" x14ac:dyDescent="0.25">
      <c r="A349" s="65"/>
      <c r="B349" s="60"/>
      <c r="C349" s="60"/>
      <c r="D349" s="60"/>
      <c r="E349" s="61"/>
      <c r="F349" s="61"/>
      <c r="G349" s="59"/>
      <c r="H349" s="62"/>
      <c r="I349" s="60"/>
      <c r="J349" s="62"/>
      <c r="K349" s="63"/>
      <c r="L349" s="60"/>
    </row>
    <row r="350" spans="1:12" x14ac:dyDescent="0.25">
      <c r="A350" s="65"/>
      <c r="B350" s="60"/>
      <c r="C350" s="60"/>
      <c r="D350" s="60"/>
      <c r="E350" s="61"/>
      <c r="F350" s="61"/>
      <c r="G350" s="59"/>
      <c r="H350" s="62"/>
      <c r="I350" s="60"/>
      <c r="J350" s="62"/>
      <c r="K350" s="63"/>
      <c r="L350" s="60"/>
    </row>
    <row r="351" spans="1:12" x14ac:dyDescent="0.25">
      <c r="A351" s="65"/>
      <c r="B351" s="60"/>
      <c r="C351" s="60"/>
      <c r="D351" s="60"/>
      <c r="E351" s="61"/>
      <c r="F351" s="61"/>
      <c r="G351" s="59"/>
      <c r="H351" s="62"/>
      <c r="I351" s="60"/>
      <c r="J351" s="62"/>
      <c r="K351" s="63"/>
      <c r="L351" s="60"/>
    </row>
    <row r="352" spans="1:12" x14ac:dyDescent="0.25">
      <c r="A352" s="65"/>
      <c r="B352" s="60"/>
      <c r="C352" s="60"/>
      <c r="D352" s="60"/>
      <c r="E352" s="61"/>
      <c r="F352" s="61"/>
      <c r="G352" s="59"/>
      <c r="H352" s="62"/>
      <c r="I352" s="60"/>
      <c r="J352" s="62"/>
      <c r="K352" s="63"/>
      <c r="L352" s="60"/>
    </row>
    <row r="353" spans="1:12" x14ac:dyDescent="0.25">
      <c r="A353" s="65"/>
      <c r="B353" s="60"/>
      <c r="C353" s="60"/>
      <c r="D353" s="60"/>
      <c r="E353" s="61"/>
      <c r="F353" s="61"/>
      <c r="G353" s="59"/>
      <c r="H353" s="62"/>
      <c r="I353" s="60"/>
      <c r="J353" s="62"/>
      <c r="K353" s="63"/>
      <c r="L353" s="60"/>
    </row>
    <row r="354" spans="1:12" x14ac:dyDescent="0.25">
      <c r="A354" s="65"/>
      <c r="B354" s="60"/>
      <c r="C354" s="60"/>
      <c r="D354" s="60"/>
      <c r="E354" s="61"/>
      <c r="F354" s="61"/>
      <c r="G354" s="59"/>
      <c r="H354" s="62"/>
      <c r="I354" s="60"/>
      <c r="J354" s="62"/>
      <c r="K354" s="63"/>
      <c r="L354" s="60"/>
    </row>
    <row r="355" spans="1:12" x14ac:dyDescent="0.25">
      <c r="A355" s="65"/>
      <c r="B355" s="60"/>
      <c r="C355" s="60"/>
      <c r="D355" s="60"/>
      <c r="E355" s="61"/>
      <c r="F355" s="61"/>
      <c r="G355" s="59"/>
      <c r="H355" s="62"/>
      <c r="I355" s="60"/>
      <c r="J355" s="62"/>
      <c r="K355" s="63"/>
      <c r="L355" s="60"/>
    </row>
    <row r="356" spans="1:12" x14ac:dyDescent="0.25">
      <c r="A356" s="65"/>
      <c r="B356" s="60"/>
      <c r="C356" s="60"/>
      <c r="D356" s="60"/>
      <c r="E356" s="61"/>
      <c r="F356" s="61"/>
      <c r="G356" s="59"/>
      <c r="H356" s="62"/>
      <c r="I356" s="60"/>
      <c r="J356" s="62"/>
      <c r="K356" s="63"/>
      <c r="L356" s="60"/>
    </row>
    <row r="357" spans="1:12" x14ac:dyDescent="0.25">
      <c r="A357" s="65"/>
      <c r="B357" s="60"/>
      <c r="C357" s="60"/>
      <c r="D357" s="60"/>
      <c r="E357" s="61"/>
      <c r="F357" s="61"/>
      <c r="G357" s="59"/>
      <c r="H357" s="62"/>
      <c r="I357" s="60"/>
      <c r="J357" s="62"/>
      <c r="K357" s="63"/>
      <c r="L357" s="60"/>
    </row>
    <row r="358" spans="1:12" x14ac:dyDescent="0.25">
      <c r="A358" s="65"/>
      <c r="B358" s="60"/>
      <c r="C358" s="60"/>
      <c r="D358" s="60"/>
      <c r="E358" s="61"/>
      <c r="F358" s="61"/>
      <c r="G358" s="59"/>
      <c r="H358" s="62"/>
      <c r="I358" s="60"/>
      <c r="J358" s="62"/>
      <c r="K358" s="63"/>
      <c r="L358" s="60"/>
    </row>
    <row r="359" spans="1:12" x14ac:dyDescent="0.25">
      <c r="A359" s="65"/>
      <c r="B359" s="60"/>
      <c r="C359" s="60"/>
      <c r="D359" s="60"/>
      <c r="E359" s="61"/>
      <c r="F359" s="61"/>
      <c r="G359" s="59"/>
      <c r="H359" s="62"/>
      <c r="I359" s="60"/>
      <c r="J359" s="62"/>
      <c r="K359" s="63"/>
      <c r="L359" s="60"/>
    </row>
    <row r="360" spans="1:12" x14ac:dyDescent="0.25">
      <c r="A360" s="65"/>
      <c r="B360" s="60"/>
      <c r="C360" s="60"/>
      <c r="D360" s="60"/>
      <c r="E360" s="61"/>
      <c r="F360" s="61"/>
      <c r="G360" s="59"/>
      <c r="H360" s="62"/>
      <c r="I360" s="60"/>
      <c r="J360" s="62"/>
      <c r="K360" s="63"/>
      <c r="L360" s="60"/>
    </row>
    <row r="361" spans="1:12" x14ac:dyDescent="0.25">
      <c r="A361" s="65"/>
      <c r="B361" s="60"/>
      <c r="C361" s="60"/>
      <c r="D361" s="60"/>
      <c r="E361" s="61"/>
      <c r="F361" s="61"/>
      <c r="G361" s="59"/>
      <c r="H361" s="62"/>
      <c r="I361" s="60"/>
      <c r="J361" s="62"/>
      <c r="K361" s="63"/>
      <c r="L361" s="60"/>
    </row>
    <row r="362" spans="1:12" x14ac:dyDescent="0.25">
      <c r="A362" s="65"/>
      <c r="B362" s="60"/>
      <c r="C362" s="60"/>
      <c r="D362" s="60"/>
      <c r="E362" s="61"/>
      <c r="F362" s="61"/>
      <c r="G362" s="59"/>
      <c r="H362" s="62"/>
      <c r="I362" s="60"/>
      <c r="J362" s="62"/>
      <c r="K362" s="63"/>
      <c r="L362" s="60"/>
    </row>
    <row r="363" spans="1:12" x14ac:dyDescent="0.25">
      <c r="A363" s="65"/>
      <c r="B363" s="60"/>
      <c r="C363" s="60"/>
      <c r="D363" s="60"/>
      <c r="E363" s="61"/>
      <c r="F363" s="61"/>
      <c r="G363" s="59"/>
      <c r="H363" s="62"/>
      <c r="I363" s="60"/>
      <c r="J363" s="62"/>
      <c r="K363" s="63"/>
      <c r="L363" s="60"/>
    </row>
    <row r="364" spans="1:12" x14ac:dyDescent="0.25">
      <c r="A364" s="65"/>
      <c r="B364" s="60"/>
      <c r="C364" s="60"/>
      <c r="D364" s="60"/>
      <c r="E364" s="61"/>
      <c r="F364" s="61"/>
      <c r="G364" s="59"/>
      <c r="H364" s="62"/>
      <c r="I364" s="60"/>
      <c r="J364" s="62"/>
      <c r="K364" s="63"/>
      <c r="L364" s="60"/>
    </row>
    <row r="365" spans="1:12" x14ac:dyDescent="0.25">
      <c r="A365" s="65"/>
      <c r="B365" s="60"/>
      <c r="C365" s="60"/>
      <c r="D365" s="60"/>
      <c r="E365" s="61"/>
      <c r="F365" s="61"/>
      <c r="G365" s="59"/>
      <c r="H365" s="62"/>
      <c r="I365" s="60"/>
      <c r="J365" s="62"/>
      <c r="K365" s="63"/>
      <c r="L365" s="60"/>
    </row>
    <row r="366" spans="1:12" x14ac:dyDescent="0.25">
      <c r="A366" s="65"/>
      <c r="B366" s="60"/>
      <c r="C366" s="60"/>
      <c r="D366" s="60"/>
      <c r="E366" s="61"/>
      <c r="F366" s="61"/>
      <c r="G366" s="59"/>
      <c r="H366" s="62"/>
      <c r="I366" s="60"/>
      <c r="J366" s="62"/>
      <c r="K366" s="63"/>
      <c r="L366" s="60"/>
    </row>
    <row r="367" spans="1:12" x14ac:dyDescent="0.25">
      <c r="A367" s="65"/>
      <c r="B367" s="60"/>
      <c r="C367" s="60"/>
      <c r="D367" s="60"/>
      <c r="E367" s="61"/>
      <c r="F367" s="61"/>
      <c r="G367" s="59"/>
      <c r="H367" s="62"/>
      <c r="I367" s="60"/>
      <c r="J367" s="62"/>
      <c r="K367" s="63"/>
      <c r="L367" s="60"/>
    </row>
    <row r="368" spans="1:12" x14ac:dyDescent="0.25">
      <c r="A368" s="65"/>
      <c r="B368" s="60"/>
      <c r="C368" s="60"/>
      <c r="D368" s="60"/>
      <c r="E368" s="61"/>
      <c r="F368" s="61"/>
      <c r="G368" s="59"/>
      <c r="H368" s="62"/>
      <c r="I368" s="60"/>
      <c r="J368" s="62"/>
      <c r="K368" s="63"/>
      <c r="L368" s="60"/>
    </row>
    <row r="369" spans="1:12" x14ac:dyDescent="0.25">
      <c r="A369" s="65"/>
      <c r="B369" s="60"/>
      <c r="C369" s="60"/>
      <c r="D369" s="60"/>
      <c r="E369" s="61"/>
      <c r="F369" s="61"/>
      <c r="G369" s="59"/>
      <c r="H369" s="62"/>
      <c r="I369" s="60"/>
      <c r="J369" s="62"/>
      <c r="K369" s="63"/>
      <c r="L369" s="60"/>
    </row>
    <row r="370" spans="1:12" x14ac:dyDescent="0.25">
      <c r="A370" s="65"/>
      <c r="B370" s="60"/>
      <c r="C370" s="60"/>
      <c r="D370" s="60"/>
      <c r="E370" s="61"/>
      <c r="F370" s="61"/>
      <c r="G370" s="59"/>
      <c r="H370" s="62"/>
      <c r="I370" s="60"/>
      <c r="J370" s="62"/>
      <c r="K370" s="63"/>
      <c r="L370" s="60"/>
    </row>
    <row r="371" spans="1:12" x14ac:dyDescent="0.25">
      <c r="A371" s="65"/>
      <c r="B371" s="60"/>
      <c r="C371" s="60"/>
      <c r="D371" s="60"/>
      <c r="E371" s="61"/>
      <c r="F371" s="61"/>
      <c r="G371" s="59"/>
      <c r="H371" s="62"/>
      <c r="I371" s="60"/>
      <c r="J371" s="62"/>
      <c r="K371" s="63"/>
      <c r="L371" s="60"/>
    </row>
    <row r="372" spans="1:12" x14ac:dyDescent="0.25">
      <c r="A372" s="65"/>
      <c r="B372" s="60"/>
      <c r="C372" s="60"/>
      <c r="D372" s="60"/>
      <c r="E372" s="61"/>
      <c r="F372" s="61"/>
      <c r="G372" s="59"/>
      <c r="H372" s="62"/>
      <c r="I372" s="60"/>
      <c r="J372" s="62"/>
      <c r="K372" s="63"/>
      <c r="L372" s="60"/>
    </row>
    <row r="373" spans="1:12" x14ac:dyDescent="0.25">
      <c r="A373" s="65"/>
      <c r="B373" s="60"/>
      <c r="C373" s="60"/>
      <c r="D373" s="60"/>
      <c r="E373" s="61"/>
      <c r="F373" s="61"/>
      <c r="G373" s="59"/>
      <c r="H373" s="62"/>
      <c r="I373" s="60"/>
      <c r="J373" s="62"/>
      <c r="K373" s="63"/>
      <c r="L373" s="60"/>
    </row>
    <row r="374" spans="1:12" x14ac:dyDescent="0.25">
      <c r="A374" s="65"/>
      <c r="B374" s="60"/>
      <c r="C374" s="60"/>
      <c r="D374" s="60"/>
      <c r="E374" s="61"/>
      <c r="F374" s="61"/>
      <c r="G374" s="59"/>
      <c r="H374" s="62"/>
      <c r="I374" s="60"/>
      <c r="J374" s="62"/>
      <c r="K374" s="63"/>
      <c r="L374" s="60"/>
    </row>
    <row r="375" spans="1:12" x14ac:dyDescent="0.25">
      <c r="A375" s="65"/>
      <c r="B375" s="60"/>
      <c r="C375" s="60"/>
      <c r="D375" s="60"/>
      <c r="E375" s="61"/>
      <c r="F375" s="61"/>
      <c r="G375" s="59"/>
      <c r="H375" s="62"/>
      <c r="I375" s="60"/>
      <c r="J375" s="62"/>
      <c r="K375" s="63"/>
      <c r="L375" s="60"/>
    </row>
    <row r="376" spans="1:12" x14ac:dyDescent="0.25">
      <c r="A376" s="65"/>
      <c r="B376" s="60"/>
      <c r="C376" s="60"/>
      <c r="D376" s="60"/>
      <c r="E376" s="61"/>
      <c r="F376" s="61"/>
      <c r="G376" s="59"/>
      <c r="H376" s="62"/>
      <c r="I376" s="60"/>
      <c r="J376" s="62"/>
      <c r="K376" s="63"/>
      <c r="L376" s="60"/>
    </row>
    <row r="377" spans="1:12" x14ac:dyDescent="0.25">
      <c r="A377" s="65"/>
      <c r="B377" s="60"/>
      <c r="C377" s="60"/>
      <c r="D377" s="60"/>
      <c r="E377" s="61"/>
      <c r="F377" s="61"/>
      <c r="G377" s="59"/>
      <c r="H377" s="62"/>
      <c r="I377" s="60"/>
      <c r="J377" s="62"/>
      <c r="K377" s="63"/>
      <c r="L377" s="60"/>
    </row>
    <row r="378" spans="1:12" x14ac:dyDescent="0.25">
      <c r="A378" s="65"/>
      <c r="B378" s="60"/>
      <c r="C378" s="60"/>
      <c r="D378" s="60"/>
      <c r="E378" s="61"/>
      <c r="F378" s="61"/>
      <c r="G378" s="59"/>
      <c r="H378" s="62"/>
      <c r="I378" s="60"/>
      <c r="J378" s="62"/>
      <c r="K378" s="63"/>
      <c r="L378" s="60"/>
    </row>
    <row r="379" spans="1:12" x14ac:dyDescent="0.25">
      <c r="A379" s="65"/>
      <c r="B379" s="60"/>
      <c r="C379" s="60"/>
      <c r="D379" s="60"/>
      <c r="E379" s="61"/>
      <c r="F379" s="61"/>
      <c r="G379" s="59"/>
      <c r="H379" s="62"/>
      <c r="I379" s="60"/>
      <c r="J379" s="62"/>
      <c r="K379" s="63"/>
      <c r="L379" s="60"/>
    </row>
    <row r="380" spans="1:12" x14ac:dyDescent="0.25">
      <c r="A380" s="65"/>
      <c r="B380" s="60"/>
      <c r="C380" s="60"/>
      <c r="D380" s="60"/>
      <c r="E380" s="61"/>
      <c r="F380" s="61"/>
      <c r="G380" s="59"/>
      <c r="H380" s="62"/>
      <c r="I380" s="60"/>
      <c r="J380" s="62"/>
      <c r="K380" s="63"/>
      <c r="L380" s="60"/>
    </row>
    <row r="381" spans="1:12" x14ac:dyDescent="0.25">
      <c r="A381" s="65"/>
      <c r="B381" s="60"/>
      <c r="C381" s="60"/>
      <c r="D381" s="60"/>
      <c r="E381" s="61"/>
      <c r="F381" s="61"/>
      <c r="G381" s="59"/>
      <c r="H381" s="62"/>
      <c r="I381" s="60"/>
      <c r="J381" s="62"/>
      <c r="K381" s="63"/>
      <c r="L381" s="60"/>
    </row>
    <row r="382" spans="1:12" x14ac:dyDescent="0.25">
      <c r="A382" s="65"/>
      <c r="B382" s="60"/>
      <c r="C382" s="60"/>
      <c r="D382" s="60"/>
      <c r="E382" s="61"/>
      <c r="F382" s="61"/>
      <c r="G382" s="59"/>
      <c r="H382" s="62"/>
      <c r="I382" s="60"/>
      <c r="J382" s="62"/>
      <c r="K382" s="63"/>
      <c r="L382" s="60"/>
    </row>
    <row r="383" spans="1:12" x14ac:dyDescent="0.25">
      <c r="A383" s="65"/>
      <c r="B383" s="60"/>
      <c r="C383" s="60"/>
      <c r="D383" s="60"/>
      <c r="E383" s="61"/>
      <c r="F383" s="61"/>
      <c r="G383" s="59"/>
      <c r="H383" s="62"/>
      <c r="I383" s="60"/>
      <c r="J383" s="62"/>
      <c r="K383" s="63"/>
      <c r="L383" s="60"/>
    </row>
    <row r="384" spans="1:12" x14ac:dyDescent="0.25">
      <c r="A384" s="65"/>
      <c r="B384" s="60"/>
      <c r="C384" s="60"/>
      <c r="D384" s="60"/>
      <c r="E384" s="61"/>
      <c r="F384" s="61"/>
      <c r="G384" s="59"/>
      <c r="H384" s="62"/>
      <c r="I384" s="60"/>
      <c r="J384" s="62"/>
      <c r="K384" s="63"/>
      <c r="L384" s="60"/>
    </row>
    <row r="385" spans="1:12" x14ac:dyDescent="0.25">
      <c r="A385" s="65"/>
      <c r="B385" s="60"/>
      <c r="C385" s="60"/>
      <c r="D385" s="60"/>
      <c r="E385" s="61"/>
      <c r="F385" s="61"/>
      <c r="G385" s="59"/>
      <c r="H385" s="62"/>
      <c r="I385" s="60"/>
      <c r="J385" s="62"/>
      <c r="K385" s="63"/>
      <c r="L385" s="60"/>
    </row>
    <row r="386" spans="1:12" x14ac:dyDescent="0.25">
      <c r="A386" s="65"/>
      <c r="B386" s="60"/>
      <c r="C386" s="60"/>
      <c r="D386" s="60"/>
      <c r="E386" s="61"/>
      <c r="F386" s="61"/>
      <c r="G386" s="59"/>
      <c r="H386" s="62"/>
      <c r="I386" s="60"/>
      <c r="J386" s="62"/>
      <c r="K386" s="63"/>
      <c r="L386" s="60"/>
    </row>
    <row r="387" spans="1:12" x14ac:dyDescent="0.25">
      <c r="A387" s="65"/>
      <c r="B387" s="60"/>
      <c r="C387" s="60"/>
      <c r="D387" s="60"/>
      <c r="E387" s="61"/>
      <c r="F387" s="61"/>
      <c r="G387" s="59"/>
      <c r="H387" s="62"/>
      <c r="I387" s="60"/>
      <c r="J387" s="62"/>
      <c r="K387" s="63"/>
      <c r="L387" s="60"/>
    </row>
    <row r="388" spans="1:12" x14ac:dyDescent="0.25">
      <c r="A388" s="65"/>
      <c r="B388" s="60"/>
      <c r="C388" s="60"/>
      <c r="D388" s="60"/>
      <c r="E388" s="61"/>
      <c r="F388" s="61"/>
      <c r="G388" s="59"/>
      <c r="H388" s="62"/>
      <c r="I388" s="60"/>
      <c r="J388" s="62"/>
      <c r="K388" s="63"/>
      <c r="L388" s="60"/>
    </row>
    <row r="389" spans="1:12" x14ac:dyDescent="0.25">
      <c r="A389" s="65"/>
      <c r="B389" s="60"/>
      <c r="C389" s="60"/>
      <c r="D389" s="60"/>
      <c r="E389" s="61"/>
      <c r="F389" s="61"/>
      <c r="G389" s="59"/>
      <c r="H389" s="62"/>
      <c r="I389" s="60"/>
      <c r="J389" s="62"/>
      <c r="K389" s="63"/>
      <c r="L389" s="60"/>
    </row>
    <row r="390" spans="1:12" x14ac:dyDescent="0.25">
      <c r="A390" s="65"/>
      <c r="B390" s="60"/>
      <c r="C390" s="60"/>
      <c r="D390" s="60"/>
      <c r="E390" s="61"/>
      <c r="F390" s="61"/>
      <c r="G390" s="59"/>
      <c r="H390" s="62"/>
      <c r="I390" s="60"/>
      <c r="J390" s="62"/>
      <c r="K390" s="63"/>
      <c r="L390" s="60"/>
    </row>
    <row r="391" spans="1:12" x14ac:dyDescent="0.25">
      <c r="A391" s="65"/>
      <c r="B391" s="60"/>
      <c r="C391" s="60"/>
      <c r="D391" s="60"/>
      <c r="E391" s="61"/>
      <c r="F391" s="61"/>
      <c r="G391" s="59"/>
      <c r="H391" s="62"/>
      <c r="I391" s="60"/>
      <c r="J391" s="62"/>
      <c r="K391" s="63"/>
      <c r="L391" s="60"/>
    </row>
    <row r="392" spans="1:12" x14ac:dyDescent="0.25">
      <c r="A392" s="65"/>
      <c r="B392" s="60"/>
      <c r="C392" s="60"/>
      <c r="D392" s="60"/>
      <c r="E392" s="61"/>
      <c r="F392" s="61"/>
      <c r="G392" s="59"/>
      <c r="H392" s="62"/>
      <c r="I392" s="60"/>
      <c r="J392" s="62"/>
      <c r="K392" s="63"/>
      <c r="L392" s="60"/>
    </row>
    <row r="393" spans="1:12" x14ac:dyDescent="0.25">
      <c r="A393" s="65"/>
      <c r="B393" s="60"/>
      <c r="C393" s="60"/>
      <c r="D393" s="60"/>
      <c r="E393" s="61"/>
      <c r="F393" s="61"/>
      <c r="G393" s="59"/>
      <c r="H393" s="62"/>
      <c r="I393" s="60"/>
      <c r="J393" s="62"/>
      <c r="K393" s="63"/>
      <c r="L393" s="60"/>
    </row>
    <row r="394" spans="1:12" x14ac:dyDescent="0.25">
      <c r="A394" s="65"/>
      <c r="B394" s="60"/>
      <c r="C394" s="60"/>
      <c r="D394" s="60"/>
      <c r="E394" s="61"/>
      <c r="F394" s="61"/>
      <c r="G394" s="59"/>
      <c r="H394" s="62"/>
      <c r="I394" s="60"/>
      <c r="J394" s="62"/>
      <c r="K394" s="63"/>
      <c r="L394" s="60"/>
    </row>
    <row r="395" spans="1:12" x14ac:dyDescent="0.25">
      <c r="A395" s="65"/>
      <c r="B395" s="60"/>
      <c r="C395" s="60"/>
      <c r="D395" s="60"/>
      <c r="E395" s="61"/>
      <c r="F395" s="61"/>
      <c r="G395" s="59"/>
      <c r="H395" s="62"/>
      <c r="I395" s="60"/>
      <c r="J395" s="62"/>
      <c r="K395" s="63"/>
      <c r="L395" s="60"/>
    </row>
    <row r="396" spans="1:12" x14ac:dyDescent="0.25">
      <c r="A396" s="65"/>
      <c r="B396" s="60"/>
      <c r="C396" s="60"/>
      <c r="D396" s="60"/>
      <c r="E396" s="61"/>
      <c r="F396" s="61"/>
      <c r="G396" s="59"/>
      <c r="H396" s="62"/>
      <c r="I396" s="60"/>
      <c r="J396" s="62"/>
      <c r="K396" s="63"/>
      <c r="L396" s="60"/>
    </row>
    <row r="397" spans="1:12" x14ac:dyDescent="0.25">
      <c r="A397" s="65"/>
      <c r="B397" s="60"/>
      <c r="C397" s="60"/>
      <c r="D397" s="60"/>
      <c r="E397" s="61"/>
      <c r="F397" s="61"/>
      <c r="G397" s="59"/>
      <c r="H397" s="62"/>
      <c r="I397" s="60"/>
      <c r="J397" s="62"/>
      <c r="K397" s="63"/>
      <c r="L397" s="60"/>
    </row>
    <row r="398" spans="1:12" x14ac:dyDescent="0.25">
      <c r="A398" s="65"/>
      <c r="B398" s="60"/>
      <c r="C398" s="60"/>
      <c r="D398" s="60"/>
      <c r="E398" s="61"/>
      <c r="F398" s="61"/>
      <c r="G398" s="59"/>
      <c r="H398" s="62"/>
      <c r="I398" s="60"/>
      <c r="J398" s="62"/>
      <c r="K398" s="63"/>
      <c r="L398" s="60"/>
    </row>
    <row r="399" spans="1:12" x14ac:dyDescent="0.25">
      <c r="A399" s="65"/>
      <c r="B399" s="60"/>
      <c r="C399" s="60"/>
      <c r="D399" s="60"/>
      <c r="E399" s="61"/>
      <c r="F399" s="61"/>
      <c r="G399" s="59"/>
      <c r="H399" s="62"/>
      <c r="I399" s="60"/>
      <c r="J399" s="62"/>
      <c r="K399" s="63"/>
      <c r="L399" s="60"/>
    </row>
    <row r="400" spans="1:12" x14ac:dyDescent="0.25">
      <c r="A400" s="65"/>
      <c r="B400" s="60"/>
      <c r="C400" s="60"/>
      <c r="D400" s="60"/>
      <c r="E400" s="61"/>
      <c r="F400" s="61"/>
      <c r="G400" s="59"/>
      <c r="H400" s="62"/>
      <c r="I400" s="60"/>
      <c r="J400" s="62"/>
      <c r="K400" s="63"/>
      <c r="L400" s="60"/>
    </row>
    <row r="401" spans="1:12" x14ac:dyDescent="0.25">
      <c r="A401" s="65"/>
      <c r="B401" s="60"/>
      <c r="C401" s="60"/>
      <c r="D401" s="60"/>
      <c r="E401" s="61"/>
      <c r="F401" s="61"/>
      <c r="G401" s="59"/>
      <c r="H401" s="62"/>
      <c r="I401" s="60"/>
      <c r="J401" s="62"/>
      <c r="K401" s="63"/>
      <c r="L401" s="60"/>
    </row>
    <row r="402" spans="1:12" x14ac:dyDescent="0.25">
      <c r="A402" s="65"/>
      <c r="B402" s="60"/>
      <c r="C402" s="60"/>
      <c r="D402" s="60"/>
      <c r="E402" s="61"/>
      <c r="F402" s="61"/>
      <c r="G402" s="59"/>
      <c r="H402" s="62"/>
      <c r="I402" s="60"/>
      <c r="J402" s="62"/>
      <c r="K402" s="63"/>
      <c r="L402" s="60"/>
    </row>
    <row r="403" spans="1:12" x14ac:dyDescent="0.25">
      <c r="A403" s="65"/>
      <c r="B403" s="60"/>
      <c r="C403" s="60"/>
      <c r="D403" s="60"/>
      <c r="E403" s="61"/>
      <c r="F403" s="61"/>
      <c r="G403" s="59"/>
      <c r="H403" s="62"/>
      <c r="I403" s="60"/>
      <c r="J403" s="62"/>
      <c r="K403" s="63"/>
      <c r="L403" s="60"/>
    </row>
    <row r="404" spans="1:12" x14ac:dyDescent="0.25">
      <c r="A404" s="65"/>
      <c r="B404" s="60"/>
      <c r="C404" s="60"/>
      <c r="D404" s="60"/>
      <c r="E404" s="61"/>
      <c r="F404" s="61"/>
      <c r="G404" s="59"/>
      <c r="H404" s="62"/>
      <c r="I404" s="60"/>
      <c r="J404" s="62"/>
      <c r="K404" s="63"/>
      <c r="L404" s="60"/>
    </row>
    <row r="405" spans="1:12" x14ac:dyDescent="0.25">
      <c r="A405" s="65"/>
      <c r="B405" s="60"/>
      <c r="C405" s="60"/>
      <c r="D405" s="60"/>
      <c r="E405" s="61"/>
      <c r="F405" s="61"/>
      <c r="G405" s="59"/>
      <c r="H405" s="62"/>
      <c r="I405" s="60"/>
      <c r="J405" s="62"/>
      <c r="K405" s="63"/>
      <c r="L405" s="60"/>
    </row>
    <row r="406" spans="1:12" x14ac:dyDescent="0.25">
      <c r="A406" s="65"/>
      <c r="B406" s="60"/>
      <c r="C406" s="60"/>
      <c r="D406" s="60"/>
      <c r="E406" s="61"/>
      <c r="F406" s="61"/>
      <c r="G406" s="59"/>
      <c r="H406" s="62"/>
      <c r="I406" s="60"/>
      <c r="J406" s="62"/>
      <c r="K406" s="63"/>
      <c r="L406" s="60"/>
    </row>
    <row r="407" spans="1:12" x14ac:dyDescent="0.25">
      <c r="A407" s="65"/>
      <c r="B407" s="60"/>
      <c r="C407" s="60"/>
      <c r="D407" s="60"/>
      <c r="E407" s="61"/>
      <c r="F407" s="61"/>
      <c r="G407" s="59"/>
      <c r="H407" s="62"/>
      <c r="I407" s="60"/>
      <c r="J407" s="62"/>
      <c r="K407" s="63"/>
      <c r="L407" s="60"/>
    </row>
    <row r="408" spans="1:12" x14ac:dyDescent="0.25">
      <c r="A408" s="65"/>
      <c r="B408" s="60"/>
      <c r="C408" s="60"/>
      <c r="D408" s="60"/>
      <c r="E408" s="61"/>
      <c r="F408" s="61"/>
      <c r="G408" s="59"/>
      <c r="H408" s="62"/>
      <c r="I408" s="60"/>
      <c r="J408" s="62"/>
      <c r="K408" s="63"/>
      <c r="L408" s="60"/>
    </row>
    <row r="409" spans="1:12" x14ac:dyDescent="0.25">
      <c r="A409" s="65"/>
      <c r="B409" s="60"/>
      <c r="C409" s="60"/>
      <c r="D409" s="60"/>
      <c r="E409" s="61"/>
      <c r="F409" s="61"/>
      <c r="G409" s="59"/>
      <c r="H409" s="62"/>
      <c r="I409" s="60"/>
      <c r="J409" s="62"/>
      <c r="K409" s="63"/>
      <c r="L409" s="60"/>
    </row>
    <row r="410" spans="1:12" x14ac:dyDescent="0.25">
      <c r="A410" s="65"/>
      <c r="B410" s="60"/>
      <c r="C410" s="60"/>
      <c r="D410" s="60"/>
      <c r="E410" s="61"/>
      <c r="F410" s="61"/>
      <c r="G410" s="59"/>
      <c r="H410" s="62"/>
      <c r="I410" s="60"/>
      <c r="J410" s="62"/>
      <c r="K410" s="63"/>
      <c r="L410" s="60"/>
    </row>
    <row r="411" spans="1:12" x14ac:dyDescent="0.25">
      <c r="A411" s="65"/>
      <c r="B411" s="60"/>
      <c r="C411" s="60"/>
      <c r="D411" s="60"/>
      <c r="E411" s="61"/>
      <c r="F411" s="61"/>
      <c r="G411" s="59"/>
      <c r="H411" s="62"/>
      <c r="I411" s="60"/>
      <c r="J411" s="62"/>
      <c r="K411" s="63"/>
      <c r="L411" s="60"/>
    </row>
    <row r="412" spans="1:12" x14ac:dyDescent="0.25">
      <c r="A412" s="65"/>
      <c r="B412" s="60"/>
      <c r="C412" s="60"/>
      <c r="D412" s="60"/>
      <c r="E412" s="61"/>
      <c r="F412" s="61"/>
      <c r="G412" s="59"/>
      <c r="H412" s="62"/>
      <c r="I412" s="60"/>
      <c r="J412" s="62"/>
      <c r="K412" s="63"/>
      <c r="L412" s="60"/>
    </row>
    <row r="413" spans="1:12" x14ac:dyDescent="0.25">
      <c r="A413" s="65"/>
      <c r="B413" s="60"/>
      <c r="C413" s="60"/>
      <c r="D413" s="60"/>
      <c r="E413" s="61"/>
      <c r="F413" s="61"/>
      <c r="G413" s="59"/>
      <c r="H413" s="62"/>
      <c r="I413" s="60"/>
      <c r="J413" s="62"/>
      <c r="K413" s="63"/>
      <c r="L413" s="60"/>
    </row>
    <row r="414" spans="1:12" x14ac:dyDescent="0.25">
      <c r="A414" s="65"/>
      <c r="B414" s="60"/>
      <c r="C414" s="60"/>
      <c r="D414" s="60"/>
      <c r="E414" s="61"/>
      <c r="F414" s="61"/>
      <c r="G414" s="59"/>
      <c r="H414" s="62"/>
      <c r="I414" s="60"/>
      <c r="J414" s="62"/>
      <c r="K414" s="63"/>
      <c r="L414" s="60"/>
    </row>
    <row r="415" spans="1:12" x14ac:dyDescent="0.25">
      <c r="A415" s="65"/>
      <c r="B415" s="60"/>
      <c r="C415" s="60"/>
      <c r="D415" s="60"/>
      <c r="E415" s="61"/>
      <c r="F415" s="61"/>
      <c r="G415" s="59"/>
      <c r="H415" s="62"/>
      <c r="I415" s="60"/>
      <c r="J415" s="62"/>
      <c r="K415" s="63"/>
      <c r="L415" s="60"/>
    </row>
    <row r="416" spans="1:12" x14ac:dyDescent="0.25">
      <c r="A416" s="65"/>
      <c r="B416" s="60"/>
      <c r="C416" s="60"/>
      <c r="D416" s="60"/>
      <c r="E416" s="61"/>
      <c r="F416" s="61"/>
      <c r="G416" s="59"/>
      <c r="H416" s="62"/>
      <c r="I416" s="60"/>
      <c r="J416" s="62"/>
      <c r="K416" s="63"/>
      <c r="L416" s="60"/>
    </row>
    <row r="417" spans="1:12" x14ac:dyDescent="0.25">
      <c r="A417" s="65"/>
      <c r="B417" s="60"/>
      <c r="C417" s="60"/>
      <c r="D417" s="60"/>
      <c r="E417" s="61"/>
      <c r="F417" s="61"/>
      <c r="G417" s="59"/>
      <c r="H417" s="62"/>
      <c r="I417" s="60"/>
      <c r="J417" s="62"/>
      <c r="K417" s="63"/>
      <c r="L417" s="60"/>
    </row>
    <row r="418" spans="1:12" x14ac:dyDescent="0.25">
      <c r="A418" s="65"/>
      <c r="B418" s="60"/>
      <c r="C418" s="60"/>
      <c r="D418" s="60"/>
      <c r="E418" s="61"/>
      <c r="F418" s="61"/>
      <c r="G418" s="59"/>
      <c r="H418" s="62"/>
      <c r="I418" s="60"/>
      <c r="J418" s="62"/>
      <c r="K418" s="63"/>
      <c r="L418" s="60"/>
    </row>
    <row r="419" spans="1:12" x14ac:dyDescent="0.25">
      <c r="A419" s="65"/>
      <c r="B419" s="60"/>
      <c r="C419" s="60"/>
      <c r="D419" s="60"/>
      <c r="E419" s="61"/>
      <c r="F419" s="61"/>
      <c r="G419" s="59"/>
      <c r="H419" s="62"/>
      <c r="I419" s="60"/>
      <c r="J419" s="62"/>
      <c r="K419" s="63"/>
      <c r="L419" s="60"/>
    </row>
    <row r="420" spans="1:12" x14ac:dyDescent="0.25">
      <c r="A420" s="65"/>
      <c r="B420" s="60"/>
      <c r="C420" s="60"/>
      <c r="D420" s="60"/>
      <c r="E420" s="61"/>
      <c r="F420" s="61"/>
      <c r="G420" s="59"/>
      <c r="H420" s="62"/>
      <c r="I420" s="60"/>
      <c r="J420" s="62"/>
      <c r="K420" s="63"/>
      <c r="L420" s="60"/>
    </row>
    <row r="421" spans="1:12" x14ac:dyDescent="0.25">
      <c r="A421" s="65"/>
      <c r="B421" s="60"/>
      <c r="C421" s="60"/>
      <c r="D421" s="60"/>
      <c r="E421" s="61"/>
      <c r="F421" s="61"/>
      <c r="G421" s="59"/>
      <c r="H421" s="62"/>
      <c r="I421" s="60"/>
      <c r="J421" s="62"/>
      <c r="K421" s="63"/>
      <c r="L421" s="60"/>
    </row>
    <row r="422" spans="1:12" x14ac:dyDescent="0.25">
      <c r="A422" s="65"/>
      <c r="B422" s="60"/>
      <c r="C422" s="60"/>
      <c r="D422" s="60"/>
      <c r="E422" s="61"/>
      <c r="F422" s="61"/>
      <c r="G422" s="59"/>
      <c r="H422" s="62"/>
      <c r="I422" s="60"/>
      <c r="J422" s="62"/>
      <c r="K422" s="63"/>
      <c r="L422" s="60"/>
    </row>
    <row r="423" spans="1:12" x14ac:dyDescent="0.25">
      <c r="A423" s="65"/>
      <c r="B423" s="60"/>
      <c r="C423" s="60"/>
      <c r="D423" s="60"/>
      <c r="E423" s="61"/>
      <c r="F423" s="61"/>
      <c r="G423" s="59"/>
      <c r="H423" s="62"/>
      <c r="I423" s="60"/>
      <c r="J423" s="62"/>
      <c r="K423" s="63"/>
      <c r="L423" s="60"/>
    </row>
    <row r="424" spans="1:12" x14ac:dyDescent="0.25">
      <c r="A424" s="65"/>
      <c r="B424" s="60"/>
      <c r="C424" s="60"/>
      <c r="D424" s="60"/>
      <c r="E424" s="61"/>
      <c r="F424" s="61"/>
      <c r="G424" s="59"/>
      <c r="H424" s="62"/>
      <c r="I424" s="60"/>
      <c r="J424" s="62"/>
      <c r="K424" s="63"/>
      <c r="L424" s="60"/>
    </row>
    <row r="425" spans="1:12" x14ac:dyDescent="0.25">
      <c r="A425" s="65"/>
      <c r="B425" s="60"/>
      <c r="C425" s="60"/>
      <c r="D425" s="60"/>
      <c r="E425" s="61"/>
      <c r="F425" s="61"/>
      <c r="G425" s="59"/>
      <c r="H425" s="62"/>
      <c r="I425" s="60"/>
      <c r="J425" s="62"/>
      <c r="K425" s="63"/>
      <c r="L425" s="60"/>
    </row>
    <row r="426" spans="1:12" x14ac:dyDescent="0.25">
      <c r="A426" s="65"/>
      <c r="B426" s="60"/>
      <c r="C426" s="60"/>
      <c r="D426" s="60"/>
      <c r="E426" s="61"/>
      <c r="F426" s="61"/>
      <c r="G426" s="59"/>
      <c r="H426" s="62"/>
      <c r="I426" s="60"/>
      <c r="J426" s="62"/>
      <c r="K426" s="63"/>
      <c r="L426" s="60"/>
    </row>
    <row r="427" spans="1:12" x14ac:dyDescent="0.25">
      <c r="A427" s="65"/>
      <c r="B427" s="60"/>
      <c r="C427" s="60"/>
      <c r="D427" s="60"/>
      <c r="E427" s="61"/>
      <c r="F427" s="61"/>
      <c r="G427" s="59"/>
      <c r="H427" s="62"/>
      <c r="I427" s="60"/>
      <c r="J427" s="62"/>
      <c r="K427" s="63"/>
      <c r="L427" s="60"/>
    </row>
    <row r="428" spans="1:12" x14ac:dyDescent="0.25">
      <c r="A428" s="65"/>
      <c r="B428" s="60"/>
      <c r="C428" s="60"/>
      <c r="D428" s="60"/>
      <c r="E428" s="61"/>
      <c r="F428" s="61"/>
      <c r="G428" s="59"/>
      <c r="H428" s="62"/>
      <c r="I428" s="60"/>
      <c r="J428" s="62"/>
      <c r="K428" s="63"/>
      <c r="L428" s="60"/>
    </row>
    <row r="429" spans="1:12" x14ac:dyDescent="0.25">
      <c r="A429" s="65"/>
      <c r="B429" s="60"/>
      <c r="C429" s="60"/>
      <c r="D429" s="60"/>
      <c r="E429" s="61"/>
      <c r="F429" s="61"/>
      <c r="G429" s="59"/>
      <c r="H429" s="62"/>
      <c r="I429" s="60"/>
      <c r="J429" s="62"/>
      <c r="K429" s="63"/>
      <c r="L429" s="60"/>
    </row>
    <row r="430" spans="1:12" x14ac:dyDescent="0.25">
      <c r="A430" s="65"/>
      <c r="B430" s="60"/>
      <c r="C430" s="60"/>
      <c r="D430" s="60"/>
      <c r="E430" s="61"/>
      <c r="F430" s="61"/>
      <c r="G430" s="59"/>
      <c r="H430" s="62"/>
      <c r="I430" s="60"/>
      <c r="J430" s="62"/>
      <c r="K430" s="63"/>
      <c r="L430" s="60"/>
    </row>
    <row r="431" spans="1:12" x14ac:dyDescent="0.25">
      <c r="A431" s="65"/>
      <c r="B431" s="60"/>
      <c r="C431" s="60"/>
      <c r="D431" s="60"/>
      <c r="E431" s="61"/>
      <c r="F431" s="61"/>
      <c r="G431" s="59"/>
      <c r="H431" s="62"/>
      <c r="I431" s="60"/>
      <c r="J431" s="62"/>
      <c r="K431" s="63"/>
      <c r="L431" s="60"/>
    </row>
    <row r="432" spans="1:12" x14ac:dyDescent="0.25">
      <c r="A432" s="65"/>
      <c r="B432" s="60"/>
      <c r="C432" s="60"/>
      <c r="D432" s="60"/>
      <c r="E432" s="61"/>
      <c r="F432" s="61"/>
      <c r="G432" s="59"/>
      <c r="H432" s="62"/>
      <c r="I432" s="60"/>
      <c r="J432" s="62"/>
      <c r="K432" s="63"/>
      <c r="L432" s="60"/>
    </row>
    <row r="433" spans="1:12" x14ac:dyDescent="0.25">
      <c r="A433" s="65"/>
      <c r="B433" s="60"/>
      <c r="C433" s="60"/>
      <c r="D433" s="60"/>
      <c r="E433" s="61"/>
      <c r="F433" s="61"/>
      <c r="G433" s="59"/>
      <c r="H433" s="62"/>
      <c r="I433" s="60"/>
      <c r="J433" s="62"/>
      <c r="K433" s="63"/>
      <c r="L433" s="60"/>
    </row>
    <row r="434" spans="1:12" x14ac:dyDescent="0.25">
      <c r="A434" s="65"/>
      <c r="B434" s="60"/>
      <c r="C434" s="60"/>
      <c r="D434" s="60"/>
      <c r="E434" s="61"/>
      <c r="F434" s="61"/>
      <c r="G434" s="59"/>
      <c r="H434" s="62"/>
      <c r="I434" s="60"/>
      <c r="J434" s="62"/>
      <c r="K434" s="63"/>
      <c r="L434" s="60"/>
    </row>
    <row r="435" spans="1:12" x14ac:dyDescent="0.25">
      <c r="A435" s="65"/>
      <c r="B435" s="60"/>
      <c r="C435" s="60"/>
      <c r="D435" s="60"/>
      <c r="E435" s="61"/>
      <c r="F435" s="61"/>
      <c r="G435" s="59"/>
      <c r="H435" s="62"/>
      <c r="I435" s="60"/>
      <c r="J435" s="62"/>
      <c r="K435" s="63"/>
      <c r="L435" s="60"/>
    </row>
    <row r="436" spans="1:12" x14ac:dyDescent="0.25">
      <c r="A436" s="65"/>
      <c r="B436" s="60"/>
      <c r="C436" s="60"/>
      <c r="D436" s="60"/>
      <c r="E436" s="61"/>
      <c r="F436" s="61"/>
      <c r="G436" s="59"/>
      <c r="H436" s="62"/>
      <c r="I436" s="60"/>
      <c r="J436" s="62"/>
      <c r="K436" s="63"/>
      <c r="L436" s="60"/>
    </row>
    <row r="437" spans="1:12" x14ac:dyDescent="0.25">
      <c r="A437" s="65"/>
      <c r="B437" s="60"/>
      <c r="C437" s="60"/>
      <c r="D437" s="60"/>
      <c r="E437" s="61"/>
      <c r="F437" s="61"/>
      <c r="G437" s="59"/>
      <c r="H437" s="62"/>
      <c r="I437" s="60"/>
      <c r="J437" s="62"/>
      <c r="K437" s="63"/>
      <c r="L437" s="60"/>
    </row>
    <row r="438" spans="1:12" x14ac:dyDescent="0.25">
      <c r="A438" s="65"/>
      <c r="B438" s="60"/>
      <c r="C438" s="60"/>
      <c r="D438" s="60"/>
      <c r="E438" s="61"/>
      <c r="F438" s="61"/>
      <c r="G438" s="59"/>
      <c r="H438" s="62"/>
      <c r="I438" s="60"/>
      <c r="J438" s="62"/>
      <c r="K438" s="63"/>
      <c r="L438" s="60"/>
    </row>
    <row r="439" spans="1:12" x14ac:dyDescent="0.25">
      <c r="A439" s="65"/>
      <c r="B439" s="60"/>
      <c r="C439" s="60"/>
      <c r="D439" s="60"/>
      <c r="E439" s="61"/>
      <c r="F439" s="61"/>
      <c r="G439" s="59"/>
      <c r="H439" s="62"/>
      <c r="I439" s="60"/>
      <c r="J439" s="62"/>
      <c r="K439" s="63"/>
      <c r="L439" s="60"/>
    </row>
    <row r="440" spans="1:12" x14ac:dyDescent="0.25">
      <c r="A440" s="65"/>
      <c r="B440" s="60"/>
      <c r="C440" s="60"/>
      <c r="D440" s="60"/>
      <c r="E440" s="61"/>
      <c r="F440" s="61"/>
      <c r="G440" s="59"/>
      <c r="H440" s="62"/>
      <c r="I440" s="60"/>
      <c r="J440" s="62"/>
      <c r="K440" s="63"/>
      <c r="L440" s="60"/>
    </row>
    <row r="441" spans="1:12" x14ac:dyDescent="0.25">
      <c r="A441" s="65"/>
      <c r="B441" s="60"/>
      <c r="C441" s="60"/>
      <c r="D441" s="60"/>
      <c r="E441" s="61"/>
      <c r="F441" s="61"/>
      <c r="G441" s="59"/>
      <c r="H441" s="62"/>
      <c r="I441" s="60"/>
      <c r="J441" s="62"/>
      <c r="K441" s="63"/>
      <c r="L441" s="60"/>
    </row>
    <row r="442" spans="1:12" x14ac:dyDescent="0.25">
      <c r="A442" s="65"/>
      <c r="B442" s="60"/>
      <c r="C442" s="60"/>
      <c r="D442" s="60"/>
      <c r="E442" s="61"/>
      <c r="F442" s="61"/>
      <c r="G442" s="59"/>
      <c r="H442" s="62"/>
      <c r="I442" s="60"/>
      <c r="J442" s="62"/>
      <c r="K442" s="63"/>
      <c r="L442" s="60"/>
    </row>
    <row r="443" spans="1:12" x14ac:dyDescent="0.25">
      <c r="A443" s="65"/>
      <c r="B443" s="60"/>
      <c r="C443" s="60"/>
      <c r="D443" s="60"/>
      <c r="E443" s="61"/>
      <c r="F443" s="61"/>
      <c r="G443" s="59"/>
      <c r="H443" s="62"/>
      <c r="I443" s="60"/>
      <c r="J443" s="62"/>
      <c r="K443" s="63"/>
      <c r="L443" s="60"/>
    </row>
    <row r="444" spans="1:12" x14ac:dyDescent="0.25">
      <c r="A444" s="65"/>
      <c r="B444" s="60"/>
      <c r="C444" s="60"/>
      <c r="D444" s="60"/>
      <c r="E444" s="61"/>
      <c r="F444" s="61"/>
      <c r="G444" s="59"/>
      <c r="H444" s="62"/>
      <c r="I444" s="60"/>
      <c r="J444" s="62"/>
      <c r="K444" s="63"/>
      <c r="L444" s="60"/>
    </row>
    <row r="445" spans="1:12" x14ac:dyDescent="0.25">
      <c r="A445" s="65"/>
      <c r="B445" s="60"/>
      <c r="C445" s="60"/>
      <c r="D445" s="60"/>
      <c r="E445" s="61"/>
      <c r="F445" s="61"/>
      <c r="G445" s="59"/>
      <c r="H445" s="62"/>
      <c r="I445" s="60"/>
      <c r="J445" s="62"/>
      <c r="K445" s="63"/>
      <c r="L445" s="60"/>
    </row>
    <row r="446" spans="1:12" x14ac:dyDescent="0.25">
      <c r="A446" s="65"/>
      <c r="B446" s="60"/>
      <c r="C446" s="60"/>
      <c r="D446" s="60"/>
      <c r="E446" s="61"/>
      <c r="F446" s="61"/>
      <c r="G446" s="59"/>
      <c r="H446" s="62"/>
      <c r="I446" s="60"/>
      <c r="J446" s="62"/>
      <c r="K446" s="63"/>
      <c r="L446" s="60"/>
    </row>
    <row r="447" spans="1:12" x14ac:dyDescent="0.25">
      <c r="A447" s="65"/>
      <c r="B447" s="60"/>
      <c r="C447" s="60"/>
      <c r="D447" s="60"/>
      <c r="E447" s="61"/>
      <c r="F447" s="61"/>
      <c r="G447" s="59"/>
      <c r="H447" s="62"/>
      <c r="I447" s="60"/>
      <c r="J447" s="62"/>
      <c r="K447" s="63"/>
      <c r="L447" s="60"/>
    </row>
    <row r="448" spans="1:12" x14ac:dyDescent="0.25">
      <c r="A448" s="65"/>
      <c r="B448" s="60"/>
      <c r="C448" s="60"/>
      <c r="D448" s="60"/>
      <c r="E448" s="61"/>
      <c r="F448" s="61"/>
      <c r="G448" s="59"/>
      <c r="H448" s="62"/>
      <c r="I448" s="60"/>
      <c r="J448" s="62"/>
      <c r="K448" s="63"/>
      <c r="L448" s="60"/>
    </row>
    <row r="449" spans="1:12" x14ac:dyDescent="0.25">
      <c r="A449" s="65"/>
      <c r="B449" s="60"/>
      <c r="C449" s="60"/>
      <c r="D449" s="60"/>
      <c r="E449" s="61"/>
      <c r="F449" s="61"/>
      <c r="G449" s="59"/>
      <c r="H449" s="62"/>
      <c r="I449" s="60"/>
      <c r="J449" s="62"/>
      <c r="K449" s="63"/>
      <c r="L449" s="60"/>
    </row>
    <row r="450" spans="1:12" x14ac:dyDescent="0.25">
      <c r="A450" s="65"/>
      <c r="B450" s="60"/>
      <c r="C450" s="60"/>
      <c r="D450" s="60"/>
      <c r="E450" s="61"/>
      <c r="F450" s="61"/>
      <c r="G450" s="59"/>
      <c r="H450" s="62"/>
      <c r="I450" s="60"/>
      <c r="J450" s="62"/>
      <c r="K450" s="63"/>
      <c r="L450" s="60"/>
    </row>
    <row r="451" spans="1:12" x14ac:dyDescent="0.25">
      <c r="A451" s="65"/>
      <c r="B451" s="60"/>
      <c r="C451" s="60"/>
      <c r="D451" s="60"/>
      <c r="E451" s="61"/>
      <c r="F451" s="61"/>
      <c r="G451" s="59"/>
      <c r="H451" s="62"/>
      <c r="I451" s="60"/>
      <c r="J451" s="62"/>
      <c r="K451" s="63"/>
      <c r="L451" s="60"/>
    </row>
    <row r="452" spans="1:12" x14ac:dyDescent="0.25">
      <c r="A452" s="65"/>
      <c r="B452" s="60"/>
      <c r="C452" s="60"/>
      <c r="D452" s="60"/>
      <c r="E452" s="61"/>
      <c r="F452" s="61"/>
      <c r="G452" s="59"/>
      <c r="H452" s="62"/>
      <c r="I452" s="60"/>
      <c r="J452" s="62"/>
      <c r="K452" s="63"/>
      <c r="L452" s="60"/>
    </row>
    <row r="453" spans="1:12" x14ac:dyDescent="0.25">
      <c r="A453" s="65"/>
      <c r="B453" s="60"/>
      <c r="C453" s="60"/>
      <c r="D453" s="60"/>
      <c r="E453" s="61"/>
      <c r="F453" s="61"/>
      <c r="G453" s="59"/>
      <c r="H453" s="62"/>
      <c r="I453" s="60"/>
      <c r="J453" s="62"/>
      <c r="K453" s="63"/>
      <c r="L453" s="60"/>
    </row>
    <row r="454" spans="1:12" x14ac:dyDescent="0.25">
      <c r="A454" s="65"/>
      <c r="B454" s="60"/>
      <c r="C454" s="60"/>
      <c r="D454" s="60"/>
      <c r="E454" s="61"/>
      <c r="F454" s="61"/>
      <c r="G454" s="59"/>
      <c r="H454" s="62"/>
      <c r="I454" s="60"/>
      <c r="J454" s="62"/>
      <c r="K454" s="63"/>
      <c r="L454" s="60"/>
    </row>
    <row r="455" spans="1:12" x14ac:dyDescent="0.25">
      <c r="A455" s="65"/>
      <c r="B455" s="60"/>
      <c r="C455" s="60"/>
      <c r="D455" s="60"/>
      <c r="E455" s="61"/>
      <c r="F455" s="61"/>
      <c r="G455" s="59"/>
      <c r="H455" s="62"/>
      <c r="I455" s="60"/>
      <c r="J455" s="62"/>
      <c r="K455" s="63"/>
      <c r="L455" s="60"/>
    </row>
    <row r="456" spans="1:12" x14ac:dyDescent="0.25">
      <c r="A456" s="65"/>
      <c r="B456" s="60"/>
      <c r="C456" s="60"/>
      <c r="D456" s="60"/>
      <c r="E456" s="61"/>
      <c r="F456" s="61"/>
      <c r="G456" s="59"/>
      <c r="H456" s="62"/>
      <c r="I456" s="60"/>
      <c r="J456" s="62"/>
      <c r="K456" s="63"/>
      <c r="L456" s="60"/>
    </row>
    <row r="457" spans="1:12" x14ac:dyDescent="0.25">
      <c r="A457" s="65"/>
      <c r="B457" s="60"/>
      <c r="C457" s="60"/>
      <c r="D457" s="60"/>
      <c r="E457" s="61"/>
      <c r="F457" s="61"/>
      <c r="G457" s="59"/>
      <c r="H457" s="62"/>
      <c r="I457" s="60"/>
      <c r="J457" s="62"/>
      <c r="K457" s="63"/>
      <c r="L457" s="60"/>
    </row>
    <row r="458" spans="1:12" x14ac:dyDescent="0.25">
      <c r="A458" s="65"/>
      <c r="B458" s="60"/>
      <c r="C458" s="60"/>
      <c r="D458" s="60"/>
      <c r="E458" s="61"/>
      <c r="F458" s="61"/>
      <c r="G458" s="59"/>
      <c r="H458" s="62"/>
      <c r="I458" s="60"/>
      <c r="J458" s="62"/>
      <c r="K458" s="63"/>
      <c r="L458" s="60"/>
    </row>
    <row r="459" spans="1:12" x14ac:dyDescent="0.25">
      <c r="A459" s="65"/>
      <c r="B459" s="60"/>
      <c r="C459" s="60"/>
      <c r="D459" s="60"/>
      <c r="E459" s="61"/>
      <c r="F459" s="61"/>
      <c r="G459" s="59"/>
      <c r="H459" s="62"/>
      <c r="I459" s="60"/>
      <c r="J459" s="62"/>
      <c r="K459" s="63"/>
      <c r="L459" s="60"/>
    </row>
    <row r="460" spans="1:12" x14ac:dyDescent="0.25">
      <c r="A460" s="65"/>
      <c r="B460" s="60"/>
      <c r="C460" s="60"/>
      <c r="D460" s="60"/>
      <c r="E460" s="61"/>
      <c r="F460" s="61"/>
      <c r="G460" s="59"/>
      <c r="H460" s="62"/>
      <c r="I460" s="60"/>
      <c r="J460" s="62"/>
      <c r="K460" s="63"/>
      <c r="L460" s="60"/>
    </row>
    <row r="461" spans="1:12" x14ac:dyDescent="0.25">
      <c r="A461" s="65"/>
      <c r="B461" s="60"/>
      <c r="C461" s="60"/>
      <c r="D461" s="60"/>
      <c r="E461" s="61"/>
      <c r="F461" s="61"/>
      <c r="G461" s="59"/>
      <c r="H461" s="62"/>
      <c r="I461" s="60"/>
      <c r="J461" s="62"/>
      <c r="K461" s="63"/>
      <c r="L461" s="60"/>
    </row>
    <row r="462" spans="1:12" x14ac:dyDescent="0.25">
      <c r="A462" s="65"/>
      <c r="B462" s="60"/>
      <c r="C462" s="60"/>
      <c r="D462" s="60"/>
      <c r="E462" s="61"/>
      <c r="F462" s="61"/>
      <c r="G462" s="59"/>
      <c r="H462" s="62"/>
      <c r="I462" s="60"/>
      <c r="J462" s="62"/>
      <c r="K462" s="63"/>
      <c r="L462" s="60"/>
    </row>
    <row r="463" spans="1:12" x14ac:dyDescent="0.25">
      <c r="A463" s="65"/>
      <c r="B463" s="60"/>
      <c r="C463" s="60"/>
      <c r="D463" s="60"/>
      <c r="E463" s="61"/>
      <c r="F463" s="61"/>
      <c r="G463" s="59"/>
      <c r="H463" s="62"/>
      <c r="I463" s="60"/>
      <c r="J463" s="62"/>
      <c r="K463" s="63"/>
      <c r="L463" s="60"/>
    </row>
    <row r="464" spans="1:12" x14ac:dyDescent="0.25">
      <c r="A464" s="65"/>
      <c r="B464" s="60"/>
      <c r="C464" s="60"/>
      <c r="D464" s="60"/>
      <c r="E464" s="61"/>
      <c r="F464" s="61"/>
      <c r="G464" s="59"/>
      <c r="H464" s="62"/>
      <c r="I464" s="60"/>
      <c r="J464" s="62"/>
      <c r="K464" s="63"/>
      <c r="L464" s="60"/>
    </row>
    <row r="465" spans="1:12" x14ac:dyDescent="0.25">
      <c r="A465" s="65"/>
      <c r="B465" s="60"/>
      <c r="C465" s="60"/>
      <c r="D465" s="60"/>
      <c r="E465" s="61"/>
      <c r="F465" s="61"/>
      <c r="G465" s="59"/>
      <c r="H465" s="62"/>
      <c r="I465" s="60"/>
      <c r="J465" s="62"/>
      <c r="K465" s="63"/>
      <c r="L465" s="60"/>
    </row>
    <row r="466" spans="1:12" x14ac:dyDescent="0.25">
      <c r="A466" s="65"/>
      <c r="B466" s="60"/>
      <c r="C466" s="60"/>
      <c r="D466" s="60"/>
      <c r="E466" s="61"/>
      <c r="F466" s="61"/>
      <c r="G466" s="59"/>
      <c r="H466" s="62"/>
      <c r="I466" s="60"/>
      <c r="J466" s="62"/>
      <c r="K466" s="63"/>
      <c r="L466" s="60"/>
    </row>
    <row r="467" spans="1:12" x14ac:dyDescent="0.25">
      <c r="A467" s="65"/>
      <c r="B467" s="60"/>
      <c r="C467" s="60"/>
      <c r="D467" s="60"/>
      <c r="E467" s="61"/>
      <c r="F467" s="61"/>
      <c r="G467" s="59"/>
      <c r="H467" s="62"/>
      <c r="I467" s="60"/>
      <c r="J467" s="62"/>
      <c r="K467" s="63"/>
      <c r="L467" s="60"/>
    </row>
    <row r="468" spans="1:12" x14ac:dyDescent="0.25">
      <c r="A468" s="65"/>
      <c r="B468" s="60"/>
      <c r="C468" s="60"/>
      <c r="D468" s="60"/>
      <c r="E468" s="61"/>
      <c r="F468" s="61"/>
      <c r="G468" s="59"/>
      <c r="H468" s="62"/>
      <c r="I468" s="60"/>
      <c r="J468" s="62"/>
      <c r="K468" s="63"/>
      <c r="L468" s="60"/>
    </row>
    <row r="469" spans="1:12" x14ac:dyDescent="0.25">
      <c r="A469" s="65"/>
      <c r="B469" s="60"/>
      <c r="C469" s="60"/>
      <c r="D469" s="60"/>
      <c r="E469" s="61"/>
      <c r="F469" s="61"/>
      <c r="G469" s="59"/>
      <c r="H469" s="62"/>
      <c r="I469" s="60"/>
      <c r="J469" s="62"/>
      <c r="K469" s="63"/>
      <c r="L469" s="60"/>
    </row>
    <row r="470" spans="1:12" x14ac:dyDescent="0.25">
      <c r="A470" s="65"/>
      <c r="B470" s="60"/>
      <c r="C470" s="60"/>
      <c r="D470" s="60"/>
      <c r="E470" s="61"/>
      <c r="F470" s="61"/>
      <c r="G470" s="59"/>
      <c r="H470" s="62"/>
      <c r="I470" s="60"/>
      <c r="J470" s="62"/>
      <c r="K470" s="63"/>
      <c r="L470" s="60"/>
    </row>
    <row r="471" spans="1:12" x14ac:dyDescent="0.25">
      <c r="A471" s="65"/>
      <c r="B471" s="60"/>
      <c r="C471" s="60"/>
      <c r="D471" s="60"/>
      <c r="E471" s="61"/>
      <c r="F471" s="61"/>
      <c r="G471" s="59"/>
      <c r="H471" s="62"/>
      <c r="I471" s="60"/>
      <c r="J471" s="62"/>
      <c r="K471" s="63"/>
      <c r="L471" s="60"/>
    </row>
    <row r="472" spans="1:12" x14ac:dyDescent="0.25">
      <c r="A472" s="65"/>
      <c r="B472" s="60"/>
      <c r="C472" s="60"/>
      <c r="D472" s="60"/>
      <c r="E472" s="61"/>
      <c r="F472" s="61"/>
      <c r="G472" s="59"/>
      <c r="H472" s="62"/>
      <c r="I472" s="60"/>
      <c r="J472" s="62"/>
      <c r="K472" s="63"/>
      <c r="L472" s="60"/>
    </row>
    <row r="473" spans="1:12" x14ac:dyDescent="0.25">
      <c r="A473" s="65"/>
      <c r="B473" s="60"/>
      <c r="C473" s="60"/>
      <c r="D473" s="60"/>
      <c r="E473" s="61"/>
      <c r="F473" s="61"/>
      <c r="G473" s="59"/>
      <c r="H473" s="62"/>
      <c r="I473" s="60"/>
      <c r="J473" s="62"/>
      <c r="K473" s="63"/>
      <c r="L473" s="60"/>
    </row>
    <row r="474" spans="1:12" x14ac:dyDescent="0.25">
      <c r="A474" s="65"/>
      <c r="B474" s="60"/>
      <c r="C474" s="60"/>
      <c r="D474" s="60"/>
      <c r="E474" s="61"/>
      <c r="F474" s="61"/>
      <c r="G474" s="59"/>
      <c r="H474" s="62"/>
      <c r="I474" s="60"/>
      <c r="J474" s="62"/>
      <c r="K474" s="63"/>
      <c r="L474" s="60"/>
    </row>
    <row r="475" spans="1:12" x14ac:dyDescent="0.25">
      <c r="A475" s="65"/>
      <c r="B475" s="60"/>
      <c r="C475" s="60"/>
      <c r="D475" s="60"/>
      <c r="E475" s="61"/>
      <c r="F475" s="61"/>
      <c r="G475" s="59"/>
      <c r="H475" s="62"/>
      <c r="I475" s="60"/>
      <c r="J475" s="62"/>
      <c r="K475" s="63"/>
      <c r="L475" s="60"/>
    </row>
    <row r="476" spans="1:12" x14ac:dyDescent="0.25">
      <c r="A476" s="65"/>
      <c r="B476" s="60"/>
      <c r="C476" s="60"/>
      <c r="D476" s="60"/>
      <c r="E476" s="61"/>
      <c r="F476" s="61"/>
      <c r="G476" s="59"/>
      <c r="H476" s="62"/>
      <c r="I476" s="60"/>
      <c r="J476" s="62"/>
      <c r="K476" s="63"/>
      <c r="L476" s="60"/>
    </row>
    <row r="477" spans="1:12" x14ac:dyDescent="0.25">
      <c r="A477" s="65"/>
      <c r="B477" s="60"/>
      <c r="C477" s="60"/>
      <c r="D477" s="60"/>
      <c r="E477" s="61"/>
      <c r="F477" s="61"/>
      <c r="G477" s="59"/>
      <c r="H477" s="62"/>
      <c r="I477" s="60"/>
      <c r="J477" s="62"/>
      <c r="K477" s="63"/>
      <c r="L477" s="60"/>
    </row>
    <row r="478" spans="1:12" x14ac:dyDescent="0.25">
      <c r="A478" s="65"/>
      <c r="B478" s="60"/>
      <c r="C478" s="60"/>
      <c r="D478" s="60"/>
      <c r="E478" s="61"/>
      <c r="F478" s="61"/>
      <c r="G478" s="59"/>
      <c r="H478" s="62"/>
      <c r="I478" s="60"/>
      <c r="J478" s="62"/>
      <c r="K478" s="63"/>
      <c r="L478" s="60"/>
    </row>
    <row r="479" spans="1:12" x14ac:dyDescent="0.25">
      <c r="A479" s="65"/>
      <c r="B479" s="60"/>
      <c r="C479" s="60"/>
      <c r="D479" s="60"/>
      <c r="E479" s="61"/>
      <c r="F479" s="61"/>
      <c r="G479" s="59"/>
      <c r="H479" s="62"/>
      <c r="I479" s="60"/>
      <c r="J479" s="62"/>
      <c r="K479" s="63"/>
      <c r="L479" s="60"/>
    </row>
    <row r="480" spans="1:12" x14ac:dyDescent="0.25">
      <c r="A480" s="65"/>
      <c r="B480" s="60"/>
      <c r="C480" s="60"/>
      <c r="D480" s="60"/>
      <c r="E480" s="61"/>
      <c r="F480" s="61"/>
      <c r="G480" s="59"/>
      <c r="H480" s="62"/>
      <c r="I480" s="60"/>
      <c r="J480" s="62"/>
      <c r="K480" s="63"/>
      <c r="L480" s="60"/>
    </row>
    <row r="481" spans="1:12" x14ac:dyDescent="0.25">
      <c r="A481" s="65"/>
      <c r="B481" s="60"/>
      <c r="C481" s="60"/>
      <c r="D481" s="60"/>
      <c r="E481" s="61"/>
      <c r="F481" s="61"/>
      <c r="G481" s="59"/>
      <c r="H481" s="62"/>
      <c r="I481" s="60"/>
      <c r="J481" s="62"/>
      <c r="K481" s="63"/>
      <c r="L481" s="60"/>
    </row>
    <row r="482" spans="1:12" x14ac:dyDescent="0.25">
      <c r="A482" s="65"/>
      <c r="B482" s="60"/>
      <c r="C482" s="60"/>
      <c r="D482" s="60"/>
      <c r="E482" s="61"/>
      <c r="F482" s="61"/>
      <c r="G482" s="59"/>
      <c r="H482" s="62"/>
      <c r="I482" s="60"/>
      <c r="J482" s="62"/>
      <c r="K482" s="63"/>
      <c r="L482" s="60"/>
    </row>
    <row r="483" spans="1:12" x14ac:dyDescent="0.25">
      <c r="A483" s="65"/>
      <c r="B483" s="60"/>
      <c r="C483" s="60"/>
      <c r="D483" s="60"/>
      <c r="E483" s="61"/>
      <c r="F483" s="61"/>
      <c r="G483" s="59"/>
      <c r="H483" s="62"/>
      <c r="I483" s="60"/>
      <c r="J483" s="62"/>
      <c r="K483" s="63"/>
      <c r="L483" s="60"/>
    </row>
    <row r="484" spans="1:12" x14ac:dyDescent="0.25">
      <c r="A484" s="65"/>
      <c r="B484" s="60"/>
      <c r="C484" s="60"/>
      <c r="D484" s="60"/>
      <c r="E484" s="61"/>
      <c r="F484" s="61"/>
      <c r="G484" s="59"/>
      <c r="H484" s="62"/>
      <c r="I484" s="60"/>
      <c r="J484" s="62"/>
      <c r="K484" s="63"/>
      <c r="L484" s="60"/>
    </row>
    <row r="485" spans="1:12" x14ac:dyDescent="0.25">
      <c r="A485" s="65"/>
      <c r="B485" s="60"/>
      <c r="C485" s="60"/>
      <c r="D485" s="60"/>
      <c r="E485" s="61"/>
      <c r="F485" s="61"/>
      <c r="G485" s="59"/>
      <c r="H485" s="62"/>
      <c r="I485" s="60"/>
      <c r="J485" s="62"/>
      <c r="K485" s="63"/>
      <c r="L485" s="60"/>
    </row>
    <row r="486" spans="1:12" x14ac:dyDescent="0.25">
      <c r="A486" s="65"/>
      <c r="B486" s="60"/>
      <c r="C486" s="60"/>
      <c r="D486" s="60"/>
      <c r="E486" s="61"/>
      <c r="F486" s="61"/>
      <c r="G486" s="59"/>
      <c r="H486" s="62"/>
      <c r="I486" s="60"/>
      <c r="J486" s="62"/>
      <c r="K486" s="63"/>
      <c r="L486" s="60"/>
    </row>
    <row r="487" spans="1:12" x14ac:dyDescent="0.25">
      <c r="A487" s="65"/>
      <c r="B487" s="60"/>
      <c r="C487" s="60"/>
      <c r="D487" s="60"/>
      <c r="E487" s="61"/>
      <c r="F487" s="61"/>
      <c r="G487" s="59"/>
      <c r="H487" s="62"/>
      <c r="I487" s="60"/>
      <c r="J487" s="62"/>
      <c r="K487" s="63"/>
      <c r="L487" s="60"/>
    </row>
    <row r="488" spans="1:12" x14ac:dyDescent="0.25">
      <c r="A488" s="65"/>
      <c r="B488" s="60"/>
      <c r="C488" s="60"/>
      <c r="D488" s="60"/>
      <c r="E488" s="61"/>
      <c r="F488" s="61"/>
      <c r="G488" s="59"/>
      <c r="H488" s="62"/>
      <c r="I488" s="60"/>
      <c r="J488" s="62"/>
      <c r="K488" s="63"/>
      <c r="L488" s="60"/>
    </row>
    <row r="489" spans="1:12" x14ac:dyDescent="0.25">
      <c r="A489" s="65"/>
      <c r="B489" s="60"/>
      <c r="C489" s="60"/>
      <c r="D489" s="60"/>
      <c r="E489" s="61"/>
      <c r="F489" s="61"/>
      <c r="G489" s="59"/>
      <c r="H489" s="62"/>
      <c r="I489" s="60"/>
      <c r="J489" s="62"/>
      <c r="K489" s="63"/>
      <c r="L489" s="60"/>
    </row>
    <row r="490" spans="1:12" x14ac:dyDescent="0.25">
      <c r="A490" s="65"/>
      <c r="B490" s="60"/>
      <c r="C490" s="60"/>
      <c r="D490" s="60"/>
      <c r="E490" s="61"/>
      <c r="F490" s="61"/>
      <c r="G490" s="59"/>
      <c r="H490" s="62"/>
      <c r="I490" s="60"/>
      <c r="J490" s="62"/>
      <c r="K490" s="63"/>
      <c r="L490" s="60"/>
    </row>
    <row r="491" spans="1:12" x14ac:dyDescent="0.25">
      <c r="A491" s="65"/>
      <c r="B491" s="60"/>
      <c r="C491" s="60"/>
      <c r="D491" s="60"/>
      <c r="E491" s="61"/>
      <c r="F491" s="61"/>
      <c r="G491" s="59"/>
      <c r="H491" s="62"/>
      <c r="I491" s="60"/>
      <c r="J491" s="62"/>
      <c r="K491" s="63"/>
      <c r="L491" s="60"/>
    </row>
    <row r="492" spans="1:12" x14ac:dyDescent="0.25">
      <c r="A492" s="65"/>
      <c r="B492" s="60"/>
      <c r="C492" s="60"/>
      <c r="D492" s="60"/>
      <c r="E492" s="61"/>
      <c r="F492" s="61"/>
      <c r="G492" s="59"/>
      <c r="H492" s="62"/>
      <c r="I492" s="60"/>
      <c r="J492" s="62"/>
      <c r="K492" s="63"/>
      <c r="L492" s="60"/>
    </row>
    <row r="493" spans="1:12" x14ac:dyDescent="0.25">
      <c r="A493" s="65"/>
      <c r="B493" s="60"/>
      <c r="C493" s="60"/>
      <c r="D493" s="60"/>
      <c r="E493" s="61"/>
      <c r="F493" s="61"/>
      <c r="G493" s="59"/>
      <c r="H493" s="62"/>
      <c r="I493" s="60"/>
      <c r="J493" s="62"/>
      <c r="K493" s="63"/>
      <c r="L493" s="60"/>
    </row>
    <row r="494" spans="1:12" x14ac:dyDescent="0.25">
      <c r="A494" s="65"/>
      <c r="B494" s="60"/>
      <c r="C494" s="60"/>
      <c r="D494" s="60"/>
      <c r="E494" s="61"/>
      <c r="F494" s="61"/>
      <c r="G494" s="59"/>
      <c r="H494" s="62"/>
      <c r="I494" s="60"/>
      <c r="J494" s="62"/>
      <c r="K494" s="63"/>
      <c r="L494" s="60"/>
    </row>
    <row r="495" spans="1:12" x14ac:dyDescent="0.25">
      <c r="A495" s="65"/>
      <c r="B495" s="60"/>
      <c r="C495" s="60"/>
      <c r="D495" s="60"/>
      <c r="E495" s="61"/>
      <c r="F495" s="61"/>
      <c r="G495" s="59"/>
      <c r="H495" s="62"/>
      <c r="I495" s="60"/>
      <c r="J495" s="62"/>
      <c r="K495" s="63"/>
      <c r="L495" s="60"/>
    </row>
    <row r="496" spans="1:12" x14ac:dyDescent="0.25">
      <c r="A496" s="65"/>
      <c r="B496" s="60"/>
      <c r="C496" s="60"/>
      <c r="D496" s="60"/>
      <c r="E496" s="61"/>
      <c r="F496" s="61"/>
      <c r="G496" s="59"/>
      <c r="H496" s="62"/>
      <c r="I496" s="60"/>
      <c r="J496" s="62"/>
      <c r="K496" s="63"/>
      <c r="L496" s="60"/>
    </row>
    <row r="497" spans="1:12" x14ac:dyDescent="0.25">
      <c r="A497" s="65"/>
      <c r="B497" s="60"/>
      <c r="C497" s="60"/>
      <c r="D497" s="60"/>
      <c r="E497" s="61"/>
      <c r="F497" s="61"/>
      <c r="G497" s="59"/>
      <c r="H497" s="62"/>
      <c r="I497" s="60"/>
      <c r="J497" s="62"/>
      <c r="K497" s="63"/>
      <c r="L497" s="60"/>
    </row>
    <row r="498" spans="1:12" x14ac:dyDescent="0.25">
      <c r="A498" s="65"/>
      <c r="B498" s="60"/>
      <c r="C498" s="60"/>
      <c r="D498" s="60"/>
      <c r="E498" s="61"/>
      <c r="F498" s="61"/>
      <c r="G498" s="59"/>
      <c r="H498" s="62"/>
      <c r="I498" s="60"/>
      <c r="J498" s="62"/>
      <c r="K498" s="63"/>
      <c r="L498" s="60"/>
    </row>
    <row r="499" spans="1:12" x14ac:dyDescent="0.25">
      <c r="A499" s="65"/>
      <c r="B499" s="60"/>
      <c r="C499" s="60"/>
      <c r="D499" s="60"/>
      <c r="E499" s="61"/>
      <c r="F499" s="61"/>
      <c r="G499" s="59"/>
      <c r="H499" s="62"/>
      <c r="I499" s="60"/>
      <c r="J499" s="62"/>
      <c r="K499" s="63"/>
      <c r="L499" s="60"/>
    </row>
    <row r="500" spans="1:12" x14ac:dyDescent="0.25">
      <c r="A500" s="65"/>
      <c r="B500" s="60"/>
      <c r="C500" s="60"/>
      <c r="D500" s="60"/>
      <c r="E500" s="61"/>
      <c r="F500" s="61"/>
      <c r="G500" s="59"/>
      <c r="H500" s="62"/>
      <c r="I500" s="60"/>
      <c r="J500" s="62"/>
      <c r="K500" s="63"/>
      <c r="L500" s="60"/>
    </row>
    <row r="501" spans="1:12" x14ac:dyDescent="0.25">
      <c r="A501" s="65"/>
      <c r="B501" s="60"/>
      <c r="C501" s="60"/>
      <c r="D501" s="60"/>
      <c r="E501" s="61"/>
      <c r="F501" s="61"/>
      <c r="G501" s="59"/>
      <c r="H501" s="62"/>
      <c r="I501" s="60"/>
      <c r="J501" s="62"/>
      <c r="K501" s="63"/>
      <c r="L501" s="60"/>
    </row>
    <row r="502" spans="1:12" x14ac:dyDescent="0.25">
      <c r="A502" s="65"/>
      <c r="B502" s="60"/>
      <c r="C502" s="60"/>
      <c r="D502" s="60"/>
      <c r="E502" s="61"/>
      <c r="F502" s="61"/>
      <c r="G502" s="59"/>
      <c r="H502" s="62"/>
      <c r="I502" s="60"/>
      <c r="J502" s="62"/>
      <c r="K502" s="63"/>
      <c r="L502" s="60"/>
    </row>
    <row r="503" spans="1:12" x14ac:dyDescent="0.25">
      <c r="A503" s="65"/>
      <c r="B503" s="60"/>
      <c r="C503" s="60"/>
      <c r="D503" s="60"/>
      <c r="E503" s="61"/>
      <c r="F503" s="61"/>
      <c r="G503" s="59"/>
      <c r="H503" s="62"/>
      <c r="I503" s="60"/>
      <c r="J503" s="62"/>
      <c r="K503" s="63"/>
      <c r="L503" s="60"/>
    </row>
    <row r="504" spans="1:12" x14ac:dyDescent="0.25">
      <c r="A504" s="65"/>
      <c r="B504" s="60"/>
      <c r="C504" s="60"/>
      <c r="D504" s="60"/>
      <c r="E504" s="61"/>
      <c r="F504" s="61"/>
      <c r="G504" s="59"/>
      <c r="H504" s="62"/>
      <c r="I504" s="60"/>
      <c r="J504" s="62"/>
      <c r="K504" s="63"/>
      <c r="L504" s="60"/>
    </row>
    <row r="505" spans="1:12" x14ac:dyDescent="0.25">
      <c r="A505" s="65"/>
      <c r="B505" s="60"/>
      <c r="C505" s="60"/>
      <c r="D505" s="60"/>
      <c r="E505" s="61"/>
      <c r="F505" s="61"/>
      <c r="G505" s="59"/>
      <c r="H505" s="62"/>
      <c r="I505" s="60"/>
      <c r="J505" s="62"/>
      <c r="K505" s="63"/>
      <c r="L505" s="60"/>
    </row>
    <row r="506" spans="1:12" x14ac:dyDescent="0.25">
      <c r="A506" s="65"/>
      <c r="B506" s="60"/>
      <c r="C506" s="60"/>
      <c r="D506" s="60"/>
      <c r="E506" s="61"/>
      <c r="F506" s="61"/>
      <c r="G506" s="59"/>
      <c r="H506" s="62"/>
      <c r="I506" s="60"/>
      <c r="J506" s="62"/>
      <c r="K506" s="63"/>
      <c r="L506" s="60"/>
    </row>
    <row r="507" spans="1:12" x14ac:dyDescent="0.25">
      <c r="A507" s="65"/>
      <c r="B507" s="60"/>
      <c r="C507" s="60"/>
      <c r="D507" s="60"/>
      <c r="E507" s="61"/>
      <c r="F507" s="61"/>
      <c r="G507" s="59"/>
      <c r="H507" s="62"/>
      <c r="I507" s="60"/>
      <c r="J507" s="62"/>
      <c r="K507" s="63"/>
      <c r="L507" s="60"/>
    </row>
    <row r="508" spans="1:12" x14ac:dyDescent="0.25">
      <c r="A508" s="65"/>
      <c r="B508" s="60"/>
      <c r="C508" s="60"/>
      <c r="D508" s="60"/>
      <c r="E508" s="61"/>
      <c r="F508" s="61"/>
      <c r="G508" s="59"/>
      <c r="H508" s="62"/>
      <c r="I508" s="60"/>
      <c r="J508" s="62"/>
      <c r="K508" s="63"/>
      <c r="L508" s="60"/>
    </row>
    <row r="509" spans="1:12" x14ac:dyDescent="0.25">
      <c r="A509" s="65"/>
      <c r="B509" s="60"/>
      <c r="C509" s="60"/>
      <c r="D509" s="60"/>
      <c r="E509" s="61"/>
      <c r="F509" s="61"/>
      <c r="G509" s="59"/>
      <c r="H509" s="62"/>
      <c r="I509" s="60"/>
      <c r="J509" s="62"/>
      <c r="K509" s="63"/>
      <c r="L509" s="60"/>
    </row>
    <row r="510" spans="1:12" x14ac:dyDescent="0.25">
      <c r="A510" s="65"/>
      <c r="B510" s="60"/>
      <c r="C510" s="60"/>
      <c r="D510" s="60"/>
      <c r="E510" s="61"/>
      <c r="F510" s="61"/>
      <c r="G510" s="59"/>
      <c r="H510" s="62"/>
      <c r="I510" s="60"/>
      <c r="J510" s="62"/>
      <c r="K510" s="63"/>
      <c r="L510" s="60"/>
    </row>
    <row r="511" spans="1:12" x14ac:dyDescent="0.25">
      <c r="A511" s="65"/>
      <c r="B511" s="60"/>
      <c r="C511" s="60"/>
      <c r="D511" s="60"/>
      <c r="E511" s="61"/>
      <c r="F511" s="61"/>
      <c r="G511" s="59"/>
      <c r="H511" s="62"/>
      <c r="I511" s="60"/>
      <c r="J511" s="62"/>
      <c r="K511" s="63"/>
      <c r="L511" s="60"/>
    </row>
    <row r="512" spans="1:12" x14ac:dyDescent="0.25">
      <c r="A512" s="65"/>
      <c r="B512" s="60"/>
      <c r="C512" s="60"/>
      <c r="D512" s="60"/>
      <c r="E512" s="61"/>
      <c r="F512" s="61"/>
      <c r="G512" s="59"/>
      <c r="H512" s="62"/>
      <c r="I512" s="60"/>
      <c r="J512" s="62"/>
      <c r="K512" s="63"/>
      <c r="L512" s="60"/>
    </row>
    <row r="513" spans="1:12" x14ac:dyDescent="0.25">
      <c r="A513" s="65"/>
      <c r="B513" s="60"/>
      <c r="C513" s="60"/>
      <c r="D513" s="60"/>
      <c r="E513" s="61"/>
      <c r="F513" s="61"/>
      <c r="G513" s="59"/>
      <c r="H513" s="62"/>
      <c r="I513" s="60"/>
      <c r="J513" s="62"/>
      <c r="K513" s="63"/>
      <c r="L513" s="60"/>
    </row>
    <row r="514" spans="1:12" x14ac:dyDescent="0.25">
      <c r="A514" s="65"/>
      <c r="B514" s="60"/>
      <c r="C514" s="60"/>
      <c r="D514" s="60"/>
      <c r="E514" s="61"/>
      <c r="F514" s="61"/>
      <c r="G514" s="59"/>
      <c r="H514" s="62"/>
      <c r="I514" s="60"/>
      <c r="J514" s="62"/>
      <c r="K514" s="63"/>
      <c r="L514" s="60"/>
    </row>
    <row r="515" spans="1:12" x14ac:dyDescent="0.25">
      <c r="A515" s="65"/>
      <c r="B515" s="60"/>
      <c r="C515" s="60"/>
      <c r="D515" s="60"/>
      <c r="E515" s="61"/>
      <c r="F515" s="61"/>
      <c r="G515" s="59"/>
      <c r="H515" s="62"/>
      <c r="I515" s="60"/>
      <c r="J515" s="62"/>
      <c r="K515" s="63"/>
      <c r="L515" s="60"/>
    </row>
    <row r="516" spans="1:12" x14ac:dyDescent="0.25">
      <c r="A516" s="65"/>
      <c r="B516" s="60"/>
      <c r="C516" s="60"/>
      <c r="D516" s="60"/>
      <c r="E516" s="61"/>
      <c r="F516" s="61"/>
      <c r="G516" s="59"/>
      <c r="H516" s="62"/>
      <c r="I516" s="60"/>
      <c r="J516" s="62"/>
      <c r="K516" s="63"/>
      <c r="L516" s="60"/>
    </row>
    <row r="517" spans="1:12" x14ac:dyDescent="0.25">
      <c r="A517" s="65"/>
      <c r="B517" s="60"/>
      <c r="C517" s="60"/>
      <c r="D517" s="60"/>
      <c r="E517" s="61"/>
      <c r="F517" s="61"/>
      <c r="G517" s="59"/>
      <c r="H517" s="62"/>
      <c r="I517" s="60"/>
      <c r="J517" s="62"/>
      <c r="K517" s="63"/>
      <c r="L517" s="60"/>
    </row>
    <row r="518" spans="1:12" x14ac:dyDescent="0.25">
      <c r="A518" s="65"/>
      <c r="B518" s="60"/>
      <c r="C518" s="60"/>
      <c r="D518" s="60"/>
      <c r="E518" s="61"/>
      <c r="F518" s="61"/>
      <c r="G518" s="59"/>
      <c r="H518" s="62"/>
      <c r="I518" s="60"/>
      <c r="J518" s="62"/>
      <c r="K518" s="63"/>
      <c r="L518" s="60"/>
    </row>
    <row r="519" spans="1:12" x14ac:dyDescent="0.25">
      <c r="A519" s="65"/>
      <c r="B519" s="60"/>
      <c r="C519" s="60"/>
      <c r="D519" s="60"/>
      <c r="E519" s="61"/>
      <c r="F519" s="61"/>
      <c r="G519" s="59"/>
      <c r="H519" s="62"/>
      <c r="I519" s="60"/>
      <c r="J519" s="62"/>
      <c r="K519" s="63"/>
      <c r="L519" s="60"/>
    </row>
    <row r="520" spans="1:12" x14ac:dyDescent="0.25">
      <c r="A520" s="65"/>
      <c r="B520" s="60"/>
      <c r="C520" s="60"/>
      <c r="D520" s="60"/>
      <c r="E520" s="61"/>
      <c r="F520" s="61"/>
      <c r="G520" s="59"/>
      <c r="H520" s="62"/>
      <c r="I520" s="60"/>
      <c r="J520" s="62"/>
      <c r="K520" s="63"/>
      <c r="L520" s="60"/>
    </row>
    <row r="521" spans="1:12" x14ac:dyDescent="0.25">
      <c r="A521" s="65"/>
      <c r="B521" s="60"/>
      <c r="C521" s="60"/>
      <c r="D521" s="60"/>
      <c r="E521" s="61"/>
      <c r="F521" s="61"/>
      <c r="G521" s="59"/>
      <c r="H521" s="62"/>
      <c r="I521" s="60"/>
      <c r="J521" s="62"/>
      <c r="K521" s="63"/>
      <c r="L521" s="60"/>
    </row>
    <row r="522" spans="1:12" x14ac:dyDescent="0.25">
      <c r="A522" s="65"/>
      <c r="B522" s="60"/>
      <c r="C522" s="60"/>
      <c r="D522" s="60"/>
      <c r="E522" s="61"/>
      <c r="F522" s="61"/>
      <c r="G522" s="59"/>
      <c r="H522" s="62"/>
      <c r="I522" s="60"/>
      <c r="J522" s="62"/>
      <c r="K522" s="63"/>
      <c r="L522" s="60"/>
    </row>
    <row r="523" spans="1:12" x14ac:dyDescent="0.25">
      <c r="A523" s="65"/>
      <c r="B523" s="60"/>
      <c r="C523" s="60"/>
      <c r="D523" s="60"/>
      <c r="E523" s="61"/>
      <c r="F523" s="61"/>
      <c r="G523" s="59"/>
      <c r="H523" s="62"/>
      <c r="I523" s="60"/>
      <c r="J523" s="62"/>
      <c r="K523" s="63"/>
      <c r="L523" s="60"/>
    </row>
    <row r="524" spans="1:12" x14ac:dyDescent="0.25">
      <c r="A524" s="65"/>
      <c r="B524" s="60"/>
      <c r="C524" s="60"/>
      <c r="D524" s="60"/>
      <c r="E524" s="61"/>
      <c r="F524" s="61"/>
      <c r="G524" s="59"/>
      <c r="H524" s="62"/>
      <c r="I524" s="60"/>
      <c r="J524" s="62"/>
      <c r="K524" s="63"/>
      <c r="L524" s="60"/>
    </row>
    <row r="525" spans="1:12" x14ac:dyDescent="0.25">
      <c r="A525" s="65"/>
      <c r="B525" s="60"/>
      <c r="C525" s="60"/>
      <c r="D525" s="60"/>
      <c r="E525" s="61"/>
      <c r="F525" s="61"/>
      <c r="G525" s="59"/>
      <c r="H525" s="62"/>
      <c r="I525" s="60"/>
      <c r="J525" s="62"/>
      <c r="K525" s="63"/>
      <c r="L525" s="60"/>
    </row>
    <row r="526" spans="1:12" x14ac:dyDescent="0.25">
      <c r="A526" s="65"/>
      <c r="B526" s="60"/>
      <c r="C526" s="60"/>
      <c r="D526" s="60"/>
      <c r="E526" s="61"/>
      <c r="F526" s="61"/>
      <c r="G526" s="59"/>
      <c r="H526" s="62"/>
      <c r="I526" s="60"/>
      <c r="J526" s="62"/>
      <c r="K526" s="63"/>
      <c r="L526" s="60"/>
    </row>
    <row r="527" spans="1:12" x14ac:dyDescent="0.25">
      <c r="A527" s="65"/>
      <c r="B527" s="60"/>
      <c r="C527" s="60"/>
      <c r="D527" s="60"/>
      <c r="E527" s="61"/>
      <c r="F527" s="61"/>
      <c r="G527" s="59"/>
      <c r="H527" s="62"/>
      <c r="I527" s="60"/>
      <c r="J527" s="62"/>
      <c r="K527" s="63"/>
      <c r="L527" s="60"/>
    </row>
    <row r="528" spans="1:12" x14ac:dyDescent="0.25">
      <c r="A528" s="65"/>
      <c r="B528" s="60"/>
      <c r="C528" s="60"/>
      <c r="D528" s="60"/>
      <c r="E528" s="61"/>
      <c r="F528" s="61"/>
      <c r="G528" s="59"/>
      <c r="H528" s="62"/>
      <c r="I528" s="60"/>
      <c r="J528" s="62"/>
      <c r="K528" s="63"/>
      <c r="L528" s="60"/>
    </row>
    <row r="529" spans="1:12" x14ac:dyDescent="0.25">
      <c r="A529" s="65"/>
      <c r="B529" s="60"/>
      <c r="C529" s="60"/>
      <c r="D529" s="60"/>
      <c r="E529" s="61"/>
      <c r="F529" s="61"/>
      <c r="G529" s="59"/>
      <c r="H529" s="62"/>
      <c r="I529" s="60"/>
      <c r="J529" s="62"/>
      <c r="K529" s="63"/>
      <c r="L529" s="60"/>
    </row>
    <row r="530" spans="1:12" x14ac:dyDescent="0.25">
      <c r="A530" s="65"/>
      <c r="B530" s="60"/>
      <c r="C530" s="60"/>
      <c r="D530" s="60"/>
      <c r="E530" s="61"/>
      <c r="F530" s="61"/>
      <c r="G530" s="59"/>
      <c r="H530" s="62"/>
      <c r="I530" s="60"/>
      <c r="J530" s="62"/>
      <c r="K530" s="63"/>
      <c r="L530" s="60"/>
    </row>
    <row r="531" spans="1:12" x14ac:dyDescent="0.25">
      <c r="A531" s="65"/>
      <c r="B531" s="60"/>
      <c r="C531" s="60"/>
      <c r="D531" s="60"/>
      <c r="E531" s="61"/>
      <c r="F531" s="61"/>
      <c r="G531" s="59"/>
      <c r="H531" s="62"/>
      <c r="I531" s="60"/>
      <c r="J531" s="62"/>
      <c r="K531" s="63"/>
      <c r="L531" s="60"/>
    </row>
    <row r="532" spans="1:12" x14ac:dyDescent="0.25">
      <c r="A532" s="65"/>
      <c r="B532" s="60"/>
      <c r="C532" s="60"/>
      <c r="D532" s="60"/>
      <c r="E532" s="61"/>
      <c r="F532" s="61"/>
      <c r="G532" s="59"/>
      <c r="H532" s="62"/>
      <c r="I532" s="60"/>
      <c r="J532" s="62"/>
      <c r="K532" s="63"/>
      <c r="L532" s="60"/>
    </row>
    <row r="533" spans="1:12" x14ac:dyDescent="0.25">
      <c r="A533" s="65"/>
      <c r="B533" s="60"/>
      <c r="C533" s="60"/>
      <c r="D533" s="60"/>
      <c r="E533" s="61"/>
      <c r="F533" s="61"/>
      <c r="G533" s="59"/>
      <c r="H533" s="62"/>
      <c r="I533" s="60"/>
      <c r="J533" s="62"/>
      <c r="K533" s="63"/>
      <c r="L533" s="60"/>
    </row>
    <row r="534" spans="1:12" x14ac:dyDescent="0.25">
      <c r="A534" s="65"/>
      <c r="B534" s="60"/>
      <c r="C534" s="60"/>
      <c r="D534" s="60"/>
      <c r="E534" s="61"/>
      <c r="F534" s="61"/>
      <c r="G534" s="59"/>
      <c r="H534" s="62"/>
      <c r="I534" s="60"/>
      <c r="J534" s="62"/>
      <c r="K534" s="63"/>
      <c r="L534" s="60"/>
    </row>
    <row r="535" spans="1:12" x14ac:dyDescent="0.25">
      <c r="A535" s="65"/>
      <c r="B535" s="60"/>
      <c r="C535" s="60"/>
      <c r="D535" s="60"/>
      <c r="E535" s="61"/>
      <c r="F535" s="61"/>
      <c r="G535" s="59"/>
      <c r="H535" s="62"/>
      <c r="I535" s="60"/>
      <c r="J535" s="62"/>
      <c r="K535" s="63"/>
      <c r="L535" s="60"/>
    </row>
    <row r="536" spans="1:12" x14ac:dyDescent="0.25">
      <c r="A536" s="65"/>
      <c r="B536" s="60"/>
      <c r="C536" s="60"/>
      <c r="D536" s="60"/>
      <c r="E536" s="61"/>
      <c r="F536" s="61"/>
      <c r="G536" s="59"/>
      <c r="H536" s="62"/>
      <c r="I536" s="60"/>
      <c r="J536" s="62"/>
      <c r="K536" s="63"/>
      <c r="L536" s="60"/>
    </row>
    <row r="537" spans="1:12" x14ac:dyDescent="0.25">
      <c r="A537" s="65"/>
      <c r="B537" s="60"/>
      <c r="C537" s="60"/>
      <c r="D537" s="60"/>
      <c r="E537" s="61"/>
      <c r="F537" s="61"/>
      <c r="G537" s="59"/>
      <c r="H537" s="62"/>
      <c r="I537" s="60"/>
      <c r="J537" s="62"/>
      <c r="K537" s="63"/>
      <c r="L537" s="60"/>
    </row>
    <row r="538" spans="1:12" x14ac:dyDescent="0.25">
      <c r="A538" s="65"/>
      <c r="B538" s="60"/>
      <c r="C538" s="60"/>
      <c r="D538" s="60"/>
      <c r="E538" s="61"/>
      <c r="F538" s="61"/>
      <c r="G538" s="59"/>
      <c r="H538" s="62"/>
      <c r="I538" s="60"/>
      <c r="J538" s="62"/>
      <c r="K538" s="63"/>
      <c r="L538" s="60"/>
    </row>
    <row r="539" spans="1:12" x14ac:dyDescent="0.25">
      <c r="A539" s="65"/>
      <c r="B539" s="60"/>
      <c r="C539" s="60"/>
      <c r="D539" s="60"/>
      <c r="E539" s="61"/>
      <c r="F539" s="61"/>
      <c r="G539" s="59"/>
      <c r="H539" s="62"/>
      <c r="I539" s="60"/>
      <c r="J539" s="62"/>
      <c r="K539" s="63"/>
      <c r="L539" s="60"/>
    </row>
    <row r="540" spans="1:12" x14ac:dyDescent="0.25">
      <c r="A540" s="65"/>
      <c r="B540" s="60"/>
      <c r="C540" s="60"/>
      <c r="D540" s="60"/>
      <c r="E540" s="61"/>
      <c r="F540" s="61"/>
      <c r="G540" s="59"/>
      <c r="H540" s="62"/>
      <c r="I540" s="60"/>
      <c r="J540" s="62"/>
      <c r="K540" s="63"/>
      <c r="L540" s="60"/>
    </row>
    <row r="541" spans="1:12" x14ac:dyDescent="0.25">
      <c r="A541" s="65"/>
      <c r="B541" s="60"/>
      <c r="C541" s="60"/>
      <c r="D541" s="60"/>
      <c r="E541" s="61"/>
      <c r="F541" s="61"/>
      <c r="G541" s="59"/>
      <c r="H541" s="62"/>
      <c r="I541" s="60"/>
      <c r="J541" s="62"/>
      <c r="K541" s="63"/>
      <c r="L541" s="60"/>
    </row>
    <row r="542" spans="1:12" x14ac:dyDescent="0.25">
      <c r="A542" s="65"/>
      <c r="B542" s="60"/>
      <c r="C542" s="60"/>
      <c r="D542" s="60"/>
      <c r="E542" s="61"/>
      <c r="F542" s="61"/>
      <c r="G542" s="59"/>
      <c r="H542" s="62"/>
      <c r="I542" s="60"/>
      <c r="J542" s="62"/>
      <c r="K542" s="63"/>
      <c r="L542" s="60"/>
    </row>
    <row r="543" spans="1:12" x14ac:dyDescent="0.25">
      <c r="A543" s="65"/>
      <c r="B543" s="60"/>
      <c r="C543" s="60"/>
      <c r="D543" s="60"/>
      <c r="E543" s="61"/>
      <c r="F543" s="61"/>
      <c r="G543" s="59"/>
      <c r="H543" s="62"/>
      <c r="I543" s="60"/>
      <c r="J543" s="62"/>
      <c r="K543" s="63"/>
      <c r="L543" s="60"/>
    </row>
    <row r="544" spans="1:12" x14ac:dyDescent="0.25">
      <c r="A544" s="65"/>
      <c r="B544" s="60"/>
      <c r="C544" s="60"/>
      <c r="D544" s="60"/>
      <c r="E544" s="61"/>
      <c r="F544" s="61"/>
      <c r="G544" s="59"/>
      <c r="H544" s="62"/>
      <c r="I544" s="60"/>
      <c r="J544" s="62"/>
      <c r="K544" s="63"/>
      <c r="L544" s="60"/>
    </row>
    <row r="545" spans="1:12" x14ac:dyDescent="0.25">
      <c r="A545" s="65"/>
      <c r="B545" s="60"/>
      <c r="C545" s="60"/>
      <c r="D545" s="60"/>
      <c r="E545" s="61"/>
      <c r="F545" s="61"/>
      <c r="G545" s="59"/>
      <c r="H545" s="62"/>
      <c r="I545" s="60"/>
      <c r="J545" s="62"/>
      <c r="K545" s="63"/>
      <c r="L545" s="60"/>
    </row>
    <row r="546" spans="1:12" x14ac:dyDescent="0.25">
      <c r="A546" s="65"/>
      <c r="B546" s="60"/>
      <c r="C546" s="60"/>
      <c r="D546" s="60"/>
      <c r="E546" s="61"/>
      <c r="F546" s="61"/>
      <c r="G546" s="59"/>
      <c r="H546" s="62"/>
      <c r="I546" s="60"/>
      <c r="J546" s="62"/>
      <c r="K546" s="63"/>
      <c r="L546" s="60"/>
    </row>
    <row r="547" spans="1:12" x14ac:dyDescent="0.25">
      <c r="A547" s="65"/>
      <c r="B547" s="60"/>
      <c r="C547" s="60"/>
      <c r="D547" s="60"/>
      <c r="E547" s="61"/>
      <c r="F547" s="61"/>
      <c r="G547" s="59"/>
      <c r="H547" s="62"/>
      <c r="I547" s="60"/>
      <c r="J547" s="62"/>
      <c r="K547" s="63"/>
      <c r="L547" s="60"/>
    </row>
    <row r="548" spans="1:12" x14ac:dyDescent="0.25">
      <c r="A548" s="65"/>
      <c r="B548" s="60"/>
      <c r="C548" s="60"/>
      <c r="D548" s="60"/>
      <c r="E548" s="61"/>
      <c r="F548" s="61"/>
      <c r="G548" s="59"/>
      <c r="H548" s="62"/>
      <c r="I548" s="60"/>
      <c r="J548" s="62"/>
      <c r="K548" s="63"/>
      <c r="L548" s="60"/>
    </row>
    <row r="549" spans="1:12" x14ac:dyDescent="0.25">
      <c r="A549" s="65"/>
      <c r="B549" s="60"/>
      <c r="C549" s="60"/>
      <c r="D549" s="60"/>
      <c r="E549" s="61"/>
      <c r="F549" s="61"/>
      <c r="G549" s="59"/>
      <c r="H549" s="62"/>
      <c r="I549" s="60"/>
      <c r="J549" s="62"/>
      <c r="K549" s="63"/>
      <c r="L549" s="60"/>
    </row>
    <row r="550" spans="1:12" x14ac:dyDescent="0.25">
      <c r="A550" s="65"/>
      <c r="B550" s="60"/>
      <c r="C550" s="60"/>
      <c r="D550" s="60"/>
      <c r="E550" s="61"/>
      <c r="F550" s="61"/>
      <c r="G550" s="59"/>
      <c r="H550" s="62"/>
      <c r="I550" s="60"/>
      <c r="J550" s="62"/>
      <c r="K550" s="63"/>
      <c r="L550" s="60"/>
    </row>
    <row r="551" spans="1:12" x14ac:dyDescent="0.25">
      <c r="A551" s="65"/>
      <c r="B551" s="60"/>
      <c r="C551" s="60"/>
      <c r="D551" s="60"/>
      <c r="E551" s="61"/>
      <c r="F551" s="61"/>
      <c r="G551" s="59"/>
      <c r="H551" s="62"/>
      <c r="I551" s="60"/>
      <c r="J551" s="62"/>
      <c r="K551" s="63"/>
      <c r="L551" s="60"/>
    </row>
    <row r="552" spans="1:12" x14ac:dyDescent="0.25">
      <c r="A552" s="65"/>
      <c r="B552" s="60"/>
      <c r="C552" s="60"/>
      <c r="D552" s="60"/>
      <c r="E552" s="61"/>
      <c r="F552" s="61"/>
      <c r="G552" s="59"/>
      <c r="H552" s="62"/>
      <c r="I552" s="60"/>
      <c r="J552" s="62"/>
      <c r="K552" s="63"/>
      <c r="L552" s="60"/>
    </row>
    <row r="553" spans="1:12" x14ac:dyDescent="0.25">
      <c r="A553" s="65"/>
      <c r="B553" s="60"/>
      <c r="C553" s="60"/>
      <c r="D553" s="60"/>
      <c r="E553" s="61"/>
      <c r="F553" s="61"/>
      <c r="G553" s="59"/>
      <c r="H553" s="62"/>
      <c r="I553" s="60"/>
      <c r="J553" s="62"/>
      <c r="K553" s="63"/>
      <c r="L553" s="60"/>
    </row>
    <row r="554" spans="1:12" x14ac:dyDescent="0.25">
      <c r="A554" s="65"/>
      <c r="B554" s="60"/>
      <c r="C554" s="60"/>
      <c r="D554" s="60"/>
      <c r="E554" s="61"/>
      <c r="F554" s="61"/>
      <c r="G554" s="59"/>
      <c r="H554" s="62"/>
      <c r="I554" s="60"/>
      <c r="J554" s="62"/>
      <c r="K554" s="63"/>
      <c r="L554" s="60"/>
    </row>
    <row r="555" spans="1:12" x14ac:dyDescent="0.25">
      <c r="A555" s="65"/>
      <c r="B555" s="60"/>
      <c r="C555" s="60"/>
      <c r="D555" s="60"/>
      <c r="E555" s="61"/>
      <c r="F555" s="61"/>
      <c r="G555" s="59"/>
      <c r="H555" s="62"/>
      <c r="I555" s="60"/>
      <c r="J555" s="62"/>
      <c r="K555" s="63"/>
      <c r="L555" s="60"/>
    </row>
    <row r="556" spans="1:12" x14ac:dyDescent="0.25">
      <c r="A556" s="65"/>
      <c r="B556" s="60"/>
      <c r="C556" s="60"/>
      <c r="D556" s="60"/>
      <c r="E556" s="61"/>
      <c r="F556" s="61"/>
      <c r="G556" s="59"/>
      <c r="H556" s="62"/>
      <c r="I556" s="60"/>
      <c r="J556" s="62"/>
      <c r="K556" s="63"/>
      <c r="L556" s="60"/>
    </row>
    <row r="557" spans="1:12" x14ac:dyDescent="0.25">
      <c r="A557" s="65"/>
      <c r="B557" s="60"/>
      <c r="C557" s="60"/>
      <c r="D557" s="60"/>
      <c r="E557" s="61"/>
      <c r="F557" s="61"/>
      <c r="G557" s="59"/>
      <c r="H557" s="62"/>
      <c r="I557" s="60"/>
      <c r="J557" s="62"/>
      <c r="K557" s="63"/>
      <c r="L557" s="60"/>
    </row>
    <row r="558" spans="1:12" x14ac:dyDescent="0.25">
      <c r="A558" s="65"/>
      <c r="B558" s="60"/>
      <c r="C558" s="60"/>
      <c r="D558" s="60"/>
      <c r="E558" s="61"/>
      <c r="F558" s="61"/>
      <c r="G558" s="59"/>
      <c r="H558" s="62"/>
      <c r="I558" s="60"/>
      <c r="J558" s="62"/>
      <c r="K558" s="63"/>
      <c r="L558" s="60"/>
    </row>
    <row r="559" spans="1:12" x14ac:dyDescent="0.25">
      <c r="A559" s="65"/>
      <c r="B559" s="60"/>
      <c r="C559" s="60"/>
      <c r="D559" s="60"/>
      <c r="E559" s="61"/>
      <c r="F559" s="61"/>
      <c r="G559" s="59"/>
      <c r="H559" s="62"/>
      <c r="I559" s="60"/>
      <c r="J559" s="62"/>
      <c r="K559" s="63"/>
      <c r="L559" s="60"/>
    </row>
    <row r="560" spans="1:12" x14ac:dyDescent="0.25">
      <c r="A560" s="65"/>
      <c r="B560" s="60"/>
      <c r="C560" s="60"/>
      <c r="D560" s="60"/>
      <c r="E560" s="61"/>
      <c r="F560" s="61"/>
      <c r="G560" s="59"/>
      <c r="H560" s="62"/>
      <c r="I560" s="60"/>
      <c r="J560" s="62"/>
      <c r="K560" s="63"/>
      <c r="L560" s="60"/>
    </row>
    <row r="561" spans="1:12" x14ac:dyDescent="0.25">
      <c r="A561" s="65"/>
      <c r="B561" s="60"/>
      <c r="C561" s="60"/>
      <c r="D561" s="60"/>
      <c r="E561" s="61"/>
      <c r="F561" s="61"/>
      <c r="G561" s="59"/>
      <c r="H561" s="62"/>
      <c r="I561" s="60"/>
      <c r="J561" s="62"/>
      <c r="K561" s="63"/>
      <c r="L561" s="60"/>
    </row>
    <row r="562" spans="1:12" x14ac:dyDescent="0.25">
      <c r="A562" s="65"/>
      <c r="B562" s="60"/>
      <c r="C562" s="60"/>
      <c r="D562" s="60"/>
      <c r="E562" s="61"/>
      <c r="F562" s="61"/>
      <c r="G562" s="59"/>
      <c r="H562" s="62"/>
      <c r="I562" s="60"/>
      <c r="J562" s="62"/>
      <c r="K562" s="63"/>
      <c r="L562" s="60"/>
    </row>
    <row r="563" spans="1:12" x14ac:dyDescent="0.25">
      <c r="A563" s="65"/>
      <c r="B563" s="60"/>
      <c r="C563" s="60"/>
      <c r="D563" s="60"/>
      <c r="E563" s="61"/>
      <c r="F563" s="61"/>
      <c r="G563" s="59"/>
      <c r="H563" s="62"/>
      <c r="I563" s="60"/>
      <c r="J563" s="62"/>
      <c r="K563" s="63"/>
      <c r="L563" s="60"/>
    </row>
    <row r="564" spans="1:12" x14ac:dyDescent="0.25">
      <c r="A564" s="65"/>
      <c r="B564" s="60"/>
      <c r="C564" s="60"/>
      <c r="D564" s="60"/>
      <c r="E564" s="61"/>
      <c r="F564" s="61"/>
      <c r="G564" s="59"/>
      <c r="H564" s="62"/>
      <c r="I564" s="60"/>
      <c r="J564" s="62"/>
      <c r="K564" s="63"/>
      <c r="L564" s="60"/>
    </row>
    <row r="565" spans="1:12" x14ac:dyDescent="0.25">
      <c r="A565" s="65"/>
      <c r="B565" s="60"/>
      <c r="C565" s="60"/>
      <c r="D565" s="60"/>
      <c r="E565" s="61"/>
      <c r="F565" s="61"/>
      <c r="G565" s="59"/>
      <c r="H565" s="62"/>
      <c r="I565" s="60"/>
      <c r="J565" s="62"/>
      <c r="K565" s="63"/>
      <c r="L565" s="60"/>
    </row>
    <row r="566" spans="1:12" x14ac:dyDescent="0.25">
      <c r="A566" s="65"/>
      <c r="B566" s="60"/>
      <c r="C566" s="60"/>
      <c r="D566" s="60"/>
      <c r="E566" s="61"/>
      <c r="F566" s="61"/>
      <c r="G566" s="59"/>
      <c r="H566" s="62"/>
      <c r="I566" s="60"/>
      <c r="J566" s="62"/>
      <c r="K566" s="63"/>
      <c r="L566" s="60"/>
    </row>
    <row r="567" spans="1:12" x14ac:dyDescent="0.25">
      <c r="A567" s="65"/>
      <c r="B567" s="60"/>
      <c r="C567" s="60"/>
      <c r="D567" s="60"/>
      <c r="E567" s="61"/>
      <c r="F567" s="61"/>
      <c r="G567" s="59"/>
      <c r="H567" s="62"/>
      <c r="I567" s="60"/>
      <c r="J567" s="62"/>
      <c r="K567" s="63"/>
      <c r="L567" s="60"/>
    </row>
    <row r="568" spans="1:12" x14ac:dyDescent="0.25">
      <c r="A568" s="65"/>
      <c r="B568" s="60"/>
      <c r="C568" s="60"/>
      <c r="D568" s="60"/>
      <c r="E568" s="61"/>
      <c r="F568" s="61"/>
      <c r="G568" s="59"/>
      <c r="H568" s="62"/>
      <c r="I568" s="60"/>
      <c r="J568" s="62"/>
      <c r="K568" s="63"/>
      <c r="L568" s="60"/>
    </row>
    <row r="569" spans="1:12" x14ac:dyDescent="0.25">
      <c r="A569" s="65"/>
      <c r="B569" s="60"/>
      <c r="C569" s="60"/>
      <c r="D569" s="60"/>
      <c r="E569" s="61"/>
      <c r="F569" s="61"/>
      <c r="G569" s="59"/>
      <c r="H569" s="62"/>
      <c r="I569" s="60"/>
      <c r="J569" s="62"/>
      <c r="K569" s="63"/>
      <c r="L569" s="60"/>
    </row>
    <row r="570" spans="1:12" x14ac:dyDescent="0.25">
      <c r="A570" s="65"/>
      <c r="B570" s="60"/>
      <c r="C570" s="60"/>
      <c r="D570" s="60"/>
      <c r="E570" s="61"/>
      <c r="F570" s="61"/>
      <c r="G570" s="59"/>
      <c r="H570" s="62"/>
      <c r="I570" s="60"/>
      <c r="J570" s="62"/>
      <c r="K570" s="63"/>
      <c r="L570" s="60"/>
    </row>
    <row r="571" spans="1:12" x14ac:dyDescent="0.25">
      <c r="A571" s="65"/>
      <c r="B571" s="60"/>
      <c r="C571" s="60"/>
      <c r="D571" s="60"/>
      <c r="E571" s="61"/>
      <c r="F571" s="61"/>
      <c r="G571" s="59"/>
      <c r="H571" s="62"/>
      <c r="I571" s="60"/>
      <c r="J571" s="62"/>
      <c r="K571" s="63"/>
      <c r="L571" s="60"/>
    </row>
    <row r="572" spans="1:12" x14ac:dyDescent="0.25">
      <c r="A572" s="65"/>
      <c r="B572" s="60"/>
      <c r="C572" s="60"/>
      <c r="D572" s="60"/>
      <c r="E572" s="61"/>
      <c r="F572" s="61"/>
      <c r="G572" s="59"/>
      <c r="H572" s="62"/>
      <c r="I572" s="60"/>
      <c r="J572" s="62"/>
      <c r="K572" s="63"/>
      <c r="L572" s="60"/>
    </row>
    <row r="573" spans="1:12" x14ac:dyDescent="0.25">
      <c r="A573" s="65"/>
      <c r="B573" s="60"/>
      <c r="C573" s="60"/>
      <c r="D573" s="60"/>
      <c r="E573" s="61"/>
      <c r="F573" s="61"/>
      <c r="G573" s="59"/>
      <c r="H573" s="62"/>
      <c r="I573" s="60"/>
      <c r="J573" s="62"/>
      <c r="K573" s="63"/>
      <c r="L573" s="60"/>
    </row>
    <row r="574" spans="1:12" x14ac:dyDescent="0.25">
      <c r="A574" s="65"/>
      <c r="B574" s="60"/>
      <c r="C574" s="60"/>
      <c r="D574" s="60"/>
      <c r="E574" s="61"/>
      <c r="F574" s="61"/>
      <c r="G574" s="59"/>
      <c r="H574" s="62"/>
      <c r="I574" s="60"/>
      <c r="J574" s="62"/>
      <c r="K574" s="63"/>
      <c r="L574" s="60"/>
    </row>
    <row r="575" spans="1:12" x14ac:dyDescent="0.25">
      <c r="A575" s="65"/>
      <c r="B575" s="60"/>
      <c r="C575" s="60"/>
      <c r="D575" s="60"/>
      <c r="E575" s="61"/>
      <c r="F575" s="61"/>
      <c r="G575" s="59"/>
      <c r="H575" s="62"/>
      <c r="I575" s="60"/>
      <c r="J575" s="62"/>
      <c r="K575" s="63"/>
      <c r="L575" s="60"/>
    </row>
    <row r="576" spans="1:12" x14ac:dyDescent="0.25">
      <c r="A576" s="65"/>
      <c r="B576" s="60"/>
      <c r="C576" s="60"/>
      <c r="D576" s="60"/>
      <c r="E576" s="61"/>
      <c r="F576" s="61"/>
      <c r="G576" s="59"/>
      <c r="H576" s="62"/>
      <c r="I576" s="60"/>
      <c r="J576" s="62"/>
      <c r="K576" s="63"/>
      <c r="L576" s="60"/>
    </row>
    <row r="577" spans="1:12" x14ac:dyDescent="0.25">
      <c r="A577" s="65"/>
      <c r="B577" s="60"/>
      <c r="C577" s="60"/>
      <c r="D577" s="60"/>
      <c r="E577" s="61"/>
      <c r="F577" s="61"/>
      <c r="G577" s="59"/>
      <c r="H577" s="62"/>
      <c r="I577" s="60"/>
      <c r="J577" s="62"/>
      <c r="K577" s="63"/>
      <c r="L577" s="60"/>
    </row>
    <row r="578" spans="1:12" x14ac:dyDescent="0.25">
      <c r="A578" s="65"/>
      <c r="B578" s="60"/>
      <c r="C578" s="60"/>
      <c r="D578" s="60"/>
      <c r="E578" s="61"/>
      <c r="F578" s="61"/>
      <c r="G578" s="59"/>
      <c r="H578" s="62"/>
      <c r="I578" s="60"/>
      <c r="J578" s="62"/>
      <c r="K578" s="63"/>
      <c r="L578" s="60"/>
    </row>
    <row r="579" spans="1:12" x14ac:dyDescent="0.25">
      <c r="A579" s="65"/>
      <c r="B579" s="60"/>
      <c r="C579" s="60"/>
      <c r="D579" s="60"/>
      <c r="E579" s="61"/>
      <c r="F579" s="61"/>
      <c r="G579" s="59"/>
      <c r="H579" s="62"/>
      <c r="I579" s="60"/>
      <c r="J579" s="62"/>
      <c r="K579" s="63"/>
      <c r="L579" s="60"/>
    </row>
    <row r="580" spans="1:12" x14ac:dyDescent="0.25">
      <c r="A580" s="65"/>
      <c r="B580" s="60"/>
      <c r="C580" s="60"/>
      <c r="D580" s="60"/>
      <c r="E580" s="61"/>
      <c r="F580" s="61"/>
      <c r="G580" s="59"/>
      <c r="H580" s="62"/>
      <c r="I580" s="60"/>
      <c r="J580" s="62"/>
      <c r="K580" s="63"/>
      <c r="L580" s="60"/>
    </row>
    <row r="581" spans="1:12" x14ac:dyDescent="0.25">
      <c r="A581" s="65"/>
      <c r="B581" s="60"/>
      <c r="C581" s="60"/>
      <c r="D581" s="60"/>
      <c r="E581" s="61"/>
      <c r="F581" s="61"/>
      <c r="G581" s="59"/>
      <c r="H581" s="62"/>
      <c r="I581" s="60"/>
      <c r="J581" s="62"/>
      <c r="K581" s="63"/>
      <c r="L581" s="60"/>
    </row>
    <row r="582" spans="1:12" x14ac:dyDescent="0.25">
      <c r="A582" s="65"/>
      <c r="B582" s="60"/>
      <c r="C582" s="60"/>
      <c r="D582" s="60"/>
      <c r="E582" s="61"/>
      <c r="F582" s="61"/>
      <c r="G582" s="59"/>
      <c r="H582" s="62"/>
      <c r="I582" s="60"/>
      <c r="J582" s="62"/>
      <c r="K582" s="63"/>
      <c r="L582" s="60"/>
    </row>
    <row r="583" spans="1:12" x14ac:dyDescent="0.25">
      <c r="A583" s="65"/>
      <c r="B583" s="60"/>
      <c r="C583" s="60"/>
      <c r="D583" s="60"/>
      <c r="E583" s="61"/>
      <c r="F583" s="61"/>
      <c r="G583" s="59"/>
      <c r="H583" s="62"/>
      <c r="I583" s="60"/>
      <c r="J583" s="62"/>
      <c r="K583" s="63"/>
      <c r="L583" s="60"/>
    </row>
    <row r="584" spans="1:12" x14ac:dyDescent="0.25">
      <c r="A584" s="65"/>
      <c r="B584" s="60"/>
      <c r="C584" s="60"/>
      <c r="D584" s="60"/>
      <c r="E584" s="61"/>
      <c r="F584" s="61"/>
      <c r="G584" s="59"/>
      <c r="H584" s="62"/>
      <c r="I584" s="60"/>
      <c r="J584" s="62"/>
      <c r="K584" s="63"/>
      <c r="L584" s="60"/>
    </row>
    <row r="585" spans="1:12" x14ac:dyDescent="0.25">
      <c r="A585" s="65"/>
      <c r="B585" s="60"/>
      <c r="C585" s="60"/>
      <c r="D585" s="60"/>
      <c r="E585" s="61"/>
      <c r="F585" s="61"/>
      <c r="G585" s="59"/>
      <c r="H585" s="62"/>
      <c r="I585" s="60"/>
      <c r="J585" s="62"/>
      <c r="K585" s="63"/>
      <c r="L585" s="60"/>
    </row>
    <row r="586" spans="1:12" x14ac:dyDescent="0.25">
      <c r="A586" s="65"/>
      <c r="B586" s="60"/>
      <c r="C586" s="60"/>
      <c r="D586" s="60"/>
      <c r="E586" s="61"/>
      <c r="F586" s="61"/>
      <c r="G586" s="59"/>
      <c r="H586" s="62"/>
      <c r="I586" s="60"/>
      <c r="J586" s="62"/>
      <c r="K586" s="63"/>
      <c r="L586" s="60"/>
    </row>
    <row r="587" spans="1:12" x14ac:dyDescent="0.25">
      <c r="A587" s="65"/>
      <c r="B587" s="60"/>
      <c r="C587" s="60"/>
      <c r="D587" s="60"/>
      <c r="E587" s="61"/>
      <c r="F587" s="61"/>
      <c r="G587" s="59"/>
      <c r="H587" s="62"/>
      <c r="I587" s="60"/>
      <c r="J587" s="62"/>
      <c r="K587" s="63"/>
      <c r="L587" s="60"/>
    </row>
    <row r="588" spans="1:12" x14ac:dyDescent="0.25">
      <c r="A588" s="65"/>
      <c r="B588" s="60"/>
      <c r="C588" s="60"/>
      <c r="D588" s="60"/>
      <c r="E588" s="61"/>
      <c r="F588" s="61"/>
      <c r="G588" s="59"/>
      <c r="H588" s="62"/>
      <c r="I588" s="60"/>
      <c r="J588" s="62"/>
      <c r="K588" s="63"/>
      <c r="L588" s="60"/>
    </row>
    <row r="589" spans="1:12" x14ac:dyDescent="0.25">
      <c r="A589" s="65"/>
      <c r="B589" s="60"/>
      <c r="C589" s="60"/>
      <c r="D589" s="60"/>
      <c r="E589" s="61"/>
      <c r="F589" s="61"/>
      <c r="G589" s="59"/>
      <c r="H589" s="62"/>
      <c r="I589" s="60"/>
      <c r="J589" s="62"/>
      <c r="K589" s="63"/>
      <c r="L589" s="60"/>
    </row>
    <row r="590" spans="1:12" x14ac:dyDescent="0.25">
      <c r="A590" s="65"/>
      <c r="B590" s="60"/>
      <c r="C590" s="60"/>
      <c r="D590" s="60"/>
      <c r="E590" s="61"/>
      <c r="F590" s="61"/>
      <c r="G590" s="59"/>
      <c r="H590" s="62"/>
      <c r="I590" s="60"/>
      <c r="J590" s="62"/>
      <c r="K590" s="63"/>
      <c r="L590" s="60"/>
    </row>
    <row r="591" spans="1:12" x14ac:dyDescent="0.25">
      <c r="A591" s="65"/>
      <c r="B591" s="60"/>
      <c r="C591" s="60"/>
      <c r="D591" s="60"/>
      <c r="E591" s="61"/>
      <c r="F591" s="61"/>
      <c r="G591" s="59"/>
      <c r="H591" s="62"/>
      <c r="I591" s="60"/>
      <c r="J591" s="62"/>
      <c r="K591" s="63"/>
      <c r="L591" s="60"/>
    </row>
    <row r="592" spans="1:12" x14ac:dyDescent="0.25">
      <c r="A592" s="65"/>
      <c r="B592" s="60"/>
      <c r="C592" s="60"/>
      <c r="D592" s="60"/>
      <c r="E592" s="61"/>
      <c r="F592" s="61"/>
      <c r="G592" s="59"/>
      <c r="H592" s="62"/>
      <c r="I592" s="60"/>
      <c r="J592" s="62"/>
      <c r="K592" s="63"/>
      <c r="L592" s="60"/>
    </row>
    <row r="593" spans="1:12" x14ac:dyDescent="0.25">
      <c r="A593" s="65"/>
      <c r="B593" s="60"/>
      <c r="C593" s="60"/>
      <c r="D593" s="60"/>
      <c r="E593" s="61"/>
      <c r="F593" s="61"/>
      <c r="G593" s="59"/>
      <c r="H593" s="62"/>
      <c r="I593" s="60"/>
      <c r="J593" s="62"/>
      <c r="K593" s="63"/>
      <c r="L593" s="60"/>
    </row>
    <row r="594" spans="1:12" x14ac:dyDescent="0.25">
      <c r="A594" s="65"/>
      <c r="B594" s="60"/>
      <c r="C594" s="60"/>
      <c r="D594" s="60"/>
      <c r="E594" s="61"/>
      <c r="F594" s="61"/>
      <c r="G594" s="59"/>
      <c r="H594" s="62"/>
      <c r="I594" s="60"/>
      <c r="J594" s="62"/>
      <c r="K594" s="63"/>
      <c r="L594" s="60"/>
    </row>
    <row r="595" spans="1:12" x14ac:dyDescent="0.25">
      <c r="A595" s="65"/>
      <c r="B595" s="60"/>
      <c r="C595" s="60"/>
      <c r="D595" s="60"/>
      <c r="E595" s="61"/>
      <c r="F595" s="61"/>
      <c r="G595" s="59"/>
      <c r="H595" s="62"/>
      <c r="I595" s="60"/>
      <c r="J595" s="62"/>
      <c r="K595" s="63"/>
      <c r="L595" s="60"/>
    </row>
    <row r="596" spans="1:12" x14ac:dyDescent="0.25">
      <c r="A596" s="65"/>
      <c r="B596" s="60"/>
      <c r="C596" s="60"/>
      <c r="D596" s="60"/>
      <c r="E596" s="61"/>
      <c r="F596" s="61"/>
      <c r="G596" s="59"/>
      <c r="H596" s="62"/>
      <c r="I596" s="60"/>
      <c r="J596" s="62"/>
      <c r="K596" s="63"/>
      <c r="L596" s="60"/>
    </row>
    <row r="597" spans="1:12" x14ac:dyDescent="0.25">
      <c r="A597" s="65"/>
      <c r="B597" s="60"/>
      <c r="C597" s="60"/>
      <c r="D597" s="60"/>
      <c r="E597" s="61"/>
      <c r="F597" s="61"/>
      <c r="G597" s="59"/>
      <c r="H597" s="62"/>
      <c r="I597" s="60"/>
      <c r="J597" s="62"/>
      <c r="K597" s="63"/>
      <c r="L597" s="60"/>
    </row>
    <row r="598" spans="1:12" x14ac:dyDescent="0.25">
      <c r="A598" s="65"/>
      <c r="B598" s="60"/>
      <c r="C598" s="60"/>
      <c r="D598" s="60"/>
      <c r="E598" s="61"/>
      <c r="F598" s="61"/>
      <c r="G598" s="59"/>
      <c r="H598" s="62"/>
      <c r="I598" s="60"/>
      <c r="J598" s="62"/>
      <c r="K598" s="63"/>
      <c r="L598" s="60"/>
    </row>
    <row r="599" spans="1:12" x14ac:dyDescent="0.25">
      <c r="A599" s="65"/>
      <c r="B599" s="60"/>
      <c r="C599" s="60"/>
      <c r="D599" s="60"/>
      <c r="E599" s="61"/>
      <c r="F599" s="61"/>
      <c r="G599" s="59"/>
      <c r="H599" s="62"/>
      <c r="I599" s="60"/>
      <c r="J599" s="62"/>
      <c r="K599" s="63"/>
      <c r="L599" s="60"/>
    </row>
    <row r="600" spans="1:12" x14ac:dyDescent="0.25">
      <c r="A600" s="65"/>
      <c r="B600" s="60"/>
      <c r="C600" s="60"/>
      <c r="D600" s="60"/>
      <c r="E600" s="61"/>
      <c r="F600" s="61"/>
      <c r="G600" s="59"/>
      <c r="H600" s="62"/>
      <c r="I600" s="60"/>
      <c r="J600" s="62"/>
      <c r="K600" s="63"/>
      <c r="L600" s="60"/>
    </row>
    <row r="601" spans="1:12" x14ac:dyDescent="0.25">
      <c r="A601" s="65"/>
      <c r="B601" s="60"/>
      <c r="C601" s="60"/>
      <c r="D601" s="60"/>
      <c r="E601" s="61"/>
      <c r="F601" s="61"/>
      <c r="G601" s="59"/>
      <c r="H601" s="62"/>
      <c r="I601" s="60"/>
      <c r="J601" s="62"/>
      <c r="K601" s="63"/>
      <c r="L601" s="60"/>
    </row>
    <row r="602" spans="1:12" x14ac:dyDescent="0.25">
      <c r="A602" s="65"/>
      <c r="B602" s="60"/>
      <c r="C602" s="60"/>
      <c r="D602" s="60"/>
      <c r="E602" s="61"/>
      <c r="F602" s="61"/>
      <c r="G602" s="59"/>
      <c r="H602" s="62"/>
      <c r="I602" s="60"/>
      <c r="J602" s="62"/>
      <c r="K602" s="63"/>
      <c r="L602" s="60"/>
    </row>
    <row r="603" spans="1:12" x14ac:dyDescent="0.25">
      <c r="A603" s="65"/>
      <c r="B603" s="60"/>
      <c r="C603" s="60"/>
      <c r="D603" s="60"/>
      <c r="E603" s="61"/>
      <c r="F603" s="61"/>
      <c r="G603" s="59"/>
      <c r="H603" s="62"/>
      <c r="I603" s="60"/>
      <c r="J603" s="62"/>
      <c r="K603" s="63"/>
      <c r="L603" s="60"/>
    </row>
    <row r="604" spans="1:12" x14ac:dyDescent="0.25">
      <c r="A604" s="65"/>
      <c r="B604" s="60"/>
      <c r="C604" s="60"/>
      <c r="D604" s="60"/>
      <c r="E604" s="61"/>
      <c r="F604" s="61"/>
      <c r="G604" s="59"/>
      <c r="H604" s="62"/>
      <c r="I604" s="60"/>
      <c r="J604" s="62"/>
      <c r="K604" s="63"/>
      <c r="L604" s="60"/>
    </row>
    <row r="605" spans="1:12" x14ac:dyDescent="0.25">
      <c r="A605" s="65"/>
      <c r="B605" s="60"/>
      <c r="C605" s="60"/>
      <c r="D605" s="60"/>
      <c r="E605" s="61"/>
      <c r="F605" s="61"/>
      <c r="G605" s="59"/>
      <c r="H605" s="62"/>
      <c r="I605" s="60"/>
      <c r="J605" s="62"/>
      <c r="K605" s="63"/>
      <c r="L605" s="60"/>
    </row>
    <row r="606" spans="1:12" x14ac:dyDescent="0.25">
      <c r="A606" s="65"/>
      <c r="B606" s="60"/>
      <c r="C606" s="60"/>
      <c r="D606" s="60"/>
      <c r="E606" s="61"/>
      <c r="F606" s="61"/>
      <c r="G606" s="59"/>
      <c r="H606" s="62"/>
      <c r="I606" s="60"/>
      <c r="J606" s="62"/>
      <c r="K606" s="63"/>
      <c r="L606" s="60"/>
    </row>
    <row r="607" spans="1:12" x14ac:dyDescent="0.25">
      <c r="A607" s="65"/>
      <c r="B607" s="60"/>
      <c r="C607" s="60"/>
      <c r="D607" s="60"/>
      <c r="E607" s="61"/>
      <c r="F607" s="61"/>
      <c r="G607" s="59"/>
      <c r="H607" s="62"/>
      <c r="I607" s="60"/>
      <c r="J607" s="62"/>
      <c r="K607" s="63"/>
      <c r="L607" s="60"/>
    </row>
    <row r="608" spans="1:12" x14ac:dyDescent="0.25">
      <c r="A608" s="65"/>
      <c r="B608" s="60"/>
      <c r="C608" s="60"/>
      <c r="D608" s="60"/>
      <c r="E608" s="61"/>
      <c r="F608" s="61"/>
      <c r="G608" s="59"/>
      <c r="H608" s="62"/>
      <c r="I608" s="60"/>
      <c r="J608" s="62"/>
      <c r="K608" s="63"/>
      <c r="L608" s="60"/>
    </row>
    <row r="609" spans="1:12" x14ac:dyDescent="0.25">
      <c r="A609" s="65"/>
      <c r="B609" s="60"/>
      <c r="C609" s="60"/>
      <c r="D609" s="60"/>
      <c r="E609" s="61"/>
      <c r="F609" s="61"/>
      <c r="G609" s="59"/>
      <c r="H609" s="62"/>
      <c r="I609" s="60"/>
      <c r="J609" s="62"/>
      <c r="K609" s="63"/>
      <c r="L609" s="60"/>
    </row>
    <row r="610" spans="1:12" x14ac:dyDescent="0.25">
      <c r="A610" s="65"/>
      <c r="B610" s="60"/>
      <c r="C610" s="60"/>
      <c r="D610" s="60"/>
      <c r="E610" s="61"/>
      <c r="F610" s="61"/>
      <c r="G610" s="59"/>
      <c r="H610" s="62"/>
      <c r="I610" s="60"/>
      <c r="J610" s="62"/>
      <c r="K610" s="63"/>
      <c r="L610" s="60"/>
    </row>
    <row r="611" spans="1:12" x14ac:dyDescent="0.25">
      <c r="A611" s="65"/>
      <c r="B611" s="60"/>
      <c r="C611" s="60"/>
      <c r="D611" s="60"/>
      <c r="E611" s="61"/>
      <c r="F611" s="61"/>
      <c r="G611" s="59"/>
      <c r="H611" s="62"/>
      <c r="I611" s="60"/>
      <c r="J611" s="62"/>
      <c r="K611" s="63"/>
      <c r="L611" s="60"/>
    </row>
    <row r="612" spans="1:12" x14ac:dyDescent="0.25">
      <c r="A612" s="65"/>
      <c r="B612" s="60"/>
      <c r="C612" s="60"/>
      <c r="D612" s="60"/>
      <c r="E612" s="61"/>
      <c r="F612" s="61"/>
      <c r="G612" s="59"/>
      <c r="H612" s="62"/>
      <c r="I612" s="60"/>
      <c r="J612" s="62"/>
      <c r="K612" s="63"/>
      <c r="L612" s="60"/>
    </row>
    <row r="613" spans="1:12" x14ac:dyDescent="0.25">
      <c r="A613" s="65"/>
      <c r="B613" s="60"/>
      <c r="C613" s="60"/>
      <c r="D613" s="60"/>
      <c r="E613" s="61"/>
      <c r="F613" s="61"/>
      <c r="G613" s="59"/>
      <c r="H613" s="62"/>
      <c r="I613" s="60"/>
      <c r="J613" s="62"/>
      <c r="K613" s="63"/>
      <c r="L613" s="60"/>
    </row>
    <row r="614" spans="1:12" x14ac:dyDescent="0.25">
      <c r="A614" s="65"/>
      <c r="B614" s="60"/>
      <c r="C614" s="60"/>
      <c r="D614" s="60"/>
      <c r="E614" s="61"/>
      <c r="F614" s="61"/>
      <c r="G614" s="59"/>
      <c r="H614" s="62"/>
      <c r="I614" s="60"/>
      <c r="J614" s="62"/>
      <c r="K614" s="63"/>
      <c r="L614" s="60"/>
    </row>
    <row r="615" spans="1:12" x14ac:dyDescent="0.25">
      <c r="A615" s="65"/>
      <c r="B615" s="60"/>
      <c r="C615" s="60"/>
      <c r="D615" s="60"/>
      <c r="E615" s="61"/>
      <c r="F615" s="61"/>
      <c r="G615" s="59"/>
      <c r="H615" s="62"/>
      <c r="I615" s="60"/>
      <c r="J615" s="62"/>
      <c r="K615" s="63"/>
      <c r="L615" s="60"/>
    </row>
    <row r="616" spans="1:12" x14ac:dyDescent="0.25">
      <c r="A616" s="65"/>
      <c r="B616" s="60"/>
      <c r="C616" s="60"/>
      <c r="D616" s="60"/>
      <c r="E616" s="61"/>
      <c r="F616" s="61"/>
      <c r="G616" s="59"/>
      <c r="H616" s="62"/>
      <c r="I616" s="60"/>
      <c r="J616" s="62"/>
      <c r="K616" s="63"/>
      <c r="L616" s="60"/>
    </row>
    <row r="617" spans="1:12" x14ac:dyDescent="0.25">
      <c r="A617" s="65"/>
      <c r="B617" s="60"/>
      <c r="C617" s="60"/>
      <c r="D617" s="60"/>
      <c r="E617" s="61"/>
      <c r="F617" s="61"/>
      <c r="G617" s="59"/>
      <c r="H617" s="62"/>
      <c r="I617" s="60"/>
      <c r="J617" s="62"/>
      <c r="K617" s="63"/>
      <c r="L617" s="60"/>
    </row>
    <row r="618" spans="1:12" x14ac:dyDescent="0.25">
      <c r="A618" s="65"/>
      <c r="B618" s="60"/>
      <c r="C618" s="60"/>
      <c r="D618" s="60"/>
      <c r="E618" s="61"/>
      <c r="F618" s="61"/>
      <c r="G618" s="59"/>
      <c r="H618" s="62"/>
      <c r="I618" s="60"/>
      <c r="J618" s="62"/>
      <c r="K618" s="63"/>
      <c r="L618" s="60"/>
    </row>
    <row r="619" spans="1:12" x14ac:dyDescent="0.25">
      <c r="A619" s="65"/>
      <c r="B619" s="60"/>
      <c r="C619" s="60"/>
      <c r="D619" s="60"/>
      <c r="E619" s="61"/>
      <c r="F619" s="61"/>
      <c r="G619" s="59"/>
      <c r="H619" s="62"/>
      <c r="I619" s="60"/>
      <c r="J619" s="62"/>
      <c r="K619" s="63"/>
      <c r="L619" s="60"/>
    </row>
    <row r="620" spans="1:12" x14ac:dyDescent="0.25">
      <c r="A620" s="65"/>
      <c r="B620" s="60"/>
      <c r="C620" s="60"/>
      <c r="D620" s="60"/>
      <c r="E620" s="61"/>
      <c r="F620" s="61"/>
      <c r="G620" s="59"/>
      <c r="H620" s="62"/>
      <c r="I620" s="60"/>
      <c r="J620" s="62"/>
      <c r="K620" s="63"/>
      <c r="L620" s="60"/>
    </row>
    <row r="621" spans="1:12" x14ac:dyDescent="0.25">
      <c r="A621" s="65"/>
      <c r="B621" s="60"/>
      <c r="C621" s="60"/>
      <c r="D621" s="60"/>
      <c r="E621" s="61"/>
      <c r="F621" s="61"/>
      <c r="G621" s="59"/>
      <c r="H621" s="62"/>
      <c r="I621" s="60"/>
      <c r="J621" s="62"/>
      <c r="K621" s="63"/>
      <c r="L621" s="60"/>
    </row>
    <row r="622" spans="1:12" x14ac:dyDescent="0.25">
      <c r="A622" s="65"/>
      <c r="B622" s="60"/>
      <c r="C622" s="60"/>
      <c r="D622" s="60"/>
      <c r="E622" s="61"/>
      <c r="F622" s="61"/>
      <c r="G622" s="59"/>
      <c r="H622" s="62"/>
      <c r="I622" s="60"/>
      <c r="J622" s="62"/>
      <c r="K622" s="63"/>
      <c r="L622" s="60"/>
    </row>
    <row r="623" spans="1:12" x14ac:dyDescent="0.25">
      <c r="A623" s="65"/>
      <c r="B623" s="60"/>
      <c r="C623" s="60"/>
      <c r="D623" s="60"/>
      <c r="E623" s="61"/>
      <c r="F623" s="61"/>
      <c r="G623" s="59"/>
      <c r="H623" s="62"/>
      <c r="I623" s="60"/>
      <c r="J623" s="62"/>
      <c r="K623" s="63"/>
      <c r="L623" s="60"/>
    </row>
    <row r="624" spans="1:12" x14ac:dyDescent="0.25">
      <c r="A624" s="65"/>
      <c r="B624" s="60"/>
      <c r="C624" s="60"/>
      <c r="D624" s="60"/>
      <c r="E624" s="61"/>
      <c r="F624" s="61"/>
      <c r="G624" s="59"/>
      <c r="H624" s="62"/>
      <c r="I624" s="60"/>
      <c r="J624" s="62"/>
      <c r="K624" s="63"/>
      <c r="L624" s="60"/>
    </row>
    <row r="625" spans="1:12" x14ac:dyDescent="0.25">
      <c r="A625" s="65"/>
      <c r="B625" s="60"/>
      <c r="C625" s="60"/>
      <c r="D625" s="60"/>
      <c r="E625" s="61"/>
      <c r="F625" s="61"/>
      <c r="G625" s="59"/>
      <c r="H625" s="62"/>
      <c r="I625" s="60"/>
      <c r="J625" s="62"/>
      <c r="K625" s="63"/>
      <c r="L625" s="60"/>
    </row>
    <row r="626" spans="1:12" x14ac:dyDescent="0.25">
      <c r="A626" s="65"/>
      <c r="B626" s="60"/>
      <c r="C626" s="60"/>
      <c r="D626" s="60"/>
      <c r="E626" s="61"/>
      <c r="F626" s="61"/>
      <c r="G626" s="59"/>
      <c r="H626" s="62"/>
      <c r="I626" s="60"/>
      <c r="J626" s="62"/>
      <c r="K626" s="63"/>
      <c r="L626" s="60"/>
    </row>
    <row r="627" spans="1:12" x14ac:dyDescent="0.25">
      <c r="A627" s="65"/>
      <c r="B627" s="60"/>
      <c r="C627" s="60"/>
      <c r="D627" s="60"/>
      <c r="E627" s="61"/>
      <c r="F627" s="61"/>
      <c r="G627" s="59"/>
      <c r="H627" s="62"/>
      <c r="I627" s="60"/>
      <c r="J627" s="62"/>
      <c r="K627" s="63"/>
      <c r="L627" s="60"/>
    </row>
    <row r="628" spans="1:12" x14ac:dyDescent="0.25">
      <c r="A628" s="65"/>
      <c r="B628" s="60"/>
      <c r="C628" s="60"/>
      <c r="D628" s="60"/>
      <c r="E628" s="61"/>
      <c r="F628" s="61"/>
      <c r="G628" s="59"/>
      <c r="H628" s="62"/>
      <c r="I628" s="60"/>
      <c r="J628" s="62"/>
      <c r="K628" s="63"/>
      <c r="L628" s="60"/>
    </row>
    <row r="629" spans="1:12" x14ac:dyDescent="0.25">
      <c r="A629" s="65"/>
      <c r="B629" s="60"/>
      <c r="C629" s="60"/>
      <c r="D629" s="60"/>
      <c r="E629" s="61"/>
      <c r="F629" s="61"/>
      <c r="G629" s="59"/>
      <c r="H629" s="62"/>
      <c r="I629" s="60"/>
      <c r="J629" s="62"/>
      <c r="K629" s="63"/>
      <c r="L629" s="60"/>
    </row>
    <row r="630" spans="1:12" x14ac:dyDescent="0.25">
      <c r="A630" s="65"/>
      <c r="B630" s="60"/>
      <c r="C630" s="60"/>
      <c r="D630" s="60"/>
      <c r="E630" s="61"/>
      <c r="F630" s="61"/>
      <c r="G630" s="59"/>
      <c r="H630" s="62"/>
      <c r="I630" s="60"/>
      <c r="J630" s="62"/>
      <c r="K630" s="63"/>
      <c r="L630" s="60"/>
    </row>
    <row r="631" spans="1:12" x14ac:dyDescent="0.25">
      <c r="A631" s="65"/>
      <c r="B631" s="60"/>
      <c r="C631" s="60"/>
      <c r="D631" s="60"/>
      <c r="E631" s="61"/>
      <c r="F631" s="61"/>
      <c r="G631" s="59"/>
      <c r="H631" s="62"/>
      <c r="I631" s="60"/>
      <c r="J631" s="62"/>
      <c r="K631" s="63"/>
      <c r="L631" s="60"/>
    </row>
    <row r="632" spans="1:12" x14ac:dyDescent="0.25">
      <c r="A632" s="65"/>
      <c r="B632" s="60"/>
      <c r="C632" s="60"/>
      <c r="D632" s="60"/>
      <c r="E632" s="61"/>
      <c r="F632" s="61"/>
      <c r="G632" s="59"/>
      <c r="H632" s="62"/>
      <c r="I632" s="60"/>
      <c r="J632" s="62"/>
      <c r="K632" s="63"/>
      <c r="L632" s="60"/>
    </row>
    <row r="633" spans="1:12" x14ac:dyDescent="0.25">
      <c r="A633" s="65"/>
      <c r="B633" s="60"/>
      <c r="C633" s="60"/>
      <c r="D633" s="60"/>
      <c r="E633" s="61"/>
      <c r="F633" s="61"/>
      <c r="G633" s="59"/>
      <c r="H633" s="62"/>
      <c r="I633" s="60"/>
      <c r="J633" s="62"/>
      <c r="K633" s="63"/>
      <c r="L633" s="60"/>
    </row>
    <row r="634" spans="1:12" x14ac:dyDescent="0.25">
      <c r="A634" s="65"/>
      <c r="B634" s="60"/>
      <c r="C634" s="60"/>
      <c r="D634" s="60"/>
      <c r="E634" s="61"/>
      <c r="F634" s="61"/>
      <c r="G634" s="59"/>
      <c r="H634" s="62"/>
      <c r="I634" s="60"/>
      <c r="J634" s="62"/>
      <c r="K634" s="63"/>
      <c r="L634" s="60"/>
    </row>
    <row r="635" spans="1:12" x14ac:dyDescent="0.25">
      <c r="A635" s="65"/>
      <c r="B635" s="60"/>
      <c r="C635" s="60"/>
      <c r="D635" s="60"/>
      <c r="E635" s="61"/>
      <c r="F635" s="61"/>
      <c r="G635" s="59"/>
      <c r="H635" s="62"/>
      <c r="I635" s="60"/>
      <c r="J635" s="62"/>
      <c r="K635" s="63"/>
      <c r="L635" s="60"/>
    </row>
    <row r="636" spans="1:12" x14ac:dyDescent="0.25">
      <c r="A636" s="65"/>
      <c r="B636" s="60"/>
      <c r="C636" s="60"/>
      <c r="D636" s="60"/>
      <c r="E636" s="61"/>
      <c r="F636" s="61"/>
      <c r="G636" s="59"/>
      <c r="H636" s="62"/>
      <c r="I636" s="60"/>
      <c r="J636" s="62"/>
      <c r="K636" s="63"/>
      <c r="L636" s="60"/>
    </row>
    <row r="637" spans="1:12" x14ac:dyDescent="0.25">
      <c r="A637" s="65"/>
      <c r="B637" s="60"/>
      <c r="C637" s="60"/>
      <c r="D637" s="60"/>
      <c r="E637" s="61"/>
      <c r="F637" s="61"/>
      <c r="G637" s="59"/>
      <c r="H637" s="62"/>
      <c r="I637" s="60"/>
      <c r="J637" s="62"/>
      <c r="K637" s="63"/>
      <c r="L637" s="60"/>
    </row>
    <row r="638" spans="1:12" x14ac:dyDescent="0.25">
      <c r="A638" s="65"/>
      <c r="B638" s="60"/>
      <c r="C638" s="60"/>
      <c r="D638" s="60"/>
      <c r="E638" s="61"/>
      <c r="F638" s="61"/>
      <c r="G638" s="59"/>
      <c r="H638" s="62"/>
      <c r="I638" s="60"/>
      <c r="J638" s="62"/>
      <c r="K638" s="63"/>
      <c r="L638" s="60"/>
    </row>
    <row r="639" spans="1:12" x14ac:dyDescent="0.25">
      <c r="A639" s="65"/>
      <c r="B639" s="60"/>
      <c r="C639" s="60"/>
      <c r="D639" s="60"/>
      <c r="E639" s="61"/>
      <c r="F639" s="61"/>
      <c r="G639" s="59"/>
      <c r="H639" s="62"/>
      <c r="I639" s="60"/>
      <c r="J639" s="62"/>
      <c r="K639" s="63"/>
      <c r="L639" s="60"/>
    </row>
    <row r="640" spans="1:12" x14ac:dyDescent="0.25">
      <c r="A640" s="65"/>
      <c r="B640" s="60"/>
      <c r="C640" s="60"/>
      <c r="D640" s="60"/>
      <c r="E640" s="61"/>
      <c r="F640" s="61"/>
      <c r="G640" s="59"/>
      <c r="H640" s="62"/>
      <c r="I640" s="60"/>
      <c r="J640" s="62"/>
      <c r="K640" s="63"/>
      <c r="L640" s="60"/>
    </row>
    <row r="641" spans="1:12" x14ac:dyDescent="0.25">
      <c r="A641" s="65"/>
      <c r="B641" s="60"/>
      <c r="C641" s="60"/>
      <c r="D641" s="60"/>
      <c r="E641" s="61"/>
      <c r="F641" s="61"/>
      <c r="G641" s="59"/>
      <c r="H641" s="62"/>
      <c r="I641" s="60"/>
      <c r="J641" s="62"/>
      <c r="K641" s="63"/>
      <c r="L641" s="60"/>
    </row>
    <row r="642" spans="1:12" x14ac:dyDescent="0.25">
      <c r="A642" s="65"/>
      <c r="B642" s="60"/>
      <c r="C642" s="60"/>
      <c r="D642" s="60"/>
      <c r="E642" s="61"/>
      <c r="F642" s="61"/>
      <c r="G642" s="59"/>
      <c r="H642" s="62"/>
      <c r="I642" s="60"/>
      <c r="J642" s="62"/>
      <c r="K642" s="63"/>
      <c r="L642" s="60"/>
    </row>
    <row r="643" spans="1:12" x14ac:dyDescent="0.25">
      <c r="A643" s="65"/>
      <c r="B643" s="60"/>
      <c r="C643" s="60"/>
      <c r="D643" s="60"/>
      <c r="E643" s="61"/>
      <c r="F643" s="61"/>
      <c r="G643" s="59"/>
      <c r="H643" s="62"/>
      <c r="I643" s="60"/>
      <c r="J643" s="62"/>
      <c r="K643" s="63"/>
      <c r="L643" s="60"/>
    </row>
    <row r="644" spans="1:12" x14ac:dyDescent="0.25">
      <c r="A644" s="65"/>
      <c r="B644" s="60"/>
      <c r="C644" s="60"/>
      <c r="D644" s="60"/>
      <c r="E644" s="61"/>
      <c r="F644" s="61"/>
      <c r="G644" s="59"/>
      <c r="H644" s="62"/>
      <c r="I644" s="60"/>
      <c r="J644" s="62"/>
      <c r="K644" s="63"/>
      <c r="L644" s="60"/>
    </row>
    <row r="645" spans="1:12" x14ac:dyDescent="0.25">
      <c r="A645" s="65"/>
      <c r="B645" s="60"/>
      <c r="C645" s="60"/>
      <c r="D645" s="60"/>
      <c r="E645" s="61"/>
      <c r="F645" s="61"/>
      <c r="G645" s="59"/>
      <c r="H645" s="62"/>
      <c r="I645" s="60"/>
      <c r="J645" s="62"/>
      <c r="K645" s="63"/>
      <c r="L645" s="60"/>
    </row>
    <row r="646" spans="1:12" x14ac:dyDescent="0.25">
      <c r="A646" s="65"/>
      <c r="B646" s="60"/>
      <c r="C646" s="60"/>
      <c r="D646" s="60"/>
      <c r="E646" s="61"/>
      <c r="F646" s="61"/>
      <c r="G646" s="59"/>
      <c r="H646" s="62"/>
      <c r="I646" s="60"/>
      <c r="J646" s="62"/>
      <c r="K646" s="63"/>
      <c r="L646" s="60"/>
    </row>
    <row r="647" spans="1:12" x14ac:dyDescent="0.25">
      <c r="A647" s="65"/>
      <c r="B647" s="60"/>
      <c r="C647" s="60"/>
      <c r="D647" s="60"/>
      <c r="E647" s="61"/>
      <c r="F647" s="61"/>
      <c r="G647" s="59"/>
      <c r="H647" s="62"/>
      <c r="I647" s="60"/>
      <c r="J647" s="62"/>
      <c r="K647" s="63"/>
      <c r="L647" s="60"/>
    </row>
    <row r="648" spans="1:12" x14ac:dyDescent="0.25">
      <c r="A648" s="65"/>
      <c r="B648" s="60"/>
      <c r="C648" s="60"/>
      <c r="D648" s="60"/>
      <c r="E648" s="61"/>
      <c r="F648" s="61"/>
      <c r="G648" s="59"/>
      <c r="H648" s="62"/>
      <c r="I648" s="60"/>
      <c r="J648" s="62"/>
      <c r="K648" s="63"/>
      <c r="L648" s="60"/>
    </row>
    <row r="649" spans="1:12" x14ac:dyDescent="0.25">
      <c r="A649" s="65"/>
      <c r="B649" s="60"/>
      <c r="C649" s="60"/>
      <c r="D649" s="60"/>
      <c r="E649" s="61"/>
      <c r="F649" s="61"/>
      <c r="G649" s="59"/>
      <c r="H649" s="62"/>
      <c r="I649" s="60"/>
      <c r="J649" s="62"/>
      <c r="K649" s="63"/>
      <c r="L649" s="60"/>
    </row>
    <row r="650" spans="1:12" x14ac:dyDescent="0.25">
      <c r="A650" s="65"/>
      <c r="B650" s="60"/>
      <c r="C650" s="60"/>
      <c r="D650" s="60"/>
      <c r="E650" s="61"/>
      <c r="F650" s="61"/>
      <c r="G650" s="59"/>
      <c r="H650" s="62"/>
      <c r="I650" s="60"/>
      <c r="J650" s="62"/>
      <c r="K650" s="63"/>
      <c r="L650" s="60"/>
    </row>
    <row r="651" spans="1:12" x14ac:dyDescent="0.25">
      <c r="A651" s="65"/>
      <c r="B651" s="60"/>
      <c r="C651" s="60"/>
      <c r="D651" s="60"/>
      <c r="E651" s="61"/>
      <c r="F651" s="61"/>
      <c r="G651" s="59"/>
      <c r="H651" s="62"/>
      <c r="I651" s="60"/>
      <c r="J651" s="62"/>
      <c r="K651" s="63"/>
      <c r="L651" s="60"/>
    </row>
    <row r="652" spans="1:12" x14ac:dyDescent="0.25">
      <c r="A652" s="65"/>
      <c r="B652" s="60"/>
      <c r="C652" s="60"/>
      <c r="D652" s="60"/>
      <c r="E652" s="61"/>
      <c r="F652" s="61"/>
      <c r="G652" s="59"/>
      <c r="H652" s="62"/>
      <c r="I652" s="60"/>
      <c r="J652" s="62"/>
      <c r="K652" s="63"/>
      <c r="L652" s="60"/>
    </row>
    <row r="653" spans="1:12" x14ac:dyDescent="0.25">
      <c r="A653" s="65"/>
      <c r="B653" s="60"/>
      <c r="C653" s="60"/>
      <c r="D653" s="60"/>
      <c r="E653" s="61"/>
      <c r="F653" s="61"/>
      <c r="G653" s="59"/>
      <c r="H653" s="62"/>
      <c r="I653" s="60"/>
      <c r="J653" s="62"/>
      <c r="K653" s="63"/>
      <c r="L653" s="60"/>
    </row>
    <row r="654" spans="1:12" x14ac:dyDescent="0.25">
      <c r="A654" s="65"/>
      <c r="B654" s="60"/>
      <c r="C654" s="60"/>
      <c r="D654" s="60"/>
      <c r="E654" s="61"/>
      <c r="F654" s="61"/>
      <c r="G654" s="59"/>
      <c r="H654" s="62"/>
      <c r="I654" s="60"/>
      <c r="J654" s="62"/>
      <c r="K654" s="63"/>
      <c r="L654" s="60"/>
    </row>
    <row r="655" spans="1:12" x14ac:dyDescent="0.25">
      <c r="A655" s="65"/>
      <c r="B655" s="60"/>
      <c r="C655" s="60"/>
      <c r="D655" s="60"/>
      <c r="E655" s="61"/>
      <c r="F655" s="61"/>
      <c r="G655" s="59"/>
      <c r="H655" s="62"/>
      <c r="I655" s="60"/>
      <c r="J655" s="62"/>
      <c r="K655" s="63"/>
      <c r="L655" s="60"/>
    </row>
    <row r="656" spans="1:12" x14ac:dyDescent="0.25">
      <c r="A656" s="65"/>
      <c r="B656" s="60"/>
      <c r="C656" s="60"/>
      <c r="D656" s="60"/>
      <c r="E656" s="61"/>
      <c r="F656" s="61"/>
      <c r="G656" s="59"/>
      <c r="H656" s="62"/>
      <c r="I656" s="60"/>
      <c r="J656" s="62"/>
      <c r="K656" s="63"/>
      <c r="L656" s="60"/>
    </row>
    <row r="657" spans="1:12" x14ac:dyDescent="0.25">
      <c r="A657" s="65"/>
      <c r="B657" s="60"/>
      <c r="C657" s="60"/>
      <c r="D657" s="60"/>
      <c r="E657" s="61"/>
      <c r="F657" s="61"/>
      <c r="G657" s="59"/>
      <c r="H657" s="62"/>
      <c r="I657" s="60"/>
      <c r="J657" s="62"/>
      <c r="K657" s="63"/>
      <c r="L657" s="60"/>
    </row>
    <row r="658" spans="1:12" x14ac:dyDescent="0.25">
      <c r="A658" s="65"/>
      <c r="B658" s="60"/>
      <c r="C658" s="60"/>
      <c r="D658" s="60"/>
      <c r="E658" s="61"/>
      <c r="F658" s="61"/>
      <c r="G658" s="59"/>
      <c r="H658" s="62"/>
      <c r="I658" s="60"/>
      <c r="J658" s="62"/>
      <c r="K658" s="63"/>
      <c r="L658" s="60"/>
    </row>
    <row r="659" spans="1:12" x14ac:dyDescent="0.25">
      <c r="A659" s="65"/>
      <c r="B659" s="60"/>
      <c r="C659" s="60"/>
      <c r="D659" s="60"/>
      <c r="E659" s="61"/>
      <c r="F659" s="61"/>
      <c r="G659" s="59"/>
      <c r="H659" s="62"/>
      <c r="I659" s="60"/>
      <c r="J659" s="62"/>
      <c r="K659" s="63"/>
      <c r="L659" s="60"/>
    </row>
    <row r="660" spans="1:12" x14ac:dyDescent="0.25">
      <c r="A660" s="65"/>
      <c r="B660" s="60"/>
      <c r="C660" s="60"/>
      <c r="D660" s="60"/>
      <c r="E660" s="61"/>
      <c r="F660" s="61"/>
      <c r="G660" s="59"/>
      <c r="H660" s="62"/>
      <c r="I660" s="60"/>
      <c r="J660" s="62"/>
      <c r="K660" s="63"/>
      <c r="L660" s="60"/>
    </row>
    <row r="661" spans="1:12" x14ac:dyDescent="0.25">
      <c r="A661" s="65"/>
      <c r="B661" s="60"/>
      <c r="C661" s="60"/>
      <c r="D661" s="60"/>
      <c r="E661" s="61"/>
      <c r="F661" s="61"/>
      <c r="G661" s="59"/>
      <c r="H661" s="62"/>
      <c r="I661" s="60"/>
      <c r="J661" s="62"/>
      <c r="K661" s="63"/>
      <c r="L661" s="60"/>
    </row>
    <row r="662" spans="1:12" x14ac:dyDescent="0.25">
      <c r="A662" s="65"/>
      <c r="B662" s="60"/>
      <c r="C662" s="60"/>
      <c r="D662" s="60"/>
      <c r="E662" s="61"/>
      <c r="F662" s="61"/>
      <c r="G662" s="59"/>
      <c r="H662" s="62"/>
      <c r="I662" s="60"/>
      <c r="J662" s="62"/>
      <c r="K662" s="63"/>
      <c r="L662" s="60"/>
    </row>
    <row r="663" spans="1:12" x14ac:dyDescent="0.25">
      <c r="A663" s="65"/>
      <c r="B663" s="60"/>
      <c r="C663" s="60"/>
      <c r="D663" s="60"/>
      <c r="E663" s="61"/>
      <c r="F663" s="61"/>
      <c r="G663" s="59"/>
      <c r="H663" s="62"/>
      <c r="I663" s="60"/>
      <c r="J663" s="62"/>
      <c r="K663" s="63"/>
      <c r="L663" s="60"/>
    </row>
    <row r="664" spans="1:12" x14ac:dyDescent="0.25">
      <c r="A664" s="65"/>
      <c r="B664" s="60"/>
      <c r="C664" s="60"/>
      <c r="D664" s="60"/>
      <c r="E664" s="61"/>
      <c r="F664" s="61"/>
      <c r="G664" s="59"/>
      <c r="H664" s="62"/>
      <c r="I664" s="60"/>
      <c r="J664" s="62"/>
      <c r="K664" s="63"/>
      <c r="L664" s="60"/>
    </row>
    <row r="665" spans="1:12" x14ac:dyDescent="0.25">
      <c r="A665" s="65"/>
      <c r="B665" s="60"/>
      <c r="C665" s="60"/>
      <c r="D665" s="60"/>
      <c r="E665" s="61"/>
      <c r="F665" s="61"/>
      <c r="G665" s="59"/>
      <c r="H665" s="62"/>
      <c r="I665" s="60"/>
      <c r="J665" s="62"/>
      <c r="K665" s="63"/>
      <c r="L665" s="60"/>
    </row>
    <row r="666" spans="1:12" x14ac:dyDescent="0.25">
      <c r="A666" s="65"/>
      <c r="B666" s="60"/>
      <c r="C666" s="60"/>
      <c r="D666" s="60"/>
      <c r="E666" s="61"/>
      <c r="F666" s="61"/>
      <c r="G666" s="59"/>
      <c r="H666" s="62"/>
      <c r="I666" s="60"/>
      <c r="J666" s="62"/>
      <c r="K666" s="63"/>
      <c r="L666" s="60"/>
    </row>
    <row r="667" spans="1:12" x14ac:dyDescent="0.25">
      <c r="A667" s="65"/>
      <c r="B667" s="60"/>
      <c r="C667" s="60"/>
      <c r="D667" s="60"/>
      <c r="E667" s="61"/>
      <c r="F667" s="61"/>
      <c r="G667" s="59"/>
      <c r="H667" s="62"/>
      <c r="I667" s="60"/>
      <c r="J667" s="62"/>
      <c r="K667" s="63"/>
      <c r="L667" s="60"/>
    </row>
    <row r="668" spans="1:12" x14ac:dyDescent="0.25">
      <c r="A668" s="65"/>
      <c r="B668" s="60"/>
      <c r="C668" s="60"/>
      <c r="D668" s="60"/>
      <c r="E668" s="61"/>
      <c r="F668" s="61"/>
      <c r="G668" s="59"/>
      <c r="H668" s="62"/>
      <c r="I668" s="60"/>
      <c r="J668" s="62"/>
      <c r="K668" s="63"/>
      <c r="L668" s="60"/>
    </row>
    <row r="669" spans="1:12" x14ac:dyDescent="0.25">
      <c r="A669" s="65"/>
      <c r="B669" s="60"/>
      <c r="C669" s="60"/>
      <c r="D669" s="60"/>
      <c r="E669" s="61"/>
      <c r="F669" s="61"/>
      <c r="G669" s="59"/>
      <c r="H669" s="62"/>
      <c r="I669" s="60"/>
      <c r="J669" s="62"/>
      <c r="K669" s="63"/>
      <c r="L669" s="60"/>
    </row>
    <row r="670" spans="1:12" x14ac:dyDescent="0.25">
      <c r="A670" s="65"/>
      <c r="B670" s="60"/>
      <c r="C670" s="60"/>
      <c r="D670" s="60"/>
      <c r="E670" s="61"/>
      <c r="F670" s="61"/>
      <c r="G670" s="59"/>
      <c r="H670" s="62"/>
      <c r="I670" s="60"/>
      <c r="J670" s="62"/>
      <c r="K670" s="63"/>
      <c r="L670" s="60"/>
    </row>
    <row r="671" spans="1:12" x14ac:dyDescent="0.25">
      <c r="A671" s="65"/>
      <c r="B671" s="60"/>
      <c r="C671" s="60"/>
      <c r="D671" s="60"/>
      <c r="E671" s="61"/>
      <c r="F671" s="61"/>
      <c r="G671" s="59"/>
      <c r="H671" s="62"/>
      <c r="I671" s="60"/>
      <c r="J671" s="62"/>
      <c r="K671" s="63"/>
      <c r="L671" s="60"/>
    </row>
    <row r="672" spans="1:12" x14ac:dyDescent="0.25">
      <c r="A672" s="65"/>
      <c r="B672" s="60"/>
      <c r="C672" s="60"/>
      <c r="D672" s="60"/>
      <c r="E672" s="61"/>
      <c r="F672" s="61"/>
      <c r="G672" s="59"/>
      <c r="H672" s="62"/>
      <c r="I672" s="60"/>
      <c r="J672" s="62"/>
      <c r="K672" s="63"/>
      <c r="L672" s="60"/>
    </row>
    <row r="673" spans="1:12" x14ac:dyDescent="0.25">
      <c r="A673" s="65"/>
      <c r="B673" s="60"/>
      <c r="C673" s="60"/>
      <c r="D673" s="60"/>
      <c r="E673" s="61"/>
      <c r="F673" s="61"/>
      <c r="G673" s="59"/>
      <c r="H673" s="62"/>
      <c r="I673" s="60"/>
      <c r="J673" s="62"/>
      <c r="K673" s="63"/>
      <c r="L673" s="60"/>
    </row>
    <row r="674" spans="1:12" x14ac:dyDescent="0.25">
      <c r="A674" s="65"/>
      <c r="B674" s="60"/>
      <c r="C674" s="60"/>
      <c r="D674" s="60"/>
      <c r="E674" s="61"/>
      <c r="F674" s="61"/>
      <c r="G674" s="59"/>
      <c r="H674" s="62"/>
      <c r="I674" s="60"/>
      <c r="J674" s="62"/>
      <c r="K674" s="63"/>
      <c r="L674" s="60"/>
    </row>
    <row r="675" spans="1:12" x14ac:dyDescent="0.25">
      <c r="A675" s="65"/>
      <c r="B675" s="60"/>
      <c r="C675" s="60"/>
      <c r="D675" s="60"/>
      <c r="E675" s="61"/>
      <c r="F675" s="61"/>
      <c r="G675" s="59"/>
      <c r="H675" s="62"/>
      <c r="I675" s="60"/>
      <c r="J675" s="62"/>
      <c r="K675" s="63"/>
      <c r="L675" s="60"/>
    </row>
    <row r="676" spans="1:12" x14ac:dyDescent="0.25">
      <c r="A676" s="65"/>
      <c r="B676" s="60"/>
      <c r="C676" s="60"/>
      <c r="D676" s="60"/>
      <c r="E676" s="61"/>
      <c r="F676" s="61"/>
      <c r="G676" s="59"/>
      <c r="H676" s="62"/>
      <c r="I676" s="60"/>
      <c r="J676" s="62"/>
      <c r="K676" s="63"/>
      <c r="L676" s="60"/>
    </row>
    <row r="677" spans="1:12" x14ac:dyDescent="0.25">
      <c r="A677" s="65"/>
      <c r="B677" s="60"/>
      <c r="C677" s="60"/>
      <c r="D677" s="60"/>
      <c r="E677" s="61"/>
      <c r="F677" s="61"/>
      <c r="G677" s="59"/>
      <c r="H677" s="62"/>
      <c r="I677" s="60"/>
      <c r="J677" s="62"/>
      <c r="K677" s="63"/>
      <c r="L677" s="60"/>
    </row>
    <row r="678" spans="1:12" x14ac:dyDescent="0.25">
      <c r="A678" s="65"/>
      <c r="B678" s="60"/>
      <c r="C678" s="60"/>
      <c r="D678" s="60"/>
      <c r="E678" s="61"/>
      <c r="F678" s="61"/>
      <c r="G678" s="59"/>
      <c r="H678" s="62"/>
      <c r="I678" s="60"/>
      <c r="J678" s="62"/>
      <c r="K678" s="63"/>
      <c r="L678" s="60"/>
    </row>
    <row r="679" spans="1:12" x14ac:dyDescent="0.25">
      <c r="A679" s="65"/>
      <c r="B679" s="60"/>
      <c r="C679" s="60"/>
      <c r="D679" s="60"/>
      <c r="E679" s="61"/>
      <c r="F679" s="61"/>
      <c r="G679" s="59"/>
      <c r="H679" s="62"/>
      <c r="I679" s="60"/>
      <c r="J679" s="62"/>
      <c r="K679" s="63"/>
      <c r="L679" s="60"/>
    </row>
    <row r="680" spans="1:12" x14ac:dyDescent="0.25">
      <c r="A680" s="65"/>
      <c r="B680" s="60"/>
      <c r="C680" s="60"/>
      <c r="D680" s="60"/>
      <c r="E680" s="61"/>
      <c r="F680" s="61"/>
      <c r="G680" s="59"/>
      <c r="H680" s="62"/>
      <c r="I680" s="60"/>
      <c r="J680" s="62"/>
      <c r="K680" s="63"/>
      <c r="L680" s="60"/>
    </row>
    <row r="681" spans="1:12" x14ac:dyDescent="0.25">
      <c r="A681" s="65"/>
      <c r="B681" s="60"/>
      <c r="C681" s="60"/>
      <c r="D681" s="60"/>
      <c r="E681" s="61"/>
      <c r="F681" s="61"/>
      <c r="G681" s="59"/>
      <c r="H681" s="62"/>
      <c r="I681" s="60"/>
      <c r="J681" s="62"/>
      <c r="K681" s="63"/>
      <c r="L681" s="60"/>
    </row>
    <row r="682" spans="1:12" x14ac:dyDescent="0.25">
      <c r="A682" s="65"/>
      <c r="B682" s="60"/>
      <c r="C682" s="60"/>
      <c r="D682" s="60"/>
      <c r="E682" s="61"/>
      <c r="F682" s="61"/>
      <c r="G682" s="59"/>
      <c r="H682" s="62"/>
      <c r="I682" s="60"/>
      <c r="J682" s="62"/>
      <c r="K682" s="63"/>
      <c r="L682" s="60"/>
    </row>
    <row r="683" spans="1:12" x14ac:dyDescent="0.25">
      <c r="A683" s="65"/>
      <c r="B683" s="60"/>
      <c r="C683" s="60"/>
      <c r="D683" s="60"/>
      <c r="E683" s="61"/>
      <c r="F683" s="61"/>
      <c r="G683" s="59"/>
      <c r="H683" s="62"/>
      <c r="I683" s="60"/>
      <c r="J683" s="62"/>
      <c r="K683" s="63"/>
      <c r="L683" s="60"/>
    </row>
    <row r="684" spans="1:12" x14ac:dyDescent="0.25">
      <c r="A684" s="65"/>
      <c r="B684" s="60"/>
      <c r="C684" s="60"/>
      <c r="D684" s="60"/>
      <c r="E684" s="61"/>
      <c r="F684" s="61"/>
      <c r="G684" s="59"/>
      <c r="H684" s="62"/>
      <c r="I684" s="60"/>
      <c r="J684" s="62"/>
      <c r="K684" s="63"/>
      <c r="L684" s="60"/>
    </row>
    <row r="685" spans="1:12" x14ac:dyDescent="0.25">
      <c r="A685" s="65"/>
      <c r="B685" s="60"/>
      <c r="C685" s="60"/>
      <c r="D685" s="60"/>
      <c r="E685" s="61"/>
      <c r="F685" s="61"/>
      <c r="G685" s="59"/>
      <c r="H685" s="62"/>
      <c r="I685" s="60"/>
      <c r="J685" s="62"/>
      <c r="K685" s="63"/>
      <c r="L685" s="60"/>
    </row>
    <row r="686" spans="1:12" x14ac:dyDescent="0.25">
      <c r="A686" s="65"/>
      <c r="B686" s="60"/>
      <c r="C686" s="60"/>
      <c r="D686" s="60"/>
      <c r="E686" s="61"/>
      <c r="F686" s="61"/>
      <c r="G686" s="59"/>
      <c r="H686" s="62"/>
      <c r="I686" s="60"/>
      <c r="J686" s="62"/>
      <c r="K686" s="63"/>
      <c r="L686" s="60"/>
    </row>
    <row r="687" spans="1:12" x14ac:dyDescent="0.25">
      <c r="A687" s="65"/>
      <c r="B687" s="60"/>
      <c r="C687" s="60"/>
      <c r="D687" s="60"/>
      <c r="E687" s="61"/>
      <c r="F687" s="61"/>
      <c r="G687" s="59"/>
      <c r="H687" s="62"/>
      <c r="I687" s="60"/>
      <c r="J687" s="62"/>
      <c r="K687" s="63"/>
      <c r="L687" s="60"/>
    </row>
    <row r="688" spans="1:12" x14ac:dyDescent="0.25">
      <c r="A688" s="65"/>
      <c r="B688" s="60"/>
      <c r="C688" s="60"/>
      <c r="D688" s="60"/>
      <c r="E688" s="61"/>
      <c r="F688" s="61"/>
      <c r="G688" s="59"/>
      <c r="H688" s="62"/>
      <c r="I688" s="60"/>
      <c r="J688" s="62"/>
      <c r="K688" s="63"/>
      <c r="L688" s="60"/>
    </row>
    <row r="689" spans="1:12" x14ac:dyDescent="0.25">
      <c r="A689" s="65"/>
      <c r="B689" s="60"/>
      <c r="C689" s="60"/>
      <c r="D689" s="60"/>
      <c r="E689" s="61"/>
      <c r="F689" s="61"/>
      <c r="G689" s="59"/>
      <c r="H689" s="62"/>
      <c r="I689" s="60"/>
      <c r="J689" s="62"/>
      <c r="K689" s="63"/>
      <c r="L689" s="60"/>
    </row>
    <row r="690" spans="1:12" x14ac:dyDescent="0.25">
      <c r="A690" s="65"/>
      <c r="B690" s="60"/>
      <c r="C690" s="60"/>
      <c r="D690" s="60"/>
      <c r="E690" s="61"/>
      <c r="F690" s="61"/>
      <c r="G690" s="59"/>
      <c r="H690" s="62"/>
      <c r="I690" s="60"/>
      <c r="J690" s="62"/>
      <c r="K690" s="63"/>
      <c r="L690" s="60"/>
    </row>
    <row r="691" spans="1:12" x14ac:dyDescent="0.25">
      <c r="A691" s="65"/>
      <c r="B691" s="60"/>
      <c r="C691" s="60"/>
      <c r="D691" s="60"/>
      <c r="E691" s="61"/>
      <c r="F691" s="61"/>
      <c r="G691" s="59"/>
      <c r="H691" s="62"/>
      <c r="I691" s="60"/>
      <c r="J691" s="62"/>
      <c r="K691" s="63"/>
      <c r="L691" s="60"/>
    </row>
    <row r="692" spans="1:12" x14ac:dyDescent="0.25">
      <c r="A692" s="65"/>
      <c r="B692" s="60"/>
      <c r="C692" s="60"/>
      <c r="D692" s="60"/>
      <c r="E692" s="61"/>
      <c r="F692" s="61"/>
      <c r="G692" s="59"/>
      <c r="H692" s="62"/>
      <c r="I692" s="60"/>
      <c r="J692" s="62"/>
      <c r="K692" s="63"/>
      <c r="L692" s="60"/>
    </row>
    <row r="693" spans="1:12" x14ac:dyDescent="0.25">
      <c r="A693" s="65"/>
      <c r="B693" s="60"/>
      <c r="C693" s="60"/>
      <c r="D693" s="60"/>
      <c r="E693" s="61"/>
      <c r="F693" s="61"/>
      <c r="G693" s="59"/>
      <c r="H693" s="62"/>
      <c r="I693" s="60"/>
      <c r="J693" s="62"/>
      <c r="K693" s="63"/>
      <c r="L693" s="60"/>
    </row>
    <row r="694" spans="1:12" x14ac:dyDescent="0.25">
      <c r="A694" s="65"/>
      <c r="B694" s="60"/>
      <c r="C694" s="60"/>
      <c r="D694" s="60"/>
      <c r="E694" s="61"/>
      <c r="F694" s="61"/>
      <c r="G694" s="59"/>
      <c r="H694" s="62"/>
      <c r="I694" s="60"/>
      <c r="J694" s="62"/>
      <c r="K694" s="63"/>
      <c r="L694" s="60"/>
    </row>
    <row r="695" spans="1:12" x14ac:dyDescent="0.25">
      <c r="A695" s="65"/>
      <c r="B695" s="60"/>
      <c r="C695" s="60"/>
      <c r="D695" s="60"/>
      <c r="E695" s="61"/>
      <c r="F695" s="61"/>
      <c r="G695" s="59"/>
      <c r="H695" s="62"/>
      <c r="I695" s="60"/>
      <c r="J695" s="62"/>
      <c r="K695" s="63"/>
      <c r="L695" s="60"/>
    </row>
    <row r="696" spans="1:12" x14ac:dyDescent="0.25">
      <c r="A696" s="65"/>
      <c r="B696" s="60"/>
      <c r="C696" s="60"/>
      <c r="D696" s="60"/>
      <c r="E696" s="61"/>
      <c r="F696" s="61"/>
      <c r="G696" s="59"/>
      <c r="H696" s="62"/>
      <c r="I696" s="60"/>
      <c r="J696" s="62"/>
      <c r="K696" s="63"/>
      <c r="L696" s="60"/>
    </row>
    <row r="697" spans="1:12" x14ac:dyDescent="0.25">
      <c r="A697" s="65"/>
      <c r="B697" s="60"/>
      <c r="C697" s="60"/>
      <c r="D697" s="60"/>
      <c r="E697" s="61"/>
      <c r="F697" s="61"/>
      <c r="G697" s="59"/>
      <c r="H697" s="62"/>
      <c r="I697" s="60"/>
      <c r="J697" s="62"/>
      <c r="K697" s="63"/>
      <c r="L697" s="60"/>
    </row>
    <row r="698" spans="1:12" x14ac:dyDescent="0.25">
      <c r="A698" s="65"/>
      <c r="B698" s="60"/>
      <c r="C698" s="60"/>
      <c r="D698" s="60"/>
      <c r="E698" s="61"/>
      <c r="F698" s="61"/>
      <c r="G698" s="59"/>
      <c r="H698" s="62"/>
      <c r="I698" s="60"/>
      <c r="J698" s="62"/>
      <c r="K698" s="63"/>
      <c r="L698" s="60"/>
    </row>
    <row r="699" spans="1:12" x14ac:dyDescent="0.25">
      <c r="A699" s="65"/>
      <c r="B699" s="60"/>
      <c r="C699" s="60"/>
      <c r="D699" s="60"/>
      <c r="E699" s="61"/>
      <c r="F699" s="61"/>
      <c r="G699" s="59"/>
      <c r="H699" s="62"/>
      <c r="I699" s="60"/>
      <c r="J699" s="62"/>
      <c r="K699" s="63"/>
      <c r="L699" s="60"/>
    </row>
    <row r="700" spans="1:12" x14ac:dyDescent="0.25">
      <c r="A700" s="65"/>
      <c r="B700" s="60"/>
      <c r="C700" s="60"/>
      <c r="D700" s="60"/>
      <c r="E700" s="61"/>
      <c r="F700" s="61"/>
      <c r="G700" s="59"/>
      <c r="H700" s="62"/>
      <c r="I700" s="60"/>
      <c r="J700" s="62"/>
      <c r="K700" s="63"/>
      <c r="L700" s="60"/>
    </row>
    <row r="701" spans="1:12" x14ac:dyDescent="0.25">
      <c r="A701" s="65"/>
      <c r="B701" s="60"/>
      <c r="C701" s="60"/>
      <c r="D701" s="60"/>
      <c r="E701" s="61"/>
      <c r="F701" s="61"/>
      <c r="G701" s="59"/>
      <c r="H701" s="62"/>
      <c r="I701" s="60"/>
      <c r="J701" s="62"/>
      <c r="K701" s="63"/>
      <c r="L701" s="60"/>
    </row>
    <row r="702" spans="1:12" x14ac:dyDescent="0.25">
      <c r="A702" s="65"/>
      <c r="B702" s="60"/>
      <c r="C702" s="60"/>
      <c r="D702" s="60"/>
      <c r="E702" s="61"/>
      <c r="F702" s="61"/>
      <c r="G702" s="59"/>
      <c r="H702" s="62"/>
      <c r="I702" s="60"/>
      <c r="J702" s="62"/>
      <c r="K702" s="63"/>
      <c r="L702" s="60"/>
    </row>
    <row r="703" spans="1:12" x14ac:dyDescent="0.25">
      <c r="A703" s="65"/>
      <c r="B703" s="60"/>
      <c r="C703" s="60"/>
      <c r="D703" s="60"/>
      <c r="E703" s="61"/>
      <c r="F703" s="61"/>
      <c r="G703" s="59"/>
      <c r="H703" s="62"/>
      <c r="I703" s="60"/>
      <c r="J703" s="62"/>
      <c r="K703" s="63"/>
      <c r="L703" s="60"/>
    </row>
    <row r="704" spans="1:12" x14ac:dyDescent="0.25">
      <c r="A704" s="65"/>
      <c r="B704" s="60"/>
      <c r="C704" s="60"/>
      <c r="D704" s="60"/>
      <c r="E704" s="61"/>
      <c r="F704" s="61"/>
      <c r="G704" s="59"/>
      <c r="H704" s="62"/>
      <c r="I704" s="60"/>
      <c r="J704" s="62"/>
      <c r="K704" s="63"/>
      <c r="L704" s="60"/>
    </row>
    <row r="705" spans="1:12" x14ac:dyDescent="0.25">
      <c r="A705" s="65"/>
      <c r="B705" s="60"/>
      <c r="C705" s="60"/>
      <c r="D705" s="60"/>
      <c r="E705" s="61"/>
      <c r="F705" s="61"/>
      <c r="G705" s="59"/>
      <c r="H705" s="62"/>
      <c r="I705" s="60"/>
      <c r="J705" s="62"/>
      <c r="K705" s="63"/>
      <c r="L705" s="60"/>
    </row>
    <row r="706" spans="1:12" x14ac:dyDescent="0.25">
      <c r="A706" s="65"/>
      <c r="B706" s="60"/>
      <c r="C706" s="60"/>
      <c r="D706" s="60"/>
      <c r="E706" s="61"/>
      <c r="F706" s="61"/>
      <c r="G706" s="59"/>
      <c r="H706" s="62"/>
      <c r="I706" s="60"/>
      <c r="J706" s="62"/>
      <c r="K706" s="63"/>
      <c r="L706" s="60"/>
    </row>
    <row r="707" spans="1:12" x14ac:dyDescent="0.25">
      <c r="A707" s="65"/>
      <c r="B707" s="60"/>
      <c r="C707" s="60"/>
      <c r="D707" s="60"/>
      <c r="E707" s="61"/>
      <c r="F707" s="61"/>
      <c r="G707" s="59"/>
      <c r="H707" s="62"/>
      <c r="I707" s="60"/>
      <c r="J707" s="62"/>
      <c r="K707" s="63"/>
      <c r="L707" s="60"/>
    </row>
    <row r="708" spans="1:12" x14ac:dyDescent="0.25">
      <c r="A708" s="65"/>
      <c r="B708" s="60"/>
      <c r="C708" s="60"/>
      <c r="D708" s="60"/>
      <c r="E708" s="61"/>
      <c r="F708" s="61"/>
      <c r="G708" s="59"/>
      <c r="H708" s="62"/>
      <c r="I708" s="60"/>
      <c r="J708" s="62"/>
      <c r="K708" s="63"/>
      <c r="L708" s="60"/>
    </row>
    <row r="709" spans="1:12" x14ac:dyDescent="0.25">
      <c r="A709" s="65"/>
      <c r="B709" s="60"/>
      <c r="C709" s="60"/>
      <c r="D709" s="60"/>
      <c r="E709" s="61"/>
      <c r="F709" s="61"/>
      <c r="G709" s="59"/>
      <c r="H709" s="62"/>
      <c r="I709" s="60"/>
      <c r="J709" s="62"/>
      <c r="K709" s="63"/>
      <c r="L709" s="60"/>
    </row>
    <row r="710" spans="1:12" x14ac:dyDescent="0.25">
      <c r="A710" s="65"/>
      <c r="B710" s="60"/>
      <c r="C710" s="60"/>
      <c r="D710" s="60"/>
      <c r="E710" s="61"/>
      <c r="F710" s="61"/>
      <c r="G710" s="59"/>
      <c r="H710" s="62"/>
      <c r="I710" s="60"/>
      <c r="J710" s="62"/>
      <c r="K710" s="63"/>
      <c r="L710" s="60"/>
    </row>
    <row r="711" spans="1:12" x14ac:dyDescent="0.25">
      <c r="A711" s="65"/>
      <c r="B711" s="60"/>
      <c r="C711" s="60"/>
      <c r="D711" s="60"/>
      <c r="E711" s="61"/>
      <c r="F711" s="61"/>
      <c r="G711" s="59"/>
      <c r="H711" s="62"/>
      <c r="I711" s="60"/>
      <c r="J711" s="62"/>
      <c r="K711" s="63"/>
      <c r="L711" s="60"/>
    </row>
    <row r="712" spans="1:12" x14ac:dyDescent="0.25">
      <c r="A712" s="65"/>
      <c r="B712" s="60"/>
      <c r="C712" s="60"/>
      <c r="D712" s="60"/>
      <c r="E712" s="61"/>
      <c r="F712" s="61"/>
      <c r="G712" s="59"/>
      <c r="H712" s="62"/>
      <c r="I712" s="60"/>
      <c r="J712" s="62"/>
      <c r="K712" s="63"/>
      <c r="L712" s="60"/>
    </row>
    <row r="713" spans="1:12" x14ac:dyDescent="0.25">
      <c r="A713" s="65"/>
      <c r="B713" s="60"/>
      <c r="C713" s="60"/>
      <c r="D713" s="60"/>
      <c r="E713" s="61"/>
      <c r="F713" s="61"/>
      <c r="G713" s="59"/>
      <c r="H713" s="62"/>
      <c r="I713" s="60"/>
      <c r="J713" s="62"/>
      <c r="K713" s="63"/>
      <c r="L713" s="60"/>
    </row>
    <row r="714" spans="1:12" x14ac:dyDescent="0.25">
      <c r="A714" s="65"/>
      <c r="B714" s="60"/>
      <c r="C714" s="60"/>
      <c r="D714" s="60"/>
      <c r="E714" s="61"/>
      <c r="F714" s="61"/>
      <c r="G714" s="59"/>
      <c r="H714" s="62"/>
      <c r="I714" s="60"/>
      <c r="J714" s="62"/>
      <c r="K714" s="63"/>
      <c r="L714" s="60"/>
    </row>
    <row r="715" spans="1:12" x14ac:dyDescent="0.25">
      <c r="A715" s="65"/>
      <c r="B715" s="60"/>
      <c r="C715" s="60"/>
      <c r="D715" s="60"/>
      <c r="E715" s="61"/>
      <c r="F715" s="61"/>
      <c r="G715" s="59"/>
      <c r="H715" s="62"/>
      <c r="I715" s="60"/>
      <c r="J715" s="62"/>
      <c r="K715" s="63"/>
      <c r="L715" s="60"/>
    </row>
    <row r="716" spans="1:12" x14ac:dyDescent="0.25">
      <c r="A716" s="65"/>
      <c r="B716" s="60"/>
      <c r="C716" s="60"/>
      <c r="D716" s="60"/>
      <c r="E716" s="61"/>
      <c r="F716" s="61"/>
      <c r="G716" s="59"/>
      <c r="H716" s="62"/>
      <c r="I716" s="60"/>
      <c r="J716" s="62"/>
      <c r="K716" s="63"/>
      <c r="L716" s="60"/>
    </row>
    <row r="717" spans="1:12" x14ac:dyDescent="0.25">
      <c r="A717" s="65"/>
      <c r="B717" s="60"/>
      <c r="C717" s="60"/>
      <c r="D717" s="60"/>
      <c r="E717" s="61"/>
      <c r="F717" s="61"/>
      <c r="G717" s="59"/>
      <c r="H717" s="62"/>
      <c r="I717" s="60"/>
      <c r="J717" s="62"/>
      <c r="K717" s="63"/>
      <c r="L717" s="60"/>
    </row>
    <row r="718" spans="1:12" x14ac:dyDescent="0.25">
      <c r="A718" s="65"/>
      <c r="B718" s="60"/>
      <c r="C718" s="60"/>
      <c r="D718" s="60"/>
      <c r="E718" s="61"/>
      <c r="F718" s="61"/>
      <c r="G718" s="59"/>
      <c r="H718" s="62"/>
      <c r="I718" s="60"/>
      <c r="J718" s="62"/>
      <c r="K718" s="63"/>
      <c r="L718" s="60"/>
    </row>
    <row r="719" spans="1:12" x14ac:dyDescent="0.25">
      <c r="A719" s="65"/>
      <c r="B719" s="60"/>
      <c r="C719" s="60"/>
      <c r="D719" s="60"/>
      <c r="E719" s="61"/>
      <c r="F719" s="61"/>
      <c r="G719" s="59"/>
      <c r="H719" s="62"/>
      <c r="I719" s="60"/>
      <c r="J719" s="62"/>
      <c r="K719" s="63"/>
      <c r="L719" s="60"/>
    </row>
    <row r="720" spans="1:12" x14ac:dyDescent="0.25">
      <c r="A720" s="65"/>
      <c r="B720" s="60"/>
      <c r="C720" s="60"/>
      <c r="D720" s="60"/>
      <c r="E720" s="61"/>
      <c r="F720" s="61"/>
      <c r="G720" s="59"/>
      <c r="H720" s="62"/>
      <c r="I720" s="60"/>
      <c r="J720" s="62"/>
      <c r="K720" s="63"/>
      <c r="L720" s="60"/>
    </row>
    <row r="721" spans="1:12" x14ac:dyDescent="0.25">
      <c r="A721" s="65"/>
      <c r="B721" s="60"/>
      <c r="C721" s="60"/>
      <c r="D721" s="60"/>
      <c r="E721" s="61"/>
      <c r="F721" s="61"/>
      <c r="G721" s="59"/>
      <c r="H721" s="62"/>
      <c r="I721" s="60"/>
      <c r="J721" s="62"/>
      <c r="K721" s="63"/>
      <c r="L721" s="60"/>
    </row>
    <row r="722" spans="1:12" x14ac:dyDescent="0.25">
      <c r="A722" s="65"/>
      <c r="B722" s="60"/>
      <c r="C722" s="60"/>
      <c r="D722" s="60"/>
      <c r="E722" s="61"/>
      <c r="F722" s="61"/>
      <c r="G722" s="59"/>
      <c r="H722" s="62"/>
      <c r="I722" s="60"/>
      <c r="J722" s="62"/>
      <c r="K722" s="63"/>
      <c r="L722" s="60"/>
    </row>
    <row r="723" spans="1:12" x14ac:dyDescent="0.25">
      <c r="A723" s="65"/>
      <c r="B723" s="60"/>
      <c r="C723" s="60"/>
      <c r="D723" s="60"/>
      <c r="E723" s="61"/>
      <c r="F723" s="61"/>
      <c r="G723" s="59"/>
      <c r="H723" s="62"/>
      <c r="I723" s="60"/>
      <c r="J723" s="62"/>
      <c r="K723" s="63"/>
      <c r="L723" s="60"/>
    </row>
    <row r="724" spans="1:12" x14ac:dyDescent="0.25">
      <c r="A724" s="65"/>
      <c r="B724" s="60"/>
      <c r="C724" s="60"/>
      <c r="D724" s="60"/>
      <c r="E724" s="61"/>
      <c r="F724" s="61"/>
      <c r="G724" s="59"/>
      <c r="H724" s="62"/>
      <c r="I724" s="60"/>
      <c r="J724" s="62"/>
      <c r="K724" s="63"/>
      <c r="L724" s="60"/>
    </row>
    <row r="725" spans="1:12" x14ac:dyDescent="0.25">
      <c r="A725" s="65"/>
      <c r="B725" s="60"/>
      <c r="C725" s="60"/>
      <c r="D725" s="60"/>
      <c r="E725" s="61"/>
      <c r="F725" s="61"/>
      <c r="G725" s="59"/>
      <c r="H725" s="62"/>
      <c r="I725" s="60"/>
      <c r="J725" s="62"/>
      <c r="K725" s="63"/>
      <c r="L725" s="60"/>
    </row>
    <row r="726" spans="1:12" x14ac:dyDescent="0.25">
      <c r="A726" s="65"/>
      <c r="B726" s="60"/>
      <c r="C726" s="60"/>
      <c r="D726" s="60"/>
      <c r="E726" s="61"/>
      <c r="F726" s="61"/>
      <c r="G726" s="59"/>
      <c r="H726" s="62"/>
      <c r="I726" s="60"/>
      <c r="J726" s="62"/>
      <c r="K726" s="63"/>
      <c r="L726" s="60"/>
    </row>
    <row r="727" spans="1:12" x14ac:dyDescent="0.25">
      <c r="A727" s="65"/>
      <c r="B727" s="60"/>
      <c r="C727" s="60"/>
      <c r="D727" s="60"/>
      <c r="E727" s="61"/>
      <c r="F727" s="61"/>
      <c r="G727" s="59"/>
      <c r="H727" s="62"/>
      <c r="I727" s="60"/>
      <c r="J727" s="62"/>
      <c r="K727" s="63"/>
      <c r="L727" s="60"/>
    </row>
    <row r="728" spans="1:12" x14ac:dyDescent="0.25">
      <c r="A728" s="65"/>
      <c r="B728" s="60"/>
      <c r="C728" s="60"/>
      <c r="D728" s="60"/>
      <c r="E728" s="61"/>
      <c r="F728" s="61"/>
      <c r="G728" s="59"/>
      <c r="H728" s="62"/>
      <c r="I728" s="60"/>
      <c r="J728" s="62"/>
      <c r="K728" s="63"/>
      <c r="L728" s="60"/>
    </row>
    <row r="729" spans="1:12" x14ac:dyDescent="0.25">
      <c r="A729" s="65"/>
      <c r="B729" s="60"/>
      <c r="C729" s="60"/>
      <c r="D729" s="60"/>
      <c r="E729" s="61"/>
      <c r="F729" s="61"/>
      <c r="G729" s="59"/>
      <c r="H729" s="62"/>
      <c r="I729" s="60"/>
      <c r="J729" s="62"/>
      <c r="K729" s="63"/>
      <c r="L729" s="60"/>
    </row>
    <row r="730" spans="1:12" x14ac:dyDescent="0.25">
      <c r="A730" s="65"/>
      <c r="B730" s="60"/>
      <c r="C730" s="60"/>
      <c r="D730" s="60"/>
      <c r="E730" s="61"/>
      <c r="F730" s="61"/>
      <c r="G730" s="59"/>
      <c r="H730" s="62"/>
      <c r="I730" s="60"/>
      <c r="J730" s="62"/>
      <c r="K730" s="63"/>
      <c r="L730" s="60"/>
    </row>
    <row r="731" spans="1:12" x14ac:dyDescent="0.25">
      <c r="A731" s="65"/>
      <c r="B731" s="60"/>
      <c r="C731" s="60"/>
      <c r="D731" s="60"/>
      <c r="E731" s="61"/>
      <c r="F731" s="61"/>
      <c r="G731" s="59"/>
      <c r="H731" s="62"/>
      <c r="I731" s="60"/>
      <c r="J731" s="62"/>
      <c r="K731" s="63"/>
      <c r="L731" s="60"/>
    </row>
    <row r="732" spans="1:12" x14ac:dyDescent="0.25">
      <c r="A732" s="65"/>
      <c r="B732" s="60"/>
      <c r="C732" s="60"/>
      <c r="D732" s="60"/>
      <c r="E732" s="61"/>
      <c r="F732" s="61"/>
      <c r="G732" s="59"/>
      <c r="H732" s="62"/>
      <c r="I732" s="60"/>
      <c r="J732" s="62"/>
      <c r="K732" s="63"/>
      <c r="L732" s="60"/>
    </row>
    <row r="733" spans="1:12" x14ac:dyDescent="0.25">
      <c r="A733" s="65"/>
      <c r="B733" s="60"/>
      <c r="C733" s="60"/>
      <c r="D733" s="60"/>
      <c r="E733" s="61"/>
      <c r="F733" s="61"/>
      <c r="G733" s="59"/>
      <c r="H733" s="62"/>
      <c r="I733" s="60"/>
      <c r="J733" s="62"/>
      <c r="K733" s="63"/>
      <c r="L733" s="60"/>
    </row>
    <row r="734" spans="1:12" x14ac:dyDescent="0.25">
      <c r="A734" s="65"/>
      <c r="B734" s="60"/>
      <c r="C734" s="60"/>
      <c r="D734" s="60"/>
      <c r="E734" s="61"/>
      <c r="F734" s="61"/>
      <c r="G734" s="59"/>
      <c r="H734" s="62"/>
      <c r="I734" s="60"/>
      <c r="J734" s="62"/>
      <c r="K734" s="63"/>
      <c r="L734" s="60"/>
    </row>
    <row r="735" spans="1:12" x14ac:dyDescent="0.25">
      <c r="A735" s="65"/>
      <c r="B735" s="60"/>
      <c r="C735" s="60"/>
      <c r="D735" s="60"/>
      <c r="E735" s="61"/>
      <c r="F735" s="61"/>
      <c r="G735" s="59"/>
      <c r="H735" s="62"/>
      <c r="I735" s="60"/>
      <c r="J735" s="62"/>
      <c r="K735" s="63"/>
      <c r="L735" s="60"/>
    </row>
    <row r="736" spans="1:12" x14ac:dyDescent="0.25">
      <c r="A736" s="65"/>
      <c r="B736" s="60"/>
      <c r="C736" s="60"/>
      <c r="D736" s="60"/>
      <c r="E736" s="61"/>
      <c r="F736" s="61"/>
      <c r="G736" s="59"/>
      <c r="H736" s="62"/>
      <c r="I736" s="60"/>
      <c r="J736" s="62"/>
      <c r="K736" s="63"/>
      <c r="L736" s="60"/>
    </row>
    <row r="737" spans="1:12" x14ac:dyDescent="0.25">
      <c r="A737" s="65"/>
      <c r="B737" s="60"/>
      <c r="C737" s="60"/>
      <c r="D737" s="60"/>
      <c r="E737" s="61"/>
      <c r="F737" s="61"/>
      <c r="G737" s="59"/>
      <c r="H737" s="62"/>
      <c r="I737" s="60"/>
      <c r="J737" s="62"/>
      <c r="K737" s="63"/>
      <c r="L737" s="60"/>
    </row>
    <row r="738" spans="1:12" x14ac:dyDescent="0.25">
      <c r="A738" s="65"/>
      <c r="B738" s="60"/>
      <c r="C738" s="60"/>
      <c r="D738" s="60"/>
      <c r="E738" s="61"/>
      <c r="F738" s="61"/>
      <c r="G738" s="59"/>
      <c r="H738" s="62"/>
      <c r="I738" s="60"/>
      <c r="J738" s="62"/>
      <c r="K738" s="63"/>
      <c r="L738" s="60"/>
    </row>
    <row r="739" spans="1:12" x14ac:dyDescent="0.25">
      <c r="A739" s="65"/>
      <c r="B739" s="60"/>
      <c r="C739" s="60"/>
      <c r="D739" s="60"/>
      <c r="E739" s="61"/>
      <c r="F739" s="61"/>
      <c r="G739" s="59"/>
      <c r="H739" s="62"/>
      <c r="I739" s="60"/>
      <c r="J739" s="62"/>
      <c r="K739" s="63"/>
      <c r="L739" s="60"/>
    </row>
    <row r="740" spans="1:12" x14ac:dyDescent="0.25">
      <c r="A740" s="65"/>
      <c r="B740" s="60"/>
      <c r="C740" s="60"/>
      <c r="D740" s="60"/>
      <c r="E740" s="61"/>
      <c r="F740" s="61"/>
      <c r="G740" s="59"/>
      <c r="H740" s="62"/>
      <c r="I740" s="60"/>
      <c r="J740" s="62"/>
      <c r="K740" s="63"/>
      <c r="L740" s="60"/>
    </row>
    <row r="741" spans="1:12" x14ac:dyDescent="0.25">
      <c r="A741" s="65"/>
      <c r="B741" s="60"/>
      <c r="C741" s="60"/>
      <c r="D741" s="60"/>
      <c r="E741" s="61"/>
      <c r="F741" s="61"/>
      <c r="G741" s="59"/>
      <c r="H741" s="62"/>
      <c r="I741" s="60"/>
      <c r="J741" s="62"/>
      <c r="K741" s="63"/>
      <c r="L741" s="60"/>
    </row>
    <row r="742" spans="1:12" x14ac:dyDescent="0.25">
      <c r="A742" s="65"/>
      <c r="B742" s="60"/>
      <c r="C742" s="60"/>
      <c r="D742" s="60"/>
      <c r="E742" s="61"/>
      <c r="F742" s="61"/>
      <c r="G742" s="59"/>
      <c r="H742" s="62"/>
      <c r="I742" s="60"/>
      <c r="J742" s="62"/>
      <c r="K742" s="63"/>
      <c r="L742" s="60"/>
    </row>
    <row r="743" spans="1:12" x14ac:dyDescent="0.25">
      <c r="A743" s="65"/>
      <c r="B743" s="60"/>
      <c r="C743" s="60"/>
      <c r="D743" s="60"/>
      <c r="E743" s="61"/>
      <c r="F743" s="61"/>
      <c r="G743" s="59"/>
      <c r="H743" s="62"/>
      <c r="I743" s="60"/>
      <c r="J743" s="62"/>
      <c r="K743" s="63"/>
      <c r="L743" s="60"/>
    </row>
    <row r="744" spans="1:12" x14ac:dyDescent="0.25">
      <c r="A744" s="65"/>
      <c r="B744" s="60"/>
      <c r="C744" s="60"/>
      <c r="D744" s="60"/>
      <c r="E744" s="61"/>
      <c r="F744" s="61"/>
      <c r="G744" s="59"/>
      <c r="H744" s="62"/>
      <c r="I744" s="60"/>
      <c r="J744" s="62"/>
      <c r="K744" s="63"/>
      <c r="L744" s="60"/>
    </row>
    <row r="745" spans="1:12" x14ac:dyDescent="0.25">
      <c r="A745" s="65"/>
      <c r="B745" s="60"/>
      <c r="C745" s="60"/>
      <c r="D745" s="60"/>
      <c r="E745" s="61"/>
      <c r="F745" s="61"/>
      <c r="G745" s="59"/>
      <c r="H745" s="62"/>
      <c r="I745" s="60"/>
      <c r="J745" s="62"/>
      <c r="K745" s="63"/>
      <c r="L745" s="60"/>
    </row>
    <row r="746" spans="1:12" x14ac:dyDescent="0.25">
      <c r="A746" s="65"/>
      <c r="B746" s="60"/>
      <c r="C746" s="60"/>
      <c r="D746" s="60"/>
      <c r="E746" s="61"/>
      <c r="F746" s="61"/>
      <c r="G746" s="59"/>
      <c r="H746" s="62"/>
      <c r="I746" s="60"/>
      <c r="J746" s="62"/>
      <c r="K746" s="63"/>
      <c r="L746" s="60"/>
    </row>
    <row r="747" spans="1:12" x14ac:dyDescent="0.25">
      <c r="A747" s="65"/>
      <c r="B747" s="60"/>
      <c r="C747" s="60"/>
      <c r="D747" s="60"/>
      <c r="E747" s="61"/>
      <c r="F747" s="61"/>
      <c r="G747" s="59"/>
      <c r="H747" s="62"/>
      <c r="I747" s="60"/>
      <c r="J747" s="62"/>
      <c r="K747" s="63"/>
      <c r="L747" s="60"/>
    </row>
    <row r="748" spans="1:12" x14ac:dyDescent="0.25">
      <c r="A748" s="65"/>
      <c r="B748" s="60"/>
      <c r="C748" s="60"/>
      <c r="D748" s="60"/>
      <c r="E748" s="61"/>
      <c r="F748" s="61"/>
      <c r="G748" s="59"/>
      <c r="H748" s="62"/>
      <c r="I748" s="60"/>
      <c r="J748" s="62"/>
      <c r="K748" s="63"/>
      <c r="L748" s="60"/>
    </row>
    <row r="749" spans="1:12" x14ac:dyDescent="0.25">
      <c r="A749" s="65"/>
      <c r="B749" s="60"/>
      <c r="C749" s="60"/>
      <c r="D749" s="60"/>
      <c r="E749" s="61"/>
      <c r="F749" s="61"/>
      <c r="G749" s="59"/>
      <c r="H749" s="62"/>
      <c r="I749" s="60"/>
      <c r="J749" s="62"/>
      <c r="K749" s="63"/>
      <c r="L749" s="60"/>
    </row>
    <row r="750" spans="1:12" x14ac:dyDescent="0.25">
      <c r="A750" s="65"/>
      <c r="B750" s="60"/>
      <c r="C750" s="60"/>
      <c r="D750" s="60"/>
      <c r="E750" s="61"/>
      <c r="F750" s="61"/>
      <c r="G750" s="59"/>
      <c r="H750" s="62"/>
      <c r="I750" s="60"/>
      <c r="J750" s="62"/>
      <c r="K750" s="63"/>
      <c r="L750" s="60"/>
    </row>
    <row r="751" spans="1:12" x14ac:dyDescent="0.25">
      <c r="A751" s="65"/>
      <c r="B751" s="60"/>
      <c r="C751" s="60"/>
      <c r="D751" s="60"/>
      <c r="E751" s="61"/>
      <c r="F751" s="61"/>
      <c r="G751" s="59"/>
      <c r="H751" s="62"/>
      <c r="I751" s="60"/>
      <c r="J751" s="62"/>
      <c r="K751" s="63"/>
      <c r="L751" s="60"/>
    </row>
    <row r="752" spans="1:12" x14ac:dyDescent="0.25">
      <c r="A752" s="65"/>
      <c r="B752" s="60"/>
      <c r="C752" s="60"/>
      <c r="D752" s="60"/>
      <c r="E752" s="61"/>
      <c r="F752" s="61"/>
      <c r="G752" s="59"/>
      <c r="H752" s="62"/>
      <c r="I752" s="60"/>
      <c r="J752" s="62"/>
      <c r="K752" s="63"/>
      <c r="L752" s="60"/>
    </row>
    <row r="753" spans="1:12" x14ac:dyDescent="0.25">
      <c r="A753" s="65"/>
      <c r="B753" s="60"/>
      <c r="C753" s="60"/>
      <c r="D753" s="60"/>
      <c r="E753" s="61"/>
      <c r="F753" s="61"/>
      <c r="G753" s="59"/>
      <c r="H753" s="62"/>
      <c r="I753" s="60"/>
      <c r="J753" s="62"/>
      <c r="K753" s="63"/>
      <c r="L753" s="60"/>
    </row>
    <row r="754" spans="1:12" x14ac:dyDescent="0.25">
      <c r="A754" s="65"/>
      <c r="B754" s="60"/>
      <c r="C754" s="60"/>
      <c r="D754" s="60"/>
      <c r="E754" s="61"/>
      <c r="F754" s="61"/>
      <c r="G754" s="59"/>
      <c r="H754" s="62"/>
      <c r="I754" s="60"/>
      <c r="J754" s="62"/>
      <c r="K754" s="63"/>
      <c r="L754" s="60"/>
    </row>
    <row r="755" spans="1:12" x14ac:dyDescent="0.25">
      <c r="A755" s="65"/>
      <c r="B755" s="60"/>
      <c r="C755" s="60"/>
      <c r="D755" s="60"/>
      <c r="E755" s="61"/>
      <c r="F755" s="61"/>
      <c r="G755" s="59"/>
      <c r="H755" s="62"/>
      <c r="I755" s="60"/>
      <c r="J755" s="62"/>
      <c r="K755" s="63"/>
      <c r="L755" s="60"/>
    </row>
    <row r="756" spans="1:12" x14ac:dyDescent="0.25">
      <c r="A756" s="65"/>
      <c r="B756" s="60"/>
      <c r="C756" s="60"/>
      <c r="D756" s="60"/>
      <c r="E756" s="61"/>
      <c r="F756" s="61"/>
      <c r="G756" s="59"/>
      <c r="H756" s="62"/>
      <c r="I756" s="60"/>
      <c r="J756" s="62"/>
      <c r="K756" s="63"/>
      <c r="L756" s="60"/>
    </row>
    <row r="757" spans="1:12" x14ac:dyDescent="0.25">
      <c r="A757" s="65"/>
      <c r="B757" s="60"/>
      <c r="C757" s="60"/>
      <c r="D757" s="60"/>
      <c r="E757" s="61"/>
      <c r="F757" s="61"/>
      <c r="G757" s="59"/>
      <c r="H757" s="62"/>
      <c r="I757" s="60"/>
      <c r="J757" s="62"/>
      <c r="K757" s="63"/>
      <c r="L757" s="60"/>
    </row>
    <row r="758" spans="1:12" x14ac:dyDescent="0.25">
      <c r="A758" s="65"/>
      <c r="B758" s="60"/>
      <c r="C758" s="60"/>
      <c r="D758" s="60"/>
      <c r="E758" s="61"/>
      <c r="F758" s="61"/>
      <c r="G758" s="59"/>
      <c r="H758" s="62"/>
      <c r="I758" s="60"/>
      <c r="J758" s="62"/>
      <c r="K758" s="63"/>
      <c r="L758" s="60"/>
    </row>
    <row r="759" spans="1:12" x14ac:dyDescent="0.25">
      <c r="A759" s="65"/>
      <c r="B759" s="60"/>
      <c r="C759" s="60"/>
      <c r="D759" s="60"/>
      <c r="E759" s="61"/>
      <c r="F759" s="61"/>
      <c r="G759" s="59"/>
      <c r="H759" s="62"/>
      <c r="I759" s="60"/>
      <c r="J759" s="62"/>
      <c r="K759" s="63"/>
      <c r="L759" s="60"/>
    </row>
    <row r="760" spans="1:12" x14ac:dyDescent="0.25">
      <c r="A760" s="65"/>
      <c r="B760" s="60"/>
      <c r="C760" s="60"/>
      <c r="D760" s="60"/>
      <c r="E760" s="61"/>
      <c r="F760" s="61"/>
      <c r="G760" s="59"/>
      <c r="H760" s="62"/>
      <c r="I760" s="60"/>
      <c r="J760" s="62"/>
      <c r="K760" s="63"/>
      <c r="L760" s="60"/>
    </row>
    <row r="761" spans="1:12" x14ac:dyDescent="0.25">
      <c r="A761" s="65"/>
      <c r="B761" s="60"/>
      <c r="C761" s="60"/>
      <c r="D761" s="60"/>
      <c r="E761" s="61"/>
      <c r="F761" s="61"/>
      <c r="G761" s="59"/>
      <c r="H761" s="62"/>
      <c r="I761" s="60"/>
      <c r="J761" s="62"/>
      <c r="K761" s="63"/>
      <c r="L761" s="60"/>
    </row>
    <row r="762" spans="1:12" x14ac:dyDescent="0.25">
      <c r="A762" s="65"/>
      <c r="B762" s="60"/>
      <c r="C762" s="60"/>
      <c r="D762" s="60"/>
      <c r="E762" s="61"/>
      <c r="F762" s="61"/>
      <c r="G762" s="59"/>
      <c r="H762" s="62"/>
      <c r="I762" s="60"/>
      <c r="J762" s="62"/>
      <c r="K762" s="63"/>
      <c r="L762" s="60"/>
    </row>
    <row r="763" spans="1:12" x14ac:dyDescent="0.25">
      <c r="A763" s="65"/>
      <c r="B763" s="60"/>
      <c r="C763" s="60"/>
      <c r="D763" s="60"/>
      <c r="E763" s="61"/>
      <c r="F763" s="61"/>
      <c r="G763" s="59"/>
      <c r="H763" s="62"/>
      <c r="I763" s="60"/>
      <c r="J763" s="62"/>
      <c r="K763" s="63"/>
      <c r="L763" s="60"/>
    </row>
    <row r="764" spans="1:12" x14ac:dyDescent="0.25">
      <c r="A764" s="65"/>
      <c r="B764" s="60"/>
      <c r="C764" s="60"/>
      <c r="D764" s="60"/>
      <c r="E764" s="61"/>
      <c r="F764" s="61"/>
      <c r="G764" s="59"/>
      <c r="H764" s="62"/>
      <c r="I764" s="60"/>
      <c r="J764" s="62"/>
      <c r="K764" s="63"/>
      <c r="L764" s="60"/>
    </row>
    <row r="765" spans="1:12" x14ac:dyDescent="0.25">
      <c r="A765" s="65"/>
      <c r="B765" s="60"/>
      <c r="C765" s="60"/>
      <c r="D765" s="60"/>
      <c r="E765" s="61"/>
      <c r="F765" s="61"/>
      <c r="G765" s="59"/>
      <c r="H765" s="62"/>
      <c r="I765" s="60"/>
      <c r="J765" s="62"/>
      <c r="K765" s="63"/>
      <c r="L765" s="60"/>
    </row>
    <row r="766" spans="1:12" x14ac:dyDescent="0.25">
      <c r="A766" s="65"/>
      <c r="B766" s="60"/>
      <c r="C766" s="60"/>
      <c r="D766" s="60"/>
      <c r="E766" s="61"/>
      <c r="F766" s="61"/>
      <c r="G766" s="59"/>
      <c r="H766" s="62"/>
      <c r="I766" s="60"/>
      <c r="J766" s="62"/>
      <c r="K766" s="63"/>
      <c r="L766" s="60"/>
    </row>
    <row r="767" spans="1:12" x14ac:dyDescent="0.25">
      <c r="A767" s="65"/>
      <c r="B767" s="60"/>
      <c r="C767" s="60"/>
      <c r="D767" s="60"/>
      <c r="E767" s="61"/>
      <c r="F767" s="61"/>
      <c r="G767" s="59"/>
      <c r="H767" s="62"/>
      <c r="I767" s="60"/>
      <c r="J767" s="62"/>
      <c r="K767" s="63"/>
      <c r="L767" s="60"/>
    </row>
    <row r="768" spans="1:12" x14ac:dyDescent="0.25">
      <c r="A768" s="65"/>
      <c r="B768" s="60"/>
      <c r="C768" s="60"/>
      <c r="D768" s="60"/>
      <c r="E768" s="61"/>
      <c r="F768" s="61"/>
      <c r="G768" s="59"/>
      <c r="H768" s="62"/>
      <c r="I768" s="60"/>
      <c r="J768" s="62"/>
      <c r="K768" s="63"/>
      <c r="L768" s="60"/>
    </row>
    <row r="769" spans="1:12" x14ac:dyDescent="0.25">
      <c r="A769" s="65"/>
      <c r="B769" s="60"/>
      <c r="C769" s="60"/>
      <c r="D769" s="60"/>
      <c r="E769" s="61"/>
      <c r="F769" s="61"/>
      <c r="G769" s="59"/>
      <c r="H769" s="62"/>
      <c r="I769" s="60"/>
      <c r="J769" s="62"/>
      <c r="K769" s="63"/>
      <c r="L769" s="60"/>
    </row>
    <row r="770" spans="1:12" x14ac:dyDescent="0.25">
      <c r="A770" s="65"/>
      <c r="B770" s="60"/>
      <c r="C770" s="60"/>
      <c r="D770" s="60"/>
      <c r="E770" s="61"/>
      <c r="F770" s="61"/>
      <c r="G770" s="59"/>
      <c r="H770" s="62"/>
      <c r="I770" s="60"/>
      <c r="J770" s="62"/>
      <c r="K770" s="63"/>
      <c r="L770" s="60"/>
    </row>
    <row r="771" spans="1:12" x14ac:dyDescent="0.25">
      <c r="A771" s="65"/>
      <c r="B771" s="60"/>
      <c r="C771" s="60"/>
      <c r="D771" s="60"/>
      <c r="E771" s="61"/>
      <c r="F771" s="61"/>
      <c r="G771" s="59"/>
      <c r="H771" s="62"/>
      <c r="I771" s="60"/>
      <c r="J771" s="62"/>
      <c r="K771" s="63"/>
      <c r="L771" s="60"/>
    </row>
    <row r="772" spans="1:12" x14ac:dyDescent="0.25">
      <c r="A772" s="65"/>
      <c r="B772" s="60"/>
      <c r="C772" s="60"/>
      <c r="D772" s="60"/>
      <c r="E772" s="61"/>
      <c r="F772" s="61"/>
      <c r="G772" s="59"/>
      <c r="H772" s="62"/>
      <c r="I772" s="60"/>
      <c r="J772" s="62"/>
      <c r="K772" s="63"/>
      <c r="L772" s="60"/>
    </row>
    <row r="773" spans="1:12" x14ac:dyDescent="0.25">
      <c r="A773" s="65"/>
      <c r="B773" s="60"/>
      <c r="C773" s="60"/>
      <c r="D773" s="60"/>
      <c r="E773" s="61"/>
      <c r="F773" s="61"/>
      <c r="G773" s="59"/>
      <c r="H773" s="62"/>
      <c r="I773" s="60"/>
      <c r="J773" s="62"/>
      <c r="K773" s="63"/>
      <c r="L773" s="60"/>
    </row>
    <row r="774" spans="1:12" x14ac:dyDescent="0.25">
      <c r="A774" s="65"/>
      <c r="B774" s="60"/>
      <c r="C774" s="60"/>
      <c r="D774" s="60"/>
      <c r="E774" s="61"/>
      <c r="F774" s="61"/>
      <c r="G774" s="59"/>
      <c r="H774" s="62"/>
      <c r="I774" s="60"/>
      <c r="J774" s="62"/>
      <c r="K774" s="63"/>
      <c r="L774" s="60"/>
    </row>
    <row r="775" spans="1:12" x14ac:dyDescent="0.25">
      <c r="A775" s="65"/>
      <c r="B775" s="60"/>
      <c r="C775" s="60"/>
      <c r="D775" s="60"/>
      <c r="E775" s="61"/>
      <c r="F775" s="61"/>
      <c r="G775" s="59"/>
      <c r="H775" s="62"/>
      <c r="I775" s="60"/>
      <c r="J775" s="62"/>
      <c r="K775" s="63"/>
      <c r="L775" s="60"/>
    </row>
    <row r="776" spans="1:12" x14ac:dyDescent="0.25">
      <c r="A776" s="65"/>
      <c r="B776" s="60"/>
      <c r="C776" s="60"/>
      <c r="D776" s="60"/>
      <c r="E776" s="61"/>
      <c r="F776" s="61"/>
      <c r="G776" s="59"/>
      <c r="H776" s="62"/>
      <c r="I776" s="60"/>
      <c r="J776" s="62"/>
      <c r="K776" s="63"/>
      <c r="L776" s="60"/>
    </row>
    <row r="777" spans="1:12" x14ac:dyDescent="0.25">
      <c r="A777" s="65"/>
      <c r="B777" s="60"/>
      <c r="C777" s="60"/>
      <c r="D777" s="60"/>
      <c r="E777" s="61"/>
      <c r="F777" s="61"/>
      <c r="G777" s="59"/>
      <c r="H777" s="62"/>
      <c r="I777" s="60"/>
      <c r="J777" s="62"/>
      <c r="K777" s="63"/>
      <c r="L777" s="60"/>
    </row>
    <row r="778" spans="1:12" x14ac:dyDescent="0.25">
      <c r="A778" s="65"/>
      <c r="B778" s="60"/>
      <c r="C778" s="60"/>
      <c r="D778" s="60"/>
      <c r="E778" s="61"/>
      <c r="F778" s="61"/>
      <c r="G778" s="59"/>
      <c r="H778" s="62"/>
      <c r="I778" s="60"/>
      <c r="J778" s="62"/>
      <c r="K778" s="63"/>
      <c r="L778" s="60"/>
    </row>
    <row r="779" spans="1:12" x14ac:dyDescent="0.25">
      <c r="A779" s="65"/>
      <c r="B779" s="60"/>
      <c r="C779" s="60"/>
      <c r="D779" s="60"/>
      <c r="E779" s="61"/>
      <c r="F779" s="61"/>
      <c r="G779" s="59"/>
      <c r="H779" s="62"/>
      <c r="I779" s="60"/>
      <c r="J779" s="62"/>
      <c r="K779" s="63"/>
      <c r="L779" s="60"/>
    </row>
    <row r="780" spans="1:12" x14ac:dyDescent="0.25">
      <c r="A780" s="65"/>
      <c r="B780" s="60"/>
      <c r="C780" s="60"/>
      <c r="D780" s="60"/>
      <c r="E780" s="61"/>
      <c r="F780" s="61"/>
      <c r="G780" s="59"/>
      <c r="H780" s="62"/>
      <c r="I780" s="60"/>
      <c r="J780" s="62"/>
      <c r="K780" s="63"/>
      <c r="L780" s="60"/>
    </row>
    <row r="781" spans="1:12" x14ac:dyDescent="0.25">
      <c r="A781" s="65"/>
      <c r="B781" s="60"/>
      <c r="C781" s="60"/>
      <c r="D781" s="60"/>
      <c r="E781" s="61"/>
      <c r="F781" s="61"/>
      <c r="G781" s="59"/>
      <c r="H781" s="62"/>
      <c r="I781" s="60"/>
      <c r="J781" s="62"/>
      <c r="K781" s="63"/>
      <c r="L781" s="60"/>
    </row>
    <row r="782" spans="1:12" x14ac:dyDescent="0.25">
      <c r="A782" s="65"/>
      <c r="B782" s="60"/>
      <c r="C782" s="60"/>
      <c r="D782" s="60"/>
      <c r="E782" s="61"/>
      <c r="F782" s="61"/>
      <c r="G782" s="59"/>
      <c r="H782" s="62"/>
      <c r="I782" s="60"/>
      <c r="J782" s="62"/>
      <c r="K782" s="63"/>
      <c r="L782" s="60"/>
    </row>
    <row r="783" spans="1:12" x14ac:dyDescent="0.25">
      <c r="A783" s="65"/>
      <c r="B783" s="60"/>
      <c r="C783" s="60"/>
      <c r="D783" s="60"/>
      <c r="E783" s="61"/>
      <c r="F783" s="61"/>
      <c r="G783" s="59"/>
      <c r="H783" s="62"/>
      <c r="I783" s="60"/>
      <c r="J783" s="62"/>
      <c r="K783" s="63"/>
      <c r="L783" s="60"/>
    </row>
    <row r="784" spans="1:12" x14ac:dyDescent="0.25">
      <c r="A784" s="65"/>
      <c r="B784" s="60"/>
      <c r="C784" s="60"/>
      <c r="D784" s="60"/>
      <c r="E784" s="61"/>
      <c r="F784" s="61"/>
      <c r="G784" s="59"/>
      <c r="H784" s="62"/>
      <c r="I784" s="60"/>
      <c r="J784" s="62"/>
      <c r="K784" s="63"/>
      <c r="L784" s="60"/>
    </row>
    <row r="785" spans="1:12" x14ac:dyDescent="0.25">
      <c r="A785" s="65"/>
      <c r="B785" s="60"/>
      <c r="C785" s="60"/>
      <c r="D785" s="60"/>
      <c r="E785" s="61"/>
      <c r="F785" s="61"/>
      <c r="G785" s="59"/>
      <c r="H785" s="62"/>
      <c r="I785" s="60"/>
      <c r="J785" s="62"/>
      <c r="K785" s="63"/>
      <c r="L785" s="60"/>
    </row>
    <row r="786" spans="1:12" x14ac:dyDescent="0.25">
      <c r="A786" s="65"/>
      <c r="B786" s="60"/>
      <c r="C786" s="60"/>
      <c r="D786" s="60"/>
      <c r="E786" s="61"/>
      <c r="F786" s="61"/>
      <c r="G786" s="59"/>
      <c r="H786" s="62"/>
      <c r="I786" s="60"/>
      <c r="J786" s="62"/>
      <c r="K786" s="63"/>
      <c r="L786" s="60"/>
    </row>
    <row r="787" spans="1:12" x14ac:dyDescent="0.25">
      <c r="A787" s="65"/>
      <c r="B787" s="60"/>
      <c r="C787" s="60"/>
      <c r="D787" s="60"/>
      <c r="E787" s="61"/>
      <c r="F787" s="61"/>
      <c r="G787" s="59"/>
      <c r="H787" s="62"/>
      <c r="I787" s="60"/>
      <c r="J787" s="62"/>
      <c r="K787" s="63"/>
      <c r="L787" s="60"/>
    </row>
    <row r="788" spans="1:12" x14ac:dyDescent="0.25">
      <c r="A788" s="65"/>
      <c r="B788" s="60"/>
      <c r="C788" s="60"/>
      <c r="D788" s="60"/>
      <c r="E788" s="61"/>
      <c r="F788" s="61"/>
      <c r="G788" s="59"/>
      <c r="H788" s="62"/>
      <c r="I788" s="60"/>
      <c r="J788" s="62"/>
      <c r="K788" s="63"/>
      <c r="L788" s="60"/>
    </row>
    <row r="789" spans="1:12" x14ac:dyDescent="0.25">
      <c r="A789" s="65"/>
      <c r="B789" s="60"/>
      <c r="C789" s="60"/>
      <c r="D789" s="60"/>
      <c r="E789" s="61"/>
      <c r="F789" s="61"/>
      <c r="G789" s="59"/>
      <c r="H789" s="62"/>
      <c r="I789" s="60"/>
      <c r="J789" s="62"/>
      <c r="K789" s="63"/>
      <c r="L789" s="60"/>
    </row>
    <row r="790" spans="1:12" x14ac:dyDescent="0.25">
      <c r="A790" s="65"/>
      <c r="B790" s="60"/>
      <c r="C790" s="60"/>
      <c r="D790" s="60"/>
      <c r="E790" s="61"/>
      <c r="F790" s="61"/>
      <c r="G790" s="59"/>
      <c r="H790" s="62"/>
      <c r="I790" s="60"/>
      <c r="J790" s="62"/>
      <c r="K790" s="63"/>
      <c r="L790" s="60"/>
    </row>
    <row r="791" spans="1:12" x14ac:dyDescent="0.25">
      <c r="A791" s="65"/>
      <c r="B791" s="60"/>
      <c r="C791" s="60"/>
      <c r="D791" s="60"/>
      <c r="E791" s="61"/>
      <c r="F791" s="61"/>
      <c r="G791" s="59"/>
      <c r="H791" s="62"/>
      <c r="I791" s="60"/>
      <c r="J791" s="62"/>
      <c r="K791" s="63"/>
      <c r="L791" s="60"/>
    </row>
    <row r="792" spans="1:12" x14ac:dyDescent="0.25">
      <c r="A792" s="65"/>
      <c r="B792" s="60"/>
      <c r="C792" s="60"/>
      <c r="D792" s="60"/>
      <c r="E792" s="61"/>
      <c r="F792" s="61"/>
      <c r="G792" s="59"/>
      <c r="H792" s="62"/>
      <c r="I792" s="60"/>
      <c r="J792" s="62"/>
      <c r="K792" s="63"/>
      <c r="L792" s="60"/>
    </row>
    <row r="793" spans="1:12" x14ac:dyDescent="0.25">
      <c r="A793" s="65"/>
      <c r="B793" s="60"/>
      <c r="C793" s="60"/>
      <c r="D793" s="60"/>
      <c r="E793" s="61"/>
      <c r="F793" s="61"/>
      <c r="G793" s="59"/>
      <c r="H793" s="62"/>
      <c r="I793" s="60"/>
      <c r="J793" s="62"/>
      <c r="K793" s="63"/>
      <c r="L793" s="60"/>
    </row>
    <row r="794" spans="1:12" x14ac:dyDescent="0.25">
      <c r="A794" s="65"/>
      <c r="B794" s="60"/>
      <c r="C794" s="60"/>
      <c r="D794" s="60"/>
      <c r="E794" s="61"/>
      <c r="F794" s="61"/>
      <c r="G794" s="59"/>
      <c r="H794" s="62"/>
      <c r="I794" s="60"/>
      <c r="J794" s="62"/>
      <c r="K794" s="63"/>
      <c r="L794" s="60"/>
    </row>
    <row r="795" spans="1:12" x14ac:dyDescent="0.25">
      <c r="A795" s="65"/>
      <c r="B795" s="60"/>
      <c r="C795" s="60"/>
      <c r="D795" s="60"/>
      <c r="E795" s="61"/>
      <c r="F795" s="61"/>
      <c r="G795" s="59"/>
      <c r="H795" s="62"/>
      <c r="I795" s="60"/>
      <c r="J795" s="62"/>
      <c r="K795" s="63"/>
      <c r="L795" s="60"/>
    </row>
    <row r="796" spans="1:12" x14ac:dyDescent="0.25">
      <c r="A796" s="65"/>
      <c r="B796" s="60"/>
      <c r="C796" s="60"/>
      <c r="D796" s="60"/>
      <c r="E796" s="61"/>
      <c r="F796" s="61"/>
      <c r="G796" s="59"/>
      <c r="H796" s="62"/>
      <c r="I796" s="60"/>
      <c r="J796" s="62"/>
      <c r="K796" s="63"/>
      <c r="L796" s="60"/>
    </row>
    <row r="797" spans="1:12" x14ac:dyDescent="0.25">
      <c r="A797" s="65"/>
      <c r="B797" s="60"/>
      <c r="C797" s="60"/>
      <c r="D797" s="60"/>
      <c r="E797" s="61"/>
      <c r="F797" s="61"/>
      <c r="G797" s="59"/>
      <c r="H797" s="62"/>
      <c r="I797" s="60"/>
      <c r="J797" s="62"/>
      <c r="K797" s="63"/>
      <c r="L797" s="60"/>
    </row>
    <row r="798" spans="1:12" x14ac:dyDescent="0.25">
      <c r="A798" s="65"/>
      <c r="B798" s="60"/>
      <c r="C798" s="60"/>
      <c r="D798" s="60"/>
      <c r="E798" s="61"/>
      <c r="F798" s="61"/>
      <c r="G798" s="59"/>
      <c r="H798" s="62"/>
      <c r="I798" s="60"/>
      <c r="J798" s="62"/>
      <c r="K798" s="63"/>
      <c r="L798" s="60"/>
    </row>
    <row r="799" spans="1:12" x14ac:dyDescent="0.25">
      <c r="A799" s="65"/>
      <c r="B799" s="60"/>
      <c r="C799" s="60"/>
      <c r="D799" s="60"/>
      <c r="E799" s="61"/>
      <c r="F799" s="61"/>
      <c r="G799" s="59"/>
      <c r="H799" s="62"/>
      <c r="I799" s="60"/>
      <c r="J799" s="62"/>
      <c r="K799" s="63"/>
      <c r="L799" s="60"/>
    </row>
    <row r="800" spans="1:12" x14ac:dyDescent="0.25">
      <c r="A800" s="65"/>
      <c r="B800" s="60"/>
      <c r="C800" s="60"/>
      <c r="D800" s="60"/>
      <c r="E800" s="61"/>
      <c r="F800" s="61"/>
      <c r="G800" s="59"/>
      <c r="H800" s="62"/>
      <c r="I800" s="60"/>
      <c r="J800" s="62"/>
      <c r="K800" s="63"/>
      <c r="L800" s="60"/>
    </row>
    <row r="801" spans="1:12" x14ac:dyDescent="0.25">
      <c r="A801" s="65"/>
      <c r="B801" s="60"/>
      <c r="C801" s="60"/>
      <c r="D801" s="60"/>
      <c r="E801" s="61"/>
      <c r="F801" s="61"/>
      <c r="G801" s="59"/>
      <c r="H801" s="62"/>
      <c r="I801" s="60"/>
      <c r="J801" s="62"/>
      <c r="K801" s="63"/>
      <c r="L801" s="60"/>
    </row>
    <row r="802" spans="1:12" x14ac:dyDescent="0.25">
      <c r="A802" s="65"/>
      <c r="B802" s="60"/>
      <c r="C802" s="60"/>
      <c r="D802" s="60"/>
      <c r="E802" s="61"/>
      <c r="F802" s="61"/>
      <c r="G802" s="59"/>
      <c r="H802" s="62"/>
      <c r="I802" s="60"/>
      <c r="J802" s="62"/>
      <c r="K802" s="63"/>
      <c r="L802" s="60"/>
    </row>
    <row r="803" spans="1:12" x14ac:dyDescent="0.25">
      <c r="A803" s="65"/>
      <c r="B803" s="60"/>
      <c r="C803" s="60"/>
      <c r="D803" s="60"/>
      <c r="E803" s="61"/>
      <c r="F803" s="61"/>
      <c r="G803" s="59"/>
      <c r="H803" s="62"/>
      <c r="I803" s="60"/>
      <c r="J803" s="62"/>
      <c r="K803" s="63"/>
      <c r="L803" s="60"/>
    </row>
    <row r="804" spans="1:12" x14ac:dyDescent="0.25">
      <c r="A804" s="65"/>
      <c r="B804" s="60"/>
      <c r="C804" s="60"/>
      <c r="D804" s="60"/>
      <c r="E804" s="61"/>
      <c r="F804" s="61"/>
      <c r="G804" s="59"/>
      <c r="H804" s="62"/>
      <c r="I804" s="60"/>
      <c r="J804" s="62"/>
      <c r="K804" s="63"/>
      <c r="L804" s="60"/>
    </row>
    <row r="805" spans="1:12" x14ac:dyDescent="0.25">
      <c r="A805" s="65"/>
      <c r="B805" s="60"/>
      <c r="C805" s="60"/>
      <c r="D805" s="60"/>
      <c r="E805" s="61"/>
      <c r="F805" s="61"/>
      <c r="G805" s="59"/>
      <c r="H805" s="62"/>
      <c r="I805" s="60"/>
      <c r="J805" s="62"/>
      <c r="K805" s="63"/>
      <c r="L805" s="60"/>
    </row>
    <row r="806" spans="1:12" x14ac:dyDescent="0.25">
      <c r="A806" s="65"/>
      <c r="B806" s="60"/>
      <c r="C806" s="60"/>
      <c r="D806" s="60"/>
      <c r="E806" s="61"/>
      <c r="F806" s="61"/>
      <c r="G806" s="59"/>
      <c r="H806" s="62"/>
      <c r="I806" s="60"/>
      <c r="J806" s="62"/>
      <c r="K806" s="63"/>
      <c r="L806" s="60"/>
    </row>
    <row r="807" spans="1:12" x14ac:dyDescent="0.25">
      <c r="A807" s="65"/>
      <c r="B807" s="60"/>
      <c r="C807" s="60"/>
      <c r="D807" s="60"/>
      <c r="E807" s="61"/>
      <c r="F807" s="61"/>
      <c r="G807" s="59"/>
      <c r="H807" s="62"/>
      <c r="I807" s="60"/>
      <c r="J807" s="62"/>
      <c r="K807" s="63"/>
      <c r="L807" s="60"/>
    </row>
    <row r="808" spans="1:12" x14ac:dyDescent="0.25">
      <c r="A808" s="65"/>
      <c r="B808" s="60"/>
      <c r="C808" s="60"/>
      <c r="D808" s="60"/>
      <c r="E808" s="61"/>
      <c r="F808" s="61"/>
      <c r="G808" s="59"/>
      <c r="H808" s="62"/>
      <c r="I808" s="60"/>
      <c r="J808" s="62"/>
      <c r="K808" s="63"/>
      <c r="L808" s="60"/>
    </row>
    <row r="809" spans="1:12" x14ac:dyDescent="0.25">
      <c r="A809" s="65"/>
      <c r="B809" s="60"/>
      <c r="C809" s="60"/>
      <c r="D809" s="60"/>
      <c r="E809" s="61"/>
      <c r="F809" s="61"/>
      <c r="G809" s="59"/>
      <c r="H809" s="62"/>
      <c r="I809" s="60"/>
      <c r="J809" s="62"/>
      <c r="K809" s="63"/>
      <c r="L809" s="60"/>
    </row>
    <row r="810" spans="1:12" x14ac:dyDescent="0.25">
      <c r="A810" s="65"/>
      <c r="B810" s="60"/>
      <c r="C810" s="60"/>
      <c r="D810" s="60"/>
      <c r="E810" s="61"/>
      <c r="F810" s="61"/>
      <c r="G810" s="59"/>
      <c r="H810" s="62"/>
      <c r="I810" s="60"/>
      <c r="J810" s="62"/>
      <c r="K810" s="63"/>
      <c r="L810" s="60"/>
    </row>
    <row r="811" spans="1:12" x14ac:dyDescent="0.25">
      <c r="A811" s="65"/>
      <c r="B811" s="60"/>
      <c r="C811" s="60"/>
      <c r="D811" s="60"/>
      <c r="E811" s="61"/>
      <c r="F811" s="61"/>
      <c r="G811" s="59"/>
      <c r="H811" s="62"/>
      <c r="I811" s="60"/>
      <c r="J811" s="62"/>
      <c r="K811" s="63"/>
      <c r="L811" s="60"/>
    </row>
    <row r="812" spans="1:12" x14ac:dyDescent="0.25">
      <c r="A812" s="65"/>
      <c r="B812" s="60"/>
      <c r="C812" s="60"/>
      <c r="D812" s="60"/>
      <c r="E812" s="61"/>
      <c r="F812" s="61"/>
      <c r="G812" s="59"/>
      <c r="H812" s="62"/>
      <c r="I812" s="60"/>
      <c r="J812" s="62"/>
      <c r="K812" s="63"/>
      <c r="L812" s="60"/>
    </row>
    <row r="813" spans="1:12" x14ac:dyDescent="0.25">
      <c r="A813" s="65"/>
      <c r="B813" s="60"/>
      <c r="C813" s="60"/>
      <c r="D813" s="60"/>
      <c r="E813" s="61"/>
      <c r="F813" s="61"/>
      <c r="G813" s="59"/>
      <c r="H813" s="62"/>
      <c r="I813" s="60"/>
      <c r="J813" s="62"/>
      <c r="K813" s="63"/>
      <c r="L813" s="60"/>
    </row>
    <row r="814" spans="1:12" x14ac:dyDescent="0.25">
      <c r="A814" s="65"/>
      <c r="B814" s="60"/>
      <c r="C814" s="60"/>
      <c r="D814" s="60"/>
      <c r="E814" s="61"/>
      <c r="F814" s="61"/>
      <c r="G814" s="59"/>
      <c r="H814" s="62"/>
      <c r="I814" s="60"/>
      <c r="J814" s="62"/>
      <c r="K814" s="63"/>
      <c r="L814" s="60"/>
    </row>
    <row r="815" spans="1:12" x14ac:dyDescent="0.25">
      <c r="A815" s="65"/>
      <c r="B815" s="60"/>
      <c r="C815" s="60"/>
      <c r="D815" s="60"/>
      <c r="E815" s="61"/>
      <c r="F815" s="61"/>
      <c r="G815" s="59"/>
      <c r="H815" s="62"/>
      <c r="I815" s="60"/>
      <c r="J815" s="62"/>
      <c r="K815" s="63"/>
      <c r="L815" s="60"/>
    </row>
    <row r="816" spans="1:12" x14ac:dyDescent="0.25">
      <c r="A816" s="65"/>
      <c r="B816" s="60"/>
      <c r="C816" s="60"/>
      <c r="D816" s="60"/>
      <c r="E816" s="61"/>
      <c r="F816" s="61"/>
      <c r="G816" s="59"/>
      <c r="H816" s="62"/>
      <c r="I816" s="60"/>
      <c r="J816" s="62"/>
      <c r="K816" s="63"/>
      <c r="L816" s="60"/>
    </row>
    <row r="817" spans="1:12" x14ac:dyDescent="0.25">
      <c r="A817" s="65"/>
      <c r="B817" s="60"/>
      <c r="C817" s="60"/>
      <c r="D817" s="60"/>
      <c r="E817" s="61"/>
      <c r="F817" s="61"/>
      <c r="G817" s="59"/>
      <c r="H817" s="62"/>
      <c r="I817" s="60"/>
      <c r="J817" s="62"/>
      <c r="K817" s="63"/>
      <c r="L817" s="60"/>
    </row>
    <row r="818" spans="1:12" x14ac:dyDescent="0.25">
      <c r="A818" s="65"/>
      <c r="B818" s="60"/>
      <c r="C818" s="60"/>
      <c r="D818" s="60"/>
      <c r="E818" s="61"/>
      <c r="F818" s="61"/>
      <c r="G818" s="59"/>
      <c r="H818" s="62"/>
      <c r="I818" s="60"/>
      <c r="J818" s="62"/>
      <c r="K818" s="63"/>
      <c r="L818" s="60"/>
    </row>
    <row r="819" spans="1:12" x14ac:dyDescent="0.25">
      <c r="A819" s="65"/>
      <c r="B819" s="60"/>
      <c r="C819" s="60"/>
      <c r="D819" s="60"/>
      <c r="E819" s="61"/>
      <c r="F819" s="61"/>
      <c r="G819" s="59"/>
      <c r="H819" s="62"/>
      <c r="I819" s="60"/>
      <c r="J819" s="62"/>
      <c r="K819" s="63"/>
      <c r="L819" s="60"/>
    </row>
    <row r="820" spans="1:12" x14ac:dyDescent="0.25">
      <c r="A820" s="65"/>
      <c r="B820" s="60"/>
      <c r="C820" s="60"/>
      <c r="D820" s="60"/>
      <c r="E820" s="61"/>
      <c r="F820" s="61"/>
      <c r="G820" s="59"/>
      <c r="H820" s="62"/>
      <c r="I820" s="60"/>
      <c r="J820" s="62"/>
      <c r="K820" s="63"/>
      <c r="L820" s="60"/>
    </row>
    <row r="821" spans="1:12" x14ac:dyDescent="0.25">
      <c r="A821" s="65"/>
      <c r="B821" s="60"/>
      <c r="C821" s="60"/>
      <c r="D821" s="60"/>
      <c r="E821" s="61"/>
      <c r="F821" s="61"/>
      <c r="G821" s="59"/>
      <c r="H821" s="62"/>
      <c r="I821" s="60"/>
      <c r="J821" s="62"/>
      <c r="K821" s="63"/>
      <c r="L821" s="60"/>
    </row>
    <row r="822" spans="1:12" x14ac:dyDescent="0.25">
      <c r="A822" s="65"/>
      <c r="B822" s="60"/>
      <c r="C822" s="60"/>
      <c r="D822" s="60"/>
      <c r="E822" s="61"/>
      <c r="F822" s="61"/>
      <c r="G822" s="59"/>
      <c r="H822" s="62"/>
      <c r="I822" s="60"/>
      <c r="J822" s="62"/>
      <c r="K822" s="63"/>
      <c r="L822" s="60"/>
    </row>
    <row r="823" spans="1:12" x14ac:dyDescent="0.25">
      <c r="A823" s="65"/>
      <c r="B823" s="60"/>
      <c r="C823" s="60"/>
      <c r="D823" s="60"/>
      <c r="E823" s="61"/>
      <c r="F823" s="61"/>
      <c r="G823" s="59"/>
      <c r="H823" s="62"/>
      <c r="I823" s="60"/>
      <c r="J823" s="62"/>
      <c r="K823" s="63"/>
      <c r="L823" s="60"/>
    </row>
    <row r="824" spans="1:12" x14ac:dyDescent="0.25">
      <c r="A824" s="65"/>
      <c r="B824" s="60"/>
      <c r="C824" s="60"/>
      <c r="D824" s="60"/>
      <c r="E824" s="61"/>
      <c r="F824" s="61"/>
      <c r="G824" s="59"/>
      <c r="H824" s="62"/>
      <c r="I824" s="60"/>
      <c r="J824" s="62"/>
      <c r="K824" s="63"/>
      <c r="L824" s="60"/>
    </row>
    <row r="825" spans="1:12" x14ac:dyDescent="0.25">
      <c r="A825" s="65"/>
      <c r="B825" s="60"/>
      <c r="C825" s="60"/>
      <c r="D825" s="60"/>
      <c r="E825" s="61"/>
      <c r="F825" s="61"/>
      <c r="G825" s="59"/>
      <c r="H825" s="62"/>
      <c r="I825" s="60"/>
      <c r="J825" s="62"/>
      <c r="K825" s="63"/>
      <c r="L825" s="60"/>
    </row>
    <row r="826" spans="1:12" x14ac:dyDescent="0.25">
      <c r="A826" s="65"/>
      <c r="B826" s="60"/>
      <c r="C826" s="60"/>
      <c r="D826" s="60"/>
      <c r="E826" s="61"/>
      <c r="F826" s="61"/>
      <c r="G826" s="59"/>
      <c r="H826" s="62"/>
      <c r="I826" s="60"/>
      <c r="J826" s="62"/>
      <c r="K826" s="63"/>
      <c r="L826" s="60"/>
    </row>
    <row r="827" spans="1:12" x14ac:dyDescent="0.25">
      <c r="A827" s="65"/>
      <c r="B827" s="60"/>
      <c r="C827" s="60"/>
      <c r="D827" s="60"/>
      <c r="E827" s="61"/>
      <c r="F827" s="61"/>
      <c r="G827" s="59"/>
      <c r="H827" s="62"/>
      <c r="I827" s="60"/>
      <c r="J827" s="62"/>
      <c r="K827" s="63"/>
      <c r="L827" s="60"/>
    </row>
    <row r="828" spans="1:12" x14ac:dyDescent="0.25">
      <c r="A828" s="65"/>
      <c r="B828" s="60"/>
      <c r="C828" s="60"/>
      <c r="D828" s="60"/>
      <c r="E828" s="61"/>
      <c r="F828" s="61"/>
      <c r="G828" s="59"/>
      <c r="H828" s="62"/>
      <c r="I828" s="60"/>
      <c r="J828" s="62"/>
      <c r="K828" s="63"/>
      <c r="L828" s="60"/>
    </row>
    <row r="829" spans="1:12" x14ac:dyDescent="0.25">
      <c r="A829" s="65"/>
      <c r="B829" s="60"/>
      <c r="C829" s="60"/>
      <c r="D829" s="60"/>
      <c r="E829" s="61"/>
      <c r="F829" s="61"/>
      <c r="G829" s="59"/>
      <c r="H829" s="62"/>
      <c r="I829" s="60"/>
      <c r="J829" s="62"/>
      <c r="K829" s="63"/>
      <c r="L829" s="60"/>
    </row>
    <row r="830" spans="1:12" x14ac:dyDescent="0.25">
      <c r="A830" s="65"/>
      <c r="B830" s="60"/>
      <c r="C830" s="60"/>
      <c r="D830" s="60"/>
      <c r="E830" s="61"/>
      <c r="F830" s="61"/>
      <c r="G830" s="59"/>
      <c r="H830" s="62"/>
      <c r="I830" s="60"/>
      <c r="J830" s="62"/>
      <c r="K830" s="63"/>
      <c r="L830" s="60"/>
    </row>
    <row r="831" spans="1:12" x14ac:dyDescent="0.25">
      <c r="A831" s="65"/>
      <c r="B831" s="60"/>
      <c r="C831" s="60"/>
      <c r="D831" s="60"/>
      <c r="E831" s="61"/>
      <c r="F831" s="61"/>
      <c r="G831" s="59"/>
      <c r="H831" s="62"/>
      <c r="I831" s="60"/>
      <c r="J831" s="62"/>
      <c r="K831" s="63"/>
      <c r="L831" s="60"/>
    </row>
    <row r="832" spans="1:12" x14ac:dyDescent="0.25">
      <c r="A832" s="65"/>
      <c r="B832" s="60"/>
      <c r="C832" s="60"/>
      <c r="D832" s="60"/>
      <c r="E832" s="61"/>
      <c r="F832" s="61"/>
      <c r="G832" s="59"/>
      <c r="H832" s="62"/>
      <c r="I832" s="60"/>
      <c r="J832" s="62"/>
      <c r="K832" s="63"/>
      <c r="L832" s="60"/>
    </row>
    <row r="833" spans="1:12" x14ac:dyDescent="0.25">
      <c r="A833" s="65"/>
      <c r="B833" s="60"/>
      <c r="C833" s="60"/>
      <c r="D833" s="60"/>
      <c r="E833" s="61"/>
      <c r="F833" s="61"/>
      <c r="G833" s="59"/>
      <c r="H833" s="62"/>
      <c r="I833" s="60"/>
      <c r="J833" s="62"/>
      <c r="K833" s="63"/>
      <c r="L833" s="60"/>
    </row>
    <row r="834" spans="1:12" x14ac:dyDescent="0.25">
      <c r="A834" s="65"/>
      <c r="B834" s="60"/>
      <c r="C834" s="60"/>
      <c r="D834" s="60"/>
      <c r="E834" s="61"/>
      <c r="F834" s="61"/>
      <c r="G834" s="59"/>
      <c r="H834" s="62"/>
      <c r="I834" s="60"/>
      <c r="J834" s="62"/>
      <c r="K834" s="63"/>
      <c r="L834" s="60"/>
    </row>
    <row r="835" spans="1:12" x14ac:dyDescent="0.25">
      <c r="A835" s="65"/>
      <c r="B835" s="60"/>
      <c r="C835" s="60"/>
      <c r="D835" s="60"/>
      <c r="E835" s="61"/>
      <c r="F835" s="61"/>
      <c r="G835" s="59"/>
      <c r="H835" s="62"/>
      <c r="I835" s="60"/>
      <c r="J835" s="62"/>
      <c r="K835" s="63"/>
      <c r="L835" s="60"/>
    </row>
    <row r="836" spans="1:12" x14ac:dyDescent="0.25">
      <c r="A836" s="65"/>
      <c r="B836" s="60"/>
      <c r="C836" s="60"/>
      <c r="D836" s="60"/>
      <c r="E836" s="61"/>
      <c r="F836" s="61"/>
      <c r="G836" s="59"/>
      <c r="H836" s="62"/>
      <c r="I836" s="60"/>
      <c r="J836" s="62"/>
      <c r="K836" s="63"/>
      <c r="L836" s="60"/>
    </row>
    <row r="837" spans="1:12" x14ac:dyDescent="0.25">
      <c r="A837" s="65"/>
      <c r="B837" s="60"/>
      <c r="C837" s="60"/>
      <c r="D837" s="60"/>
      <c r="E837" s="61"/>
      <c r="F837" s="61"/>
      <c r="G837" s="59"/>
      <c r="H837" s="62"/>
      <c r="I837" s="60"/>
      <c r="J837" s="62"/>
      <c r="K837" s="63"/>
      <c r="L837" s="60"/>
    </row>
    <row r="838" spans="1:12" x14ac:dyDescent="0.25">
      <c r="A838" s="65"/>
      <c r="B838" s="60"/>
      <c r="C838" s="60"/>
      <c r="D838" s="60"/>
      <c r="E838" s="61"/>
      <c r="F838" s="61"/>
      <c r="G838" s="59"/>
      <c r="H838" s="62"/>
      <c r="I838" s="60"/>
      <c r="J838" s="62"/>
      <c r="K838" s="63"/>
      <c r="L838" s="60"/>
    </row>
    <row r="839" spans="1:12" x14ac:dyDescent="0.25">
      <c r="A839" s="65"/>
      <c r="B839" s="60"/>
      <c r="C839" s="60"/>
      <c r="D839" s="60"/>
      <c r="E839" s="61"/>
      <c r="F839" s="61"/>
      <c r="G839" s="59"/>
      <c r="H839" s="62"/>
      <c r="I839" s="60"/>
      <c r="J839" s="62"/>
      <c r="K839" s="63"/>
      <c r="L839" s="60"/>
    </row>
    <row r="840" spans="1:12" x14ac:dyDescent="0.25">
      <c r="A840" s="65"/>
      <c r="B840" s="60"/>
      <c r="C840" s="60"/>
      <c r="D840" s="60"/>
      <c r="E840" s="61"/>
      <c r="F840" s="61"/>
      <c r="G840" s="59"/>
      <c r="H840" s="62"/>
      <c r="I840" s="60"/>
      <c r="J840" s="62"/>
      <c r="K840" s="63"/>
      <c r="L840" s="60"/>
    </row>
    <row r="841" spans="1:12" x14ac:dyDescent="0.25">
      <c r="A841" s="65"/>
      <c r="B841" s="60"/>
      <c r="C841" s="60"/>
      <c r="D841" s="60"/>
      <c r="E841" s="61"/>
      <c r="F841" s="61"/>
      <c r="G841" s="59"/>
      <c r="H841" s="62"/>
      <c r="I841" s="60"/>
      <c r="J841" s="62"/>
      <c r="K841" s="63"/>
      <c r="L841" s="60"/>
    </row>
    <row r="842" spans="1:12" x14ac:dyDescent="0.25">
      <c r="A842" s="65"/>
      <c r="B842" s="60"/>
      <c r="C842" s="60"/>
      <c r="D842" s="60"/>
      <c r="E842" s="61"/>
      <c r="F842" s="61"/>
      <c r="G842" s="59"/>
      <c r="H842" s="62"/>
      <c r="I842" s="60"/>
      <c r="J842" s="62"/>
      <c r="K842" s="63"/>
      <c r="L842" s="60"/>
    </row>
    <row r="843" spans="1:12" x14ac:dyDescent="0.25">
      <c r="A843" s="65"/>
      <c r="B843" s="60"/>
      <c r="C843" s="60"/>
      <c r="D843" s="60"/>
      <c r="E843" s="61"/>
      <c r="F843" s="61"/>
      <c r="G843" s="59"/>
      <c r="H843" s="62"/>
      <c r="I843" s="60"/>
      <c r="J843" s="62"/>
      <c r="K843" s="63"/>
      <c r="L843" s="60"/>
    </row>
    <row r="844" spans="1:12" x14ac:dyDescent="0.25">
      <c r="A844" s="65"/>
      <c r="B844" s="60"/>
      <c r="C844" s="60"/>
      <c r="D844" s="60"/>
      <c r="E844" s="61"/>
      <c r="F844" s="61"/>
      <c r="G844" s="59"/>
      <c r="H844" s="62"/>
      <c r="I844" s="60"/>
      <c r="J844" s="62"/>
      <c r="K844" s="63"/>
      <c r="L844" s="60"/>
    </row>
    <row r="845" spans="1:12" x14ac:dyDescent="0.25">
      <c r="A845" s="65"/>
      <c r="B845" s="60"/>
      <c r="C845" s="60"/>
      <c r="D845" s="60"/>
      <c r="E845" s="61"/>
      <c r="F845" s="61"/>
      <c r="G845" s="59"/>
      <c r="H845" s="62"/>
      <c r="I845" s="60"/>
      <c r="J845" s="62"/>
      <c r="K845" s="63"/>
      <c r="L845" s="60"/>
    </row>
    <row r="846" spans="1:12" x14ac:dyDescent="0.25">
      <c r="A846" s="65"/>
      <c r="B846" s="60"/>
      <c r="C846" s="60"/>
      <c r="D846" s="60"/>
      <c r="E846" s="61"/>
      <c r="F846" s="61"/>
      <c r="G846" s="59"/>
      <c r="H846" s="62"/>
      <c r="I846" s="60"/>
      <c r="J846" s="62"/>
      <c r="K846" s="63"/>
      <c r="L846" s="60"/>
    </row>
    <row r="847" spans="1:12" x14ac:dyDescent="0.25">
      <c r="A847" s="65"/>
      <c r="B847" s="60"/>
      <c r="C847" s="60"/>
      <c r="D847" s="60"/>
      <c r="E847" s="61"/>
      <c r="F847" s="61"/>
      <c r="G847" s="59"/>
      <c r="H847" s="62"/>
      <c r="I847" s="60"/>
      <c r="J847" s="62"/>
      <c r="K847" s="63"/>
      <c r="L847" s="60"/>
    </row>
    <row r="848" spans="1:12" x14ac:dyDescent="0.25">
      <c r="A848" s="65"/>
      <c r="B848" s="60"/>
      <c r="C848" s="60"/>
      <c r="D848" s="60"/>
      <c r="E848" s="61"/>
      <c r="F848" s="61"/>
      <c r="G848" s="59"/>
      <c r="H848" s="62"/>
      <c r="I848" s="60"/>
      <c r="J848" s="62"/>
      <c r="K848" s="63"/>
      <c r="L848" s="60"/>
    </row>
    <row r="849" spans="1:12" x14ac:dyDescent="0.25">
      <c r="A849" s="65"/>
      <c r="B849" s="60"/>
      <c r="C849" s="60"/>
      <c r="D849" s="60"/>
      <c r="E849" s="61"/>
      <c r="F849" s="61"/>
      <c r="G849" s="59"/>
      <c r="H849" s="62"/>
      <c r="I849" s="60"/>
      <c r="J849" s="62"/>
      <c r="K849" s="63"/>
      <c r="L849" s="60"/>
    </row>
    <row r="850" spans="1:12" x14ac:dyDescent="0.25">
      <c r="A850" s="65"/>
      <c r="B850" s="60"/>
      <c r="C850" s="60"/>
      <c r="D850" s="60"/>
      <c r="E850" s="61"/>
      <c r="F850" s="61"/>
      <c r="G850" s="59"/>
      <c r="H850" s="62"/>
      <c r="I850" s="60"/>
      <c r="J850" s="62"/>
      <c r="K850" s="63"/>
      <c r="L850" s="60"/>
    </row>
    <row r="851" spans="1:12" x14ac:dyDescent="0.25">
      <c r="A851" s="65"/>
      <c r="B851" s="60"/>
      <c r="C851" s="60"/>
      <c r="D851" s="60"/>
      <c r="E851" s="61"/>
      <c r="F851" s="61"/>
      <c r="G851" s="59"/>
      <c r="H851" s="62"/>
      <c r="I851" s="60"/>
      <c r="J851" s="62"/>
      <c r="K851" s="63"/>
      <c r="L851" s="60"/>
    </row>
    <row r="852" spans="1:12" x14ac:dyDescent="0.25">
      <c r="A852" s="65"/>
      <c r="B852" s="60"/>
      <c r="C852" s="60"/>
      <c r="D852" s="60"/>
      <c r="E852" s="61"/>
      <c r="F852" s="61"/>
      <c r="G852" s="59"/>
      <c r="H852" s="62"/>
      <c r="I852" s="60"/>
      <c r="J852" s="62"/>
      <c r="K852" s="63"/>
      <c r="L852" s="60"/>
    </row>
    <row r="853" spans="1:12" x14ac:dyDescent="0.25">
      <c r="A853" s="65"/>
      <c r="B853" s="60"/>
      <c r="C853" s="60"/>
      <c r="D853" s="60"/>
      <c r="E853" s="61"/>
      <c r="F853" s="61"/>
      <c r="G853" s="59"/>
      <c r="H853" s="62"/>
      <c r="I853" s="60"/>
      <c r="J853" s="62"/>
      <c r="K853" s="63"/>
      <c r="L853" s="60"/>
    </row>
    <row r="854" spans="1:12" x14ac:dyDescent="0.25">
      <c r="A854" s="65"/>
      <c r="B854" s="60"/>
      <c r="C854" s="60"/>
      <c r="D854" s="60"/>
      <c r="E854" s="61"/>
      <c r="F854" s="61"/>
      <c r="G854" s="59"/>
      <c r="H854" s="62"/>
      <c r="I854" s="60"/>
      <c r="J854" s="62"/>
      <c r="K854" s="63"/>
      <c r="L854" s="60"/>
    </row>
    <row r="855" spans="1:12" x14ac:dyDescent="0.25">
      <c r="A855" s="65"/>
      <c r="B855" s="60"/>
      <c r="C855" s="60"/>
      <c r="D855" s="60"/>
      <c r="E855" s="61"/>
      <c r="F855" s="61"/>
      <c r="G855" s="59"/>
      <c r="H855" s="62"/>
      <c r="I855" s="60"/>
      <c r="J855" s="62"/>
      <c r="K855" s="63"/>
      <c r="L855" s="60"/>
    </row>
    <row r="856" spans="1:12" x14ac:dyDescent="0.25">
      <c r="A856" s="65"/>
      <c r="B856" s="60"/>
      <c r="C856" s="60"/>
      <c r="D856" s="60"/>
      <c r="E856" s="61"/>
      <c r="F856" s="61"/>
      <c r="G856" s="59"/>
      <c r="H856" s="62"/>
      <c r="I856" s="60"/>
      <c r="J856" s="62"/>
      <c r="K856" s="63"/>
      <c r="L856" s="60"/>
    </row>
    <row r="857" spans="1:12" x14ac:dyDescent="0.25">
      <c r="A857" s="65"/>
      <c r="B857" s="60"/>
      <c r="C857" s="60"/>
      <c r="D857" s="60"/>
      <c r="E857" s="61"/>
      <c r="F857" s="61"/>
      <c r="G857" s="59"/>
      <c r="H857" s="62"/>
      <c r="I857" s="60"/>
      <c r="J857" s="62"/>
      <c r="K857" s="63"/>
      <c r="L857" s="60"/>
    </row>
    <row r="858" spans="1:12" x14ac:dyDescent="0.25">
      <c r="A858" s="65"/>
      <c r="B858" s="60"/>
      <c r="C858" s="60"/>
      <c r="D858" s="60"/>
      <c r="E858" s="61"/>
      <c r="F858" s="61"/>
      <c r="G858" s="59"/>
      <c r="H858" s="62"/>
      <c r="I858" s="60"/>
      <c r="J858" s="62"/>
      <c r="K858" s="63"/>
      <c r="L858" s="60"/>
    </row>
    <row r="859" spans="1:12" x14ac:dyDescent="0.25">
      <c r="A859" s="65"/>
      <c r="B859" s="60"/>
      <c r="C859" s="60"/>
      <c r="D859" s="60"/>
      <c r="E859" s="61"/>
      <c r="F859" s="61"/>
      <c r="G859" s="59"/>
      <c r="H859" s="62"/>
      <c r="I859" s="60"/>
      <c r="J859" s="62"/>
      <c r="K859" s="63"/>
      <c r="L859" s="60"/>
    </row>
    <row r="860" spans="1:12" x14ac:dyDescent="0.25">
      <c r="A860" s="65"/>
      <c r="B860" s="60"/>
      <c r="C860" s="60"/>
      <c r="D860" s="60"/>
      <c r="E860" s="61"/>
      <c r="F860" s="61"/>
      <c r="G860" s="59"/>
      <c r="H860" s="62"/>
      <c r="I860" s="60"/>
      <c r="J860" s="62"/>
      <c r="K860" s="63"/>
      <c r="L860" s="60"/>
    </row>
    <row r="861" spans="1:12" x14ac:dyDescent="0.25">
      <c r="A861" s="65"/>
      <c r="B861" s="60"/>
      <c r="C861" s="60"/>
      <c r="D861" s="60"/>
      <c r="E861" s="61"/>
      <c r="F861" s="61"/>
      <c r="G861" s="59"/>
      <c r="H861" s="62"/>
      <c r="I861" s="60"/>
      <c r="J861" s="62"/>
      <c r="K861" s="63"/>
      <c r="L861" s="60"/>
    </row>
    <row r="862" spans="1:12" x14ac:dyDescent="0.25">
      <c r="A862" s="65"/>
      <c r="B862" s="60"/>
      <c r="C862" s="60"/>
      <c r="D862" s="60"/>
      <c r="E862" s="61"/>
      <c r="F862" s="61"/>
      <c r="G862" s="59"/>
      <c r="H862" s="62"/>
      <c r="I862" s="60"/>
      <c r="J862" s="62"/>
      <c r="K862" s="63"/>
      <c r="L862" s="60"/>
    </row>
    <row r="863" spans="1:12" x14ac:dyDescent="0.25">
      <c r="A863" s="65"/>
      <c r="B863" s="60"/>
      <c r="C863" s="60"/>
      <c r="D863" s="60"/>
      <c r="E863" s="61"/>
      <c r="F863" s="61"/>
      <c r="G863" s="59"/>
      <c r="H863" s="62"/>
      <c r="I863" s="60"/>
      <c r="J863" s="62"/>
      <c r="K863" s="63"/>
      <c r="L863" s="60"/>
    </row>
    <row r="864" spans="1:12" x14ac:dyDescent="0.25">
      <c r="A864" s="65"/>
      <c r="B864" s="60"/>
      <c r="C864" s="60"/>
      <c r="D864" s="60"/>
      <c r="E864" s="61"/>
      <c r="F864" s="61"/>
      <c r="G864" s="59"/>
      <c r="H864" s="62"/>
      <c r="I864" s="60"/>
      <c r="J864" s="62"/>
      <c r="K864" s="63"/>
      <c r="L864" s="60"/>
    </row>
    <row r="865" spans="1:12" x14ac:dyDescent="0.25">
      <c r="A865" s="65"/>
      <c r="B865" s="60"/>
      <c r="C865" s="60"/>
      <c r="D865" s="60"/>
      <c r="E865" s="61"/>
      <c r="F865" s="61"/>
      <c r="G865" s="59"/>
      <c r="H865" s="62"/>
      <c r="I865" s="60"/>
      <c r="J865" s="62"/>
      <c r="K865" s="63"/>
      <c r="L865" s="60"/>
    </row>
    <row r="866" spans="1:12" x14ac:dyDescent="0.25">
      <c r="A866" s="65"/>
      <c r="B866" s="60"/>
      <c r="C866" s="60"/>
      <c r="D866" s="60"/>
      <c r="E866" s="61"/>
      <c r="F866" s="61"/>
      <c r="G866" s="59"/>
      <c r="H866" s="62"/>
      <c r="I866" s="60"/>
      <c r="J866" s="62"/>
      <c r="K866" s="63"/>
      <c r="L866" s="60"/>
    </row>
    <row r="867" spans="1:12" x14ac:dyDescent="0.25">
      <c r="A867" s="65"/>
      <c r="B867" s="60"/>
      <c r="C867" s="60"/>
      <c r="D867" s="60"/>
      <c r="E867" s="61"/>
      <c r="F867" s="61"/>
      <c r="G867" s="59"/>
      <c r="H867" s="62"/>
      <c r="I867" s="60"/>
      <c r="J867" s="62"/>
      <c r="K867" s="63"/>
      <c r="L867" s="60"/>
    </row>
    <row r="868" spans="1:12" x14ac:dyDescent="0.25">
      <c r="A868" s="65"/>
      <c r="B868" s="60"/>
      <c r="C868" s="60"/>
      <c r="D868" s="60"/>
      <c r="E868" s="61"/>
      <c r="F868" s="61"/>
      <c r="G868" s="59"/>
      <c r="H868" s="62"/>
      <c r="I868" s="60"/>
      <c r="J868" s="62"/>
      <c r="K868" s="63"/>
      <c r="L868" s="60"/>
    </row>
    <row r="869" spans="1:12" x14ac:dyDescent="0.25">
      <c r="A869" s="65"/>
      <c r="B869" s="60"/>
      <c r="C869" s="60"/>
      <c r="D869" s="60"/>
      <c r="E869" s="61"/>
      <c r="F869" s="61"/>
      <c r="G869" s="59"/>
      <c r="H869" s="62"/>
      <c r="I869" s="60"/>
      <c r="J869" s="62"/>
      <c r="K869" s="63"/>
      <c r="L869" s="60"/>
    </row>
    <row r="870" spans="1:12" x14ac:dyDescent="0.25">
      <c r="A870" s="65"/>
      <c r="B870" s="60"/>
      <c r="C870" s="60"/>
      <c r="D870" s="60"/>
      <c r="E870" s="61"/>
      <c r="F870" s="61"/>
      <c r="G870" s="59"/>
      <c r="H870" s="62"/>
      <c r="I870" s="60"/>
      <c r="J870" s="62"/>
      <c r="K870" s="63"/>
      <c r="L870" s="60"/>
    </row>
    <row r="871" spans="1:12" x14ac:dyDescent="0.25">
      <c r="A871" s="65"/>
      <c r="B871" s="60"/>
      <c r="C871" s="60"/>
      <c r="D871" s="60"/>
      <c r="E871" s="61"/>
      <c r="F871" s="61"/>
      <c r="G871" s="59"/>
      <c r="H871" s="62"/>
      <c r="I871" s="60"/>
      <c r="J871" s="62"/>
      <c r="K871" s="63"/>
      <c r="L871" s="60"/>
    </row>
    <row r="872" spans="1:12" x14ac:dyDescent="0.25">
      <c r="A872" s="65"/>
      <c r="B872" s="60"/>
      <c r="C872" s="60"/>
      <c r="D872" s="60"/>
      <c r="E872" s="61"/>
      <c r="F872" s="61"/>
      <c r="G872" s="59"/>
      <c r="H872" s="62"/>
      <c r="I872" s="60"/>
      <c r="J872" s="62"/>
      <c r="K872" s="63"/>
      <c r="L872" s="60"/>
    </row>
    <row r="873" spans="1:12" x14ac:dyDescent="0.25">
      <c r="A873" s="65"/>
      <c r="B873" s="60"/>
      <c r="C873" s="60"/>
      <c r="D873" s="60"/>
      <c r="E873" s="61"/>
      <c r="F873" s="61"/>
      <c r="G873" s="59"/>
      <c r="H873" s="62"/>
      <c r="I873" s="60"/>
      <c r="J873" s="62"/>
      <c r="K873" s="63"/>
      <c r="L873" s="60"/>
    </row>
    <row r="874" spans="1:12" x14ac:dyDescent="0.25">
      <c r="A874" s="65"/>
      <c r="B874" s="60"/>
      <c r="C874" s="60"/>
      <c r="D874" s="60"/>
      <c r="E874" s="61"/>
      <c r="F874" s="61"/>
      <c r="G874" s="59"/>
      <c r="H874" s="62"/>
      <c r="I874" s="60"/>
      <c r="J874" s="62"/>
      <c r="K874" s="63"/>
      <c r="L874" s="60"/>
    </row>
    <row r="875" spans="1:12" x14ac:dyDescent="0.25">
      <c r="A875" s="65"/>
      <c r="B875" s="60"/>
      <c r="C875" s="60"/>
      <c r="D875" s="60"/>
      <c r="E875" s="61"/>
      <c r="F875" s="61"/>
      <c r="G875" s="59"/>
      <c r="H875" s="62"/>
      <c r="I875" s="60"/>
      <c r="J875" s="62"/>
      <c r="K875" s="63"/>
      <c r="L875" s="60"/>
    </row>
    <row r="876" spans="1:12" x14ac:dyDescent="0.25">
      <c r="A876" s="65"/>
      <c r="B876" s="60"/>
      <c r="C876" s="60"/>
      <c r="D876" s="60"/>
      <c r="E876" s="61"/>
      <c r="F876" s="61"/>
      <c r="G876" s="59"/>
      <c r="H876" s="62"/>
      <c r="I876" s="60"/>
      <c r="J876" s="62"/>
      <c r="K876" s="63"/>
      <c r="L876" s="60"/>
    </row>
    <row r="877" spans="1:12" x14ac:dyDescent="0.25">
      <c r="A877" s="65"/>
      <c r="B877" s="60"/>
      <c r="C877" s="60"/>
      <c r="D877" s="60"/>
      <c r="E877" s="61"/>
      <c r="F877" s="61"/>
      <c r="G877" s="59"/>
      <c r="H877" s="62"/>
      <c r="I877" s="60"/>
      <c r="J877" s="62"/>
      <c r="K877" s="63"/>
      <c r="L877" s="60"/>
    </row>
    <row r="878" spans="1:12" x14ac:dyDescent="0.25">
      <c r="A878" s="65"/>
      <c r="B878" s="60"/>
      <c r="C878" s="60"/>
      <c r="D878" s="60"/>
      <c r="E878" s="61"/>
      <c r="F878" s="61"/>
      <c r="G878" s="59"/>
      <c r="H878" s="62"/>
      <c r="I878" s="60"/>
      <c r="J878" s="62"/>
      <c r="K878" s="63"/>
      <c r="L878" s="60"/>
    </row>
    <row r="879" spans="1:12" x14ac:dyDescent="0.25">
      <c r="A879" s="65"/>
      <c r="B879" s="60"/>
      <c r="C879" s="60"/>
      <c r="D879" s="60"/>
      <c r="E879" s="61"/>
      <c r="F879" s="61"/>
      <c r="G879" s="59"/>
      <c r="H879" s="62"/>
      <c r="I879" s="60"/>
      <c r="J879" s="62"/>
      <c r="K879" s="63"/>
      <c r="L879" s="60"/>
    </row>
    <row r="880" spans="1:12" x14ac:dyDescent="0.25">
      <c r="A880" s="65"/>
      <c r="B880" s="60"/>
      <c r="C880" s="60"/>
      <c r="D880" s="60"/>
      <c r="E880" s="61"/>
      <c r="F880" s="61"/>
      <c r="G880" s="59"/>
      <c r="H880" s="62"/>
      <c r="I880" s="60"/>
      <c r="J880" s="62"/>
      <c r="K880" s="63"/>
      <c r="L880" s="60"/>
    </row>
    <row r="881" spans="1:12" x14ac:dyDescent="0.25">
      <c r="A881" s="65"/>
      <c r="B881" s="60"/>
      <c r="C881" s="60"/>
      <c r="D881" s="60"/>
      <c r="E881" s="61"/>
      <c r="F881" s="61"/>
      <c r="G881" s="59"/>
      <c r="H881" s="62"/>
      <c r="I881" s="60"/>
      <c r="J881" s="62"/>
      <c r="K881" s="63"/>
      <c r="L881" s="60"/>
    </row>
    <row r="882" spans="1:12" x14ac:dyDescent="0.25">
      <c r="A882" s="65"/>
      <c r="B882" s="60"/>
      <c r="C882" s="60"/>
      <c r="D882" s="60"/>
      <c r="E882" s="61"/>
      <c r="F882" s="61"/>
      <c r="G882" s="59"/>
      <c r="H882" s="62"/>
      <c r="I882" s="60"/>
      <c r="J882" s="62"/>
      <c r="K882" s="63"/>
      <c r="L882" s="60"/>
    </row>
    <row r="883" spans="1:12" x14ac:dyDescent="0.25">
      <c r="A883" s="65"/>
      <c r="B883" s="60"/>
      <c r="C883" s="60"/>
      <c r="D883" s="60"/>
      <c r="E883" s="61"/>
      <c r="F883" s="61"/>
      <c r="G883" s="59"/>
      <c r="H883" s="62"/>
      <c r="I883" s="60"/>
      <c r="J883" s="62"/>
      <c r="K883" s="63"/>
      <c r="L883" s="60"/>
    </row>
    <row r="884" spans="1:12" x14ac:dyDescent="0.25">
      <c r="A884" s="65"/>
      <c r="B884" s="60"/>
      <c r="C884" s="60"/>
      <c r="D884" s="60"/>
      <c r="E884" s="61"/>
      <c r="F884" s="61"/>
      <c r="G884" s="59"/>
      <c r="H884" s="62"/>
      <c r="I884" s="60"/>
      <c r="J884" s="62"/>
      <c r="K884" s="63"/>
      <c r="L884" s="60"/>
    </row>
    <row r="885" spans="1:12" x14ac:dyDescent="0.25">
      <c r="A885" s="65"/>
      <c r="B885" s="60"/>
      <c r="C885" s="60"/>
      <c r="D885" s="60"/>
      <c r="E885" s="61"/>
      <c r="F885" s="61"/>
      <c r="G885" s="59"/>
      <c r="H885" s="62"/>
      <c r="I885" s="60"/>
      <c r="J885" s="62"/>
      <c r="K885" s="63"/>
      <c r="L885" s="60"/>
    </row>
    <row r="886" spans="1:12" x14ac:dyDescent="0.25">
      <c r="A886" s="65"/>
      <c r="B886" s="60"/>
      <c r="C886" s="60"/>
      <c r="D886" s="60"/>
      <c r="E886" s="61"/>
      <c r="F886" s="61"/>
      <c r="G886" s="59"/>
      <c r="H886" s="62"/>
      <c r="I886" s="60"/>
      <c r="J886" s="62"/>
      <c r="K886" s="63"/>
      <c r="L886" s="60"/>
    </row>
    <row r="887" spans="1:12" x14ac:dyDescent="0.25">
      <c r="A887" s="65"/>
      <c r="B887" s="60"/>
      <c r="C887" s="60"/>
      <c r="D887" s="60"/>
      <c r="E887" s="61"/>
      <c r="F887" s="61"/>
      <c r="G887" s="59"/>
      <c r="H887" s="62"/>
      <c r="I887" s="60"/>
      <c r="J887" s="62"/>
      <c r="K887" s="63"/>
      <c r="L887" s="60"/>
    </row>
    <row r="888" spans="1:12" x14ac:dyDescent="0.25">
      <c r="A888" s="65"/>
      <c r="B888" s="60"/>
      <c r="C888" s="60"/>
      <c r="D888" s="60"/>
      <c r="E888" s="61"/>
      <c r="F888" s="61"/>
      <c r="G888" s="59"/>
      <c r="H888" s="62"/>
      <c r="I888" s="60"/>
      <c r="J888" s="62"/>
      <c r="K888" s="63"/>
      <c r="L888" s="60"/>
    </row>
    <row r="889" spans="1:12" x14ac:dyDescent="0.25">
      <c r="A889" s="65"/>
      <c r="B889" s="60"/>
      <c r="C889" s="60"/>
      <c r="D889" s="60"/>
      <c r="E889" s="61"/>
      <c r="F889" s="61"/>
      <c r="G889" s="59"/>
      <c r="H889" s="62"/>
      <c r="I889" s="60"/>
      <c r="J889" s="62"/>
      <c r="K889" s="63"/>
      <c r="L889" s="60"/>
    </row>
    <row r="890" spans="1:12" x14ac:dyDescent="0.25">
      <c r="A890" s="65"/>
      <c r="B890" s="60"/>
      <c r="C890" s="60"/>
      <c r="D890" s="60"/>
      <c r="E890" s="61"/>
      <c r="F890" s="61"/>
      <c r="G890" s="59"/>
      <c r="H890" s="62"/>
      <c r="I890" s="60"/>
      <c r="J890" s="62"/>
      <c r="K890" s="63"/>
      <c r="L890" s="60"/>
    </row>
    <row r="891" spans="1:12" x14ac:dyDescent="0.25">
      <c r="A891" s="65"/>
      <c r="B891" s="60"/>
      <c r="C891" s="60"/>
      <c r="D891" s="60"/>
      <c r="E891" s="61"/>
      <c r="F891" s="61"/>
      <c r="G891" s="59"/>
      <c r="H891" s="62"/>
      <c r="I891" s="60"/>
      <c r="J891" s="62"/>
      <c r="K891" s="63"/>
      <c r="L891" s="60"/>
    </row>
    <row r="892" spans="1:12" x14ac:dyDescent="0.25">
      <c r="A892" s="65"/>
      <c r="B892" s="60"/>
      <c r="C892" s="60"/>
      <c r="D892" s="60"/>
      <c r="E892" s="61"/>
      <c r="F892" s="61"/>
      <c r="G892" s="59"/>
      <c r="H892" s="62"/>
      <c r="I892" s="60"/>
      <c r="J892" s="62"/>
      <c r="K892" s="63"/>
      <c r="L892" s="60"/>
    </row>
    <row r="893" spans="1:12" x14ac:dyDescent="0.25">
      <c r="A893" s="65"/>
      <c r="B893" s="60"/>
      <c r="C893" s="60"/>
      <c r="D893" s="60"/>
      <c r="E893" s="61"/>
      <c r="F893" s="61"/>
      <c r="G893" s="59"/>
      <c r="H893" s="62"/>
      <c r="I893" s="60"/>
      <c r="J893" s="62"/>
      <c r="K893" s="63"/>
      <c r="L893" s="60"/>
    </row>
    <row r="894" spans="1:12" x14ac:dyDescent="0.25">
      <c r="A894" s="65"/>
      <c r="B894" s="60"/>
      <c r="C894" s="60"/>
      <c r="D894" s="60"/>
      <c r="E894" s="61"/>
      <c r="F894" s="61"/>
      <c r="G894" s="59"/>
      <c r="H894" s="62"/>
      <c r="I894" s="60"/>
      <c r="J894" s="62"/>
      <c r="K894" s="63"/>
      <c r="L894" s="60"/>
    </row>
    <row r="895" spans="1:12" x14ac:dyDescent="0.25">
      <c r="A895" s="65"/>
      <c r="B895" s="60"/>
      <c r="C895" s="60"/>
      <c r="D895" s="60"/>
      <c r="E895" s="61"/>
      <c r="F895" s="61"/>
      <c r="G895" s="59"/>
      <c r="H895" s="62"/>
      <c r="I895" s="60"/>
      <c r="J895" s="62"/>
      <c r="K895" s="63"/>
      <c r="L895" s="60"/>
    </row>
    <row r="896" spans="1:12" x14ac:dyDescent="0.25">
      <c r="A896" s="65"/>
      <c r="B896" s="60"/>
      <c r="C896" s="60"/>
      <c r="D896" s="60"/>
      <c r="E896" s="61"/>
      <c r="F896" s="61"/>
      <c r="G896" s="59"/>
      <c r="H896" s="62"/>
      <c r="I896" s="60"/>
      <c r="J896" s="62"/>
      <c r="K896" s="63"/>
      <c r="L896" s="60"/>
    </row>
    <row r="897" spans="1:12" x14ac:dyDescent="0.25">
      <c r="A897" s="65"/>
      <c r="B897" s="60"/>
      <c r="C897" s="60"/>
      <c r="D897" s="60"/>
      <c r="E897" s="61"/>
      <c r="F897" s="61"/>
      <c r="G897" s="59"/>
      <c r="H897" s="62"/>
      <c r="I897" s="60"/>
      <c r="J897" s="62"/>
      <c r="K897" s="63"/>
      <c r="L897" s="60"/>
    </row>
    <row r="898" spans="1:12" x14ac:dyDescent="0.25">
      <c r="A898" s="65"/>
      <c r="B898" s="60"/>
      <c r="C898" s="60"/>
      <c r="D898" s="60"/>
      <c r="E898" s="61"/>
      <c r="F898" s="61"/>
      <c r="G898" s="59"/>
      <c r="H898" s="62"/>
      <c r="I898" s="60"/>
      <c r="J898" s="62"/>
      <c r="K898" s="63"/>
      <c r="L898" s="60"/>
    </row>
    <row r="899" spans="1:12" x14ac:dyDescent="0.25">
      <c r="A899" s="65"/>
      <c r="B899" s="60"/>
      <c r="C899" s="60"/>
      <c r="D899" s="60"/>
      <c r="E899" s="61"/>
      <c r="F899" s="61"/>
      <c r="G899" s="59"/>
      <c r="H899" s="62"/>
      <c r="I899" s="60"/>
      <c r="J899" s="62"/>
      <c r="K899" s="63"/>
      <c r="L899" s="60"/>
    </row>
    <row r="900" spans="1:12" x14ac:dyDescent="0.25">
      <c r="A900" s="65"/>
      <c r="B900" s="60"/>
      <c r="C900" s="60"/>
      <c r="D900" s="60"/>
      <c r="E900" s="61"/>
      <c r="F900" s="61"/>
      <c r="G900" s="59"/>
      <c r="H900" s="62"/>
      <c r="I900" s="60"/>
      <c r="J900" s="62"/>
      <c r="K900" s="63"/>
      <c r="L900" s="60"/>
    </row>
    <row r="901" spans="1:12" x14ac:dyDescent="0.25">
      <c r="A901" s="65"/>
      <c r="B901" s="60"/>
      <c r="C901" s="60"/>
      <c r="D901" s="60"/>
      <c r="E901" s="61"/>
      <c r="F901" s="61"/>
      <c r="G901" s="59"/>
      <c r="H901" s="62"/>
      <c r="I901" s="60"/>
      <c r="J901" s="62"/>
      <c r="K901" s="63"/>
      <c r="L901" s="60"/>
    </row>
    <row r="902" spans="1:12" x14ac:dyDescent="0.25">
      <c r="A902" s="65"/>
      <c r="B902" s="60"/>
      <c r="C902" s="60"/>
      <c r="D902" s="60"/>
      <c r="E902" s="61"/>
      <c r="F902" s="61"/>
      <c r="G902" s="59"/>
      <c r="H902" s="62"/>
      <c r="I902" s="60"/>
      <c r="J902" s="62"/>
      <c r="K902" s="63"/>
      <c r="L902" s="60"/>
    </row>
    <row r="903" spans="1:12" x14ac:dyDescent="0.25">
      <c r="A903" s="65"/>
      <c r="B903" s="60"/>
      <c r="C903" s="60"/>
      <c r="D903" s="60"/>
      <c r="E903" s="61"/>
      <c r="F903" s="61"/>
      <c r="G903" s="59"/>
      <c r="H903" s="62"/>
      <c r="I903" s="60"/>
      <c r="J903" s="62"/>
      <c r="K903" s="63"/>
      <c r="L903" s="60"/>
    </row>
    <row r="904" spans="1:12" x14ac:dyDescent="0.25">
      <c r="A904" s="65"/>
      <c r="B904" s="60"/>
      <c r="C904" s="60"/>
      <c r="D904" s="60"/>
      <c r="E904" s="61"/>
      <c r="F904" s="61"/>
      <c r="G904" s="59"/>
      <c r="H904" s="62"/>
      <c r="I904" s="60"/>
      <c r="J904" s="62"/>
      <c r="K904" s="63"/>
      <c r="L904" s="60"/>
    </row>
    <row r="905" spans="1:12" x14ac:dyDescent="0.25">
      <c r="A905" s="65"/>
      <c r="B905" s="60"/>
      <c r="C905" s="60"/>
      <c r="D905" s="60"/>
      <c r="E905" s="61"/>
      <c r="F905" s="61"/>
      <c r="G905" s="59"/>
      <c r="H905" s="62"/>
      <c r="I905" s="60"/>
      <c r="J905" s="62"/>
      <c r="K905" s="63"/>
      <c r="L905" s="60"/>
    </row>
    <row r="906" spans="1:12" x14ac:dyDescent="0.25">
      <c r="A906" s="65"/>
      <c r="B906" s="60"/>
      <c r="C906" s="60"/>
      <c r="D906" s="60"/>
      <c r="E906" s="61"/>
      <c r="F906" s="61"/>
      <c r="G906" s="59"/>
      <c r="H906" s="62"/>
      <c r="I906" s="60"/>
      <c r="J906" s="62"/>
      <c r="K906" s="63"/>
      <c r="L906" s="60"/>
    </row>
    <row r="907" spans="1:12" x14ac:dyDescent="0.25">
      <c r="A907" s="65"/>
      <c r="B907" s="60"/>
      <c r="C907" s="60"/>
      <c r="D907" s="60"/>
      <c r="E907" s="61"/>
      <c r="F907" s="61"/>
      <c r="G907" s="59"/>
      <c r="H907" s="62"/>
      <c r="I907" s="60"/>
      <c r="J907" s="62"/>
      <c r="K907" s="63"/>
      <c r="L907" s="60"/>
    </row>
    <row r="908" spans="1:12" x14ac:dyDescent="0.25">
      <c r="A908" s="65"/>
      <c r="B908" s="60"/>
      <c r="C908" s="60"/>
      <c r="D908" s="60"/>
      <c r="E908" s="61"/>
      <c r="F908" s="61"/>
      <c r="G908" s="59"/>
      <c r="H908" s="62"/>
      <c r="I908" s="60"/>
      <c r="J908" s="62"/>
      <c r="K908" s="63"/>
      <c r="L908" s="60"/>
    </row>
    <row r="909" spans="1:12" x14ac:dyDescent="0.25">
      <c r="A909" s="65"/>
      <c r="B909" s="60"/>
      <c r="C909" s="60"/>
      <c r="D909" s="60"/>
      <c r="E909" s="61"/>
      <c r="F909" s="61"/>
      <c r="G909" s="59"/>
      <c r="H909" s="62"/>
      <c r="I909" s="60"/>
      <c r="J909" s="62"/>
      <c r="K909" s="63"/>
      <c r="L909" s="60"/>
    </row>
    <row r="910" spans="1:12" x14ac:dyDescent="0.25">
      <c r="A910" s="65"/>
      <c r="B910" s="60"/>
      <c r="C910" s="60"/>
      <c r="D910" s="60"/>
      <c r="E910" s="61"/>
      <c r="F910" s="61"/>
      <c r="G910" s="59"/>
      <c r="H910" s="62"/>
      <c r="I910" s="60"/>
      <c r="J910" s="62"/>
      <c r="K910" s="63"/>
      <c r="L910" s="60"/>
    </row>
    <row r="911" spans="1:12" x14ac:dyDescent="0.25">
      <c r="A911" s="65"/>
      <c r="B911" s="60"/>
      <c r="C911" s="60"/>
      <c r="D911" s="60"/>
      <c r="E911" s="61"/>
      <c r="F911" s="61"/>
      <c r="G911" s="59"/>
      <c r="H911" s="62"/>
      <c r="I911" s="60"/>
      <c r="J911" s="62"/>
      <c r="K911" s="63"/>
      <c r="L911" s="60"/>
    </row>
    <row r="912" spans="1:12" x14ac:dyDescent="0.25">
      <c r="A912" s="65"/>
      <c r="B912" s="60"/>
      <c r="C912" s="60"/>
      <c r="D912" s="60"/>
      <c r="E912" s="61"/>
      <c r="F912" s="61"/>
      <c r="G912" s="59"/>
      <c r="H912" s="62"/>
      <c r="I912" s="60"/>
      <c r="J912" s="62"/>
      <c r="K912" s="63"/>
      <c r="L912" s="60"/>
    </row>
    <row r="913" spans="1:12" x14ac:dyDescent="0.25">
      <c r="A913" s="65"/>
      <c r="B913" s="60"/>
      <c r="C913" s="60"/>
      <c r="D913" s="60"/>
      <c r="E913" s="61"/>
      <c r="F913" s="61"/>
      <c r="G913" s="59"/>
      <c r="H913" s="62"/>
      <c r="I913" s="60"/>
      <c r="J913" s="62"/>
      <c r="K913" s="63"/>
      <c r="L913" s="60"/>
    </row>
    <row r="914" spans="1:12" x14ac:dyDescent="0.25">
      <c r="A914" s="65"/>
      <c r="B914" s="60"/>
      <c r="C914" s="60"/>
      <c r="D914" s="60"/>
      <c r="E914" s="61"/>
      <c r="F914" s="61"/>
      <c r="G914" s="59"/>
      <c r="H914" s="62"/>
      <c r="I914" s="60"/>
      <c r="J914" s="62"/>
      <c r="K914" s="63"/>
      <c r="L914" s="60"/>
    </row>
    <row r="915" spans="1:12" x14ac:dyDescent="0.25">
      <c r="A915" s="65"/>
      <c r="B915" s="60"/>
      <c r="C915" s="60"/>
      <c r="D915" s="60"/>
      <c r="E915" s="61"/>
      <c r="F915" s="61"/>
      <c r="G915" s="59"/>
      <c r="H915" s="62"/>
      <c r="I915" s="60"/>
      <c r="J915" s="62"/>
      <c r="K915" s="63"/>
      <c r="L915" s="60"/>
    </row>
    <row r="916" spans="1:12" x14ac:dyDescent="0.25">
      <c r="A916" s="65"/>
      <c r="B916" s="60"/>
      <c r="C916" s="60"/>
      <c r="D916" s="60"/>
      <c r="E916" s="61"/>
      <c r="F916" s="61"/>
      <c r="G916" s="59"/>
      <c r="H916" s="62"/>
      <c r="I916" s="60"/>
      <c r="J916" s="62"/>
      <c r="K916" s="63"/>
      <c r="L916" s="60"/>
    </row>
    <row r="917" spans="1:12" x14ac:dyDescent="0.25">
      <c r="A917" s="65"/>
      <c r="B917" s="60"/>
      <c r="C917" s="60"/>
      <c r="D917" s="60"/>
      <c r="E917" s="61"/>
      <c r="F917" s="61"/>
      <c r="G917" s="59"/>
      <c r="H917" s="62"/>
      <c r="I917" s="60"/>
      <c r="J917" s="62"/>
      <c r="K917" s="63"/>
      <c r="L917" s="60"/>
    </row>
    <row r="918" spans="1:12" x14ac:dyDescent="0.25">
      <c r="A918" s="65"/>
      <c r="B918" s="60"/>
      <c r="C918" s="60"/>
      <c r="D918" s="60"/>
      <c r="E918" s="61"/>
      <c r="F918" s="61"/>
      <c r="G918" s="59"/>
      <c r="H918" s="62"/>
      <c r="I918" s="60"/>
      <c r="J918" s="62"/>
      <c r="K918" s="63"/>
      <c r="L918" s="60"/>
    </row>
    <row r="919" spans="1:12" x14ac:dyDescent="0.25">
      <c r="A919" s="65"/>
      <c r="B919" s="60"/>
      <c r="C919" s="60"/>
      <c r="D919" s="60"/>
      <c r="E919" s="61"/>
      <c r="F919" s="61"/>
      <c r="G919" s="59"/>
      <c r="H919" s="62"/>
      <c r="I919" s="60"/>
      <c r="J919" s="62"/>
      <c r="K919" s="63"/>
      <c r="L919" s="60"/>
    </row>
    <row r="920" spans="1:12" x14ac:dyDescent="0.25">
      <c r="A920" s="65"/>
      <c r="B920" s="60"/>
      <c r="C920" s="60"/>
      <c r="D920" s="60"/>
      <c r="E920" s="61"/>
      <c r="F920" s="61"/>
      <c r="G920" s="59"/>
      <c r="H920" s="62"/>
      <c r="I920" s="60"/>
      <c r="J920" s="62"/>
      <c r="K920" s="63"/>
      <c r="L920" s="60"/>
    </row>
    <row r="921" spans="1:12" x14ac:dyDescent="0.25">
      <c r="A921" s="65"/>
      <c r="B921" s="60"/>
      <c r="C921" s="60"/>
      <c r="D921" s="60"/>
      <c r="E921" s="61"/>
      <c r="F921" s="61"/>
      <c r="G921" s="59"/>
      <c r="H921" s="62"/>
      <c r="I921" s="60"/>
      <c r="J921" s="62"/>
      <c r="K921" s="63"/>
      <c r="L921" s="60"/>
    </row>
    <row r="922" spans="1:12" x14ac:dyDescent="0.25">
      <c r="A922" s="65"/>
      <c r="B922" s="60"/>
      <c r="C922" s="60"/>
      <c r="D922" s="60"/>
      <c r="E922" s="61"/>
      <c r="F922" s="61"/>
      <c r="G922" s="59"/>
      <c r="H922" s="62"/>
      <c r="I922" s="60"/>
      <c r="J922" s="62"/>
      <c r="K922" s="63"/>
      <c r="L922" s="60"/>
    </row>
    <row r="923" spans="1:12" x14ac:dyDescent="0.25">
      <c r="A923" s="65"/>
      <c r="B923" s="60"/>
      <c r="C923" s="60"/>
      <c r="D923" s="60"/>
      <c r="E923" s="61"/>
      <c r="F923" s="61"/>
      <c r="G923" s="59"/>
      <c r="H923" s="62"/>
      <c r="I923" s="60"/>
      <c r="J923" s="62"/>
      <c r="K923" s="63"/>
      <c r="L923" s="60"/>
    </row>
    <row r="924" spans="1:12" x14ac:dyDescent="0.25">
      <c r="A924" s="65"/>
      <c r="B924" s="60"/>
      <c r="C924" s="60"/>
      <c r="D924" s="60"/>
      <c r="E924" s="61"/>
      <c r="F924" s="61"/>
      <c r="G924" s="59"/>
      <c r="H924" s="62"/>
      <c r="I924" s="60"/>
      <c r="J924" s="62"/>
      <c r="K924" s="63"/>
      <c r="L924" s="60"/>
    </row>
    <row r="925" spans="1:12" x14ac:dyDescent="0.25">
      <c r="A925" s="65"/>
      <c r="B925" s="60"/>
      <c r="C925" s="60"/>
      <c r="D925" s="60"/>
      <c r="E925" s="61"/>
      <c r="F925" s="61"/>
      <c r="G925" s="59"/>
      <c r="H925" s="62"/>
      <c r="I925" s="60"/>
      <c r="J925" s="62"/>
      <c r="K925" s="63"/>
      <c r="L925" s="60"/>
    </row>
    <row r="926" spans="1:12" x14ac:dyDescent="0.25">
      <c r="A926" s="65"/>
      <c r="B926" s="60"/>
      <c r="C926" s="60"/>
      <c r="D926" s="60"/>
      <c r="E926" s="61"/>
      <c r="F926" s="61"/>
      <c r="G926" s="59"/>
      <c r="H926" s="62"/>
      <c r="I926" s="60"/>
      <c r="J926" s="62"/>
      <c r="K926" s="63"/>
      <c r="L926" s="60"/>
    </row>
    <row r="927" spans="1:12" x14ac:dyDescent="0.25">
      <c r="A927" s="65"/>
      <c r="B927" s="60"/>
      <c r="C927" s="60"/>
      <c r="D927" s="60"/>
      <c r="E927" s="61"/>
      <c r="F927" s="61"/>
      <c r="G927" s="59"/>
      <c r="H927" s="62"/>
      <c r="I927" s="60"/>
      <c r="J927" s="62"/>
      <c r="K927" s="63"/>
      <c r="L927" s="60"/>
    </row>
    <row r="928" spans="1:12" x14ac:dyDescent="0.25">
      <c r="A928" s="65"/>
      <c r="B928" s="60"/>
      <c r="C928" s="60"/>
      <c r="D928" s="60"/>
      <c r="E928" s="61"/>
      <c r="F928" s="61"/>
      <c r="G928" s="59"/>
      <c r="H928" s="62"/>
      <c r="I928" s="60"/>
      <c r="J928" s="62"/>
      <c r="K928" s="63"/>
      <c r="L928" s="60"/>
    </row>
    <row r="929" spans="1:12" x14ac:dyDescent="0.25">
      <c r="A929" s="65"/>
      <c r="B929" s="60"/>
      <c r="C929" s="60"/>
      <c r="D929" s="60"/>
      <c r="E929" s="61"/>
      <c r="F929" s="61"/>
      <c r="G929" s="59"/>
      <c r="H929" s="62"/>
      <c r="I929" s="60"/>
      <c r="J929" s="62"/>
      <c r="K929" s="63"/>
      <c r="L929" s="60"/>
    </row>
    <row r="930" spans="1:12" x14ac:dyDescent="0.25">
      <c r="A930" s="65"/>
      <c r="B930" s="60"/>
      <c r="C930" s="60"/>
      <c r="D930" s="60"/>
      <c r="E930" s="61"/>
      <c r="F930" s="61"/>
      <c r="G930" s="59"/>
      <c r="H930" s="62"/>
      <c r="I930" s="60"/>
      <c r="J930" s="62"/>
      <c r="K930" s="63"/>
      <c r="L930" s="60"/>
    </row>
    <row r="931" spans="1:12" x14ac:dyDescent="0.25">
      <c r="A931" s="65"/>
      <c r="B931" s="60"/>
      <c r="C931" s="60"/>
      <c r="D931" s="60"/>
      <c r="E931" s="61"/>
      <c r="F931" s="61"/>
      <c r="G931" s="59"/>
      <c r="H931" s="62"/>
      <c r="I931" s="60"/>
      <c r="J931" s="62"/>
      <c r="K931" s="63"/>
      <c r="L931" s="60"/>
    </row>
    <row r="932" spans="1:12" x14ac:dyDescent="0.25">
      <c r="A932" s="65"/>
      <c r="B932" s="60"/>
      <c r="C932" s="60"/>
      <c r="D932" s="60"/>
      <c r="E932" s="61"/>
      <c r="F932" s="61"/>
      <c r="G932" s="59"/>
      <c r="H932" s="62"/>
      <c r="I932" s="60"/>
      <c r="J932" s="62"/>
      <c r="K932" s="63"/>
      <c r="L932" s="60"/>
    </row>
    <row r="933" spans="1:12" x14ac:dyDescent="0.25">
      <c r="A933" s="65"/>
      <c r="B933" s="60"/>
      <c r="C933" s="60"/>
      <c r="D933" s="60"/>
      <c r="E933" s="61"/>
      <c r="F933" s="61"/>
      <c r="G933" s="59"/>
      <c r="H933" s="62"/>
      <c r="I933" s="60"/>
      <c r="J933" s="62"/>
      <c r="K933" s="63"/>
      <c r="L933" s="60"/>
    </row>
    <row r="934" spans="1:12" x14ac:dyDescent="0.25">
      <c r="A934" s="65"/>
      <c r="B934" s="60"/>
      <c r="C934" s="60"/>
      <c r="D934" s="60"/>
      <c r="E934" s="61"/>
      <c r="F934" s="61"/>
      <c r="G934" s="59"/>
      <c r="H934" s="62"/>
      <c r="I934" s="60"/>
      <c r="J934" s="62"/>
      <c r="K934" s="63"/>
      <c r="L934" s="60"/>
    </row>
    <row r="935" spans="1:12" x14ac:dyDescent="0.25">
      <c r="A935" s="65"/>
      <c r="B935" s="60"/>
      <c r="C935" s="60"/>
      <c r="D935" s="60"/>
      <c r="E935" s="61"/>
      <c r="F935" s="61"/>
      <c r="G935" s="59"/>
      <c r="H935" s="62"/>
      <c r="I935" s="60"/>
      <c r="J935" s="62"/>
      <c r="K935" s="63"/>
      <c r="L935" s="60"/>
    </row>
    <row r="936" spans="1:12" x14ac:dyDescent="0.25">
      <c r="A936" s="65"/>
      <c r="B936" s="60"/>
      <c r="C936" s="60"/>
      <c r="D936" s="60"/>
      <c r="E936" s="61"/>
      <c r="F936" s="61"/>
      <c r="G936" s="59"/>
      <c r="H936" s="62"/>
      <c r="I936" s="60"/>
      <c r="J936" s="62"/>
      <c r="K936" s="63"/>
      <c r="L936" s="60"/>
    </row>
    <row r="937" spans="1:12" x14ac:dyDescent="0.25">
      <c r="A937" s="65"/>
      <c r="B937" s="60"/>
      <c r="C937" s="60"/>
      <c r="D937" s="60"/>
      <c r="E937" s="61"/>
      <c r="F937" s="61"/>
      <c r="G937" s="59"/>
      <c r="H937" s="62"/>
      <c r="I937" s="60"/>
      <c r="J937" s="62"/>
      <c r="K937" s="63"/>
      <c r="L937" s="60"/>
    </row>
    <row r="938" spans="1:12" x14ac:dyDescent="0.25">
      <c r="A938" s="65"/>
      <c r="B938" s="60"/>
      <c r="C938" s="60"/>
      <c r="D938" s="60"/>
      <c r="E938" s="61"/>
      <c r="F938" s="61"/>
      <c r="G938" s="59"/>
      <c r="H938" s="62"/>
      <c r="I938" s="60"/>
      <c r="J938" s="62"/>
      <c r="K938" s="63"/>
      <c r="L938" s="60"/>
    </row>
    <row r="939" spans="1:12" x14ac:dyDescent="0.25">
      <c r="A939" s="65"/>
      <c r="B939" s="60"/>
      <c r="C939" s="60"/>
      <c r="D939" s="60"/>
      <c r="E939" s="61"/>
      <c r="F939" s="61"/>
      <c r="G939" s="59"/>
      <c r="H939" s="62"/>
      <c r="I939" s="60"/>
      <c r="J939" s="62"/>
      <c r="K939" s="63"/>
      <c r="L939" s="60"/>
    </row>
    <row r="940" spans="1:12" x14ac:dyDescent="0.25">
      <c r="A940" s="65"/>
      <c r="B940" s="60"/>
      <c r="C940" s="60"/>
      <c r="D940" s="60"/>
      <c r="E940" s="61"/>
      <c r="F940" s="61"/>
      <c r="G940" s="59"/>
      <c r="H940" s="62"/>
      <c r="I940" s="60"/>
      <c r="J940" s="62"/>
      <c r="K940" s="63"/>
      <c r="L940" s="60"/>
    </row>
    <row r="941" spans="1:12" x14ac:dyDescent="0.25">
      <c r="A941" s="65"/>
      <c r="B941" s="60"/>
      <c r="C941" s="60"/>
      <c r="D941" s="60"/>
      <c r="E941" s="61"/>
      <c r="F941" s="61"/>
      <c r="G941" s="59"/>
      <c r="H941" s="62"/>
      <c r="I941" s="60"/>
      <c r="J941" s="62"/>
      <c r="K941" s="63"/>
      <c r="L941" s="60"/>
    </row>
    <row r="942" spans="1:12" x14ac:dyDescent="0.25">
      <c r="A942" s="65"/>
      <c r="B942" s="60"/>
      <c r="C942" s="60"/>
      <c r="D942" s="60"/>
      <c r="E942" s="61"/>
      <c r="F942" s="61"/>
      <c r="G942" s="59"/>
      <c r="H942" s="62"/>
      <c r="I942" s="60"/>
      <c r="J942" s="62"/>
      <c r="K942" s="63"/>
      <c r="L942" s="60"/>
    </row>
    <row r="943" spans="1:12" x14ac:dyDescent="0.25">
      <c r="A943" s="65"/>
      <c r="B943" s="60"/>
      <c r="C943" s="60"/>
      <c r="D943" s="60"/>
      <c r="E943" s="61"/>
      <c r="F943" s="61"/>
      <c r="G943" s="59"/>
      <c r="H943" s="62"/>
      <c r="I943" s="60"/>
      <c r="J943" s="62"/>
      <c r="K943" s="63"/>
      <c r="L943" s="60"/>
    </row>
    <row r="944" spans="1:12" x14ac:dyDescent="0.25">
      <c r="A944" s="65"/>
      <c r="B944" s="60"/>
      <c r="C944" s="60"/>
      <c r="D944" s="60"/>
      <c r="E944" s="61"/>
      <c r="F944" s="61"/>
      <c r="G944" s="59"/>
      <c r="H944" s="62"/>
      <c r="I944" s="60"/>
      <c r="J944" s="62"/>
      <c r="K944" s="63"/>
      <c r="L944" s="60"/>
    </row>
    <row r="945" spans="1:12" x14ac:dyDescent="0.25">
      <c r="A945" s="65"/>
      <c r="B945" s="60"/>
      <c r="C945" s="60"/>
      <c r="D945" s="60"/>
      <c r="E945" s="61"/>
      <c r="F945" s="61"/>
      <c r="G945" s="59"/>
      <c r="H945" s="62"/>
      <c r="I945" s="60"/>
      <c r="J945" s="62"/>
      <c r="K945" s="63"/>
      <c r="L945" s="60"/>
    </row>
    <row r="946" spans="1:12" x14ac:dyDescent="0.25">
      <c r="A946" s="65"/>
      <c r="B946" s="60"/>
      <c r="C946" s="60"/>
      <c r="D946" s="60"/>
      <c r="E946" s="61"/>
      <c r="F946" s="61"/>
      <c r="G946" s="59"/>
      <c r="H946" s="62"/>
      <c r="I946" s="60"/>
      <c r="J946" s="62"/>
      <c r="K946" s="63"/>
      <c r="L946" s="60"/>
    </row>
    <row r="947" spans="1:12" x14ac:dyDescent="0.25">
      <c r="A947" s="65"/>
      <c r="B947" s="60"/>
      <c r="C947" s="60"/>
      <c r="D947" s="60"/>
      <c r="E947" s="61"/>
      <c r="F947" s="61"/>
      <c r="G947" s="59"/>
      <c r="H947" s="62"/>
      <c r="I947" s="60"/>
      <c r="J947" s="62"/>
      <c r="K947" s="63"/>
      <c r="L947" s="60"/>
    </row>
    <row r="948" spans="1:12" x14ac:dyDescent="0.25">
      <c r="A948" s="65"/>
      <c r="B948" s="60"/>
      <c r="C948" s="60"/>
      <c r="D948" s="60"/>
      <c r="E948" s="61"/>
      <c r="F948" s="61"/>
      <c r="G948" s="59"/>
      <c r="H948" s="62"/>
      <c r="I948" s="60"/>
      <c r="J948" s="62"/>
      <c r="K948" s="63"/>
      <c r="L948" s="60"/>
    </row>
    <row r="949" spans="1:12" x14ac:dyDescent="0.25">
      <c r="A949" s="65"/>
      <c r="B949" s="60"/>
      <c r="C949" s="60"/>
      <c r="D949" s="60"/>
      <c r="E949" s="61"/>
      <c r="F949" s="61"/>
      <c r="G949" s="59"/>
      <c r="H949" s="62"/>
      <c r="I949" s="60"/>
      <c r="J949" s="62"/>
      <c r="K949" s="63"/>
      <c r="L949" s="60"/>
    </row>
    <row r="950" spans="1:12" x14ac:dyDescent="0.25">
      <c r="A950" s="65"/>
      <c r="B950" s="60"/>
      <c r="C950" s="60"/>
      <c r="D950" s="60"/>
      <c r="E950" s="61"/>
      <c r="F950" s="61"/>
      <c r="G950" s="59"/>
      <c r="H950" s="62"/>
      <c r="I950" s="60"/>
      <c r="J950" s="62"/>
      <c r="K950" s="63"/>
      <c r="L950" s="60"/>
    </row>
    <row r="951" spans="1:12" x14ac:dyDescent="0.25">
      <c r="A951" s="65"/>
      <c r="B951" s="60"/>
      <c r="C951" s="60"/>
      <c r="D951" s="60"/>
      <c r="E951" s="61"/>
      <c r="F951" s="61"/>
      <c r="G951" s="59"/>
      <c r="H951" s="62"/>
      <c r="I951" s="60"/>
      <c r="J951" s="62"/>
      <c r="K951" s="63"/>
      <c r="L951" s="60"/>
    </row>
    <row r="952" spans="1:12" x14ac:dyDescent="0.25">
      <c r="A952" s="65"/>
      <c r="B952" s="60"/>
      <c r="C952" s="60"/>
      <c r="D952" s="60"/>
      <c r="E952" s="61"/>
      <c r="F952" s="61"/>
      <c r="G952" s="59"/>
      <c r="H952" s="62"/>
      <c r="I952" s="60"/>
      <c r="J952" s="62"/>
      <c r="K952" s="63"/>
      <c r="L952" s="60"/>
    </row>
    <row r="953" spans="1:12" x14ac:dyDescent="0.25">
      <c r="A953" s="65"/>
      <c r="B953" s="60"/>
      <c r="C953" s="60"/>
      <c r="D953" s="60"/>
      <c r="E953" s="61"/>
      <c r="F953" s="61"/>
      <c r="G953" s="59"/>
      <c r="H953" s="62"/>
      <c r="I953" s="60"/>
      <c r="J953" s="62"/>
      <c r="K953" s="63"/>
      <c r="L953" s="60"/>
    </row>
    <row r="954" spans="1:12" x14ac:dyDescent="0.25">
      <c r="A954" s="65"/>
      <c r="B954" s="60"/>
      <c r="C954" s="60"/>
      <c r="D954" s="60"/>
      <c r="E954" s="61"/>
      <c r="F954" s="61"/>
      <c r="G954" s="59"/>
      <c r="H954" s="62"/>
      <c r="I954" s="60"/>
      <c r="J954" s="62"/>
      <c r="K954" s="63"/>
      <c r="L954" s="60"/>
    </row>
    <row r="955" spans="1:12" x14ac:dyDescent="0.25">
      <c r="A955" s="65"/>
      <c r="B955" s="60"/>
      <c r="C955" s="60"/>
      <c r="D955" s="60"/>
      <c r="E955" s="61"/>
      <c r="F955" s="61"/>
      <c r="G955" s="59"/>
      <c r="H955" s="62"/>
      <c r="I955" s="60"/>
      <c r="J955" s="62"/>
      <c r="K955" s="63"/>
      <c r="L955" s="60"/>
    </row>
    <row r="956" spans="1:12" x14ac:dyDescent="0.25">
      <c r="A956" s="65"/>
      <c r="B956" s="60"/>
      <c r="C956" s="60"/>
      <c r="D956" s="60"/>
      <c r="E956" s="61"/>
      <c r="F956" s="61"/>
      <c r="G956" s="59"/>
      <c r="H956" s="62"/>
      <c r="I956" s="60"/>
      <c r="J956" s="62"/>
      <c r="K956" s="63"/>
      <c r="L956" s="60"/>
    </row>
    <row r="957" spans="1:12" x14ac:dyDescent="0.25">
      <c r="A957" s="65"/>
      <c r="B957" s="60"/>
      <c r="C957" s="60"/>
      <c r="D957" s="60"/>
      <c r="E957" s="61"/>
      <c r="F957" s="61"/>
      <c r="G957" s="59"/>
      <c r="H957" s="62"/>
      <c r="I957" s="60"/>
      <c r="J957" s="62"/>
      <c r="K957" s="63"/>
      <c r="L957" s="60"/>
    </row>
    <row r="958" spans="1:12" x14ac:dyDescent="0.25">
      <c r="A958" s="65"/>
      <c r="B958" s="60"/>
      <c r="C958" s="60"/>
      <c r="D958" s="60"/>
      <c r="E958" s="61"/>
      <c r="F958" s="61"/>
      <c r="G958" s="59"/>
      <c r="H958" s="62"/>
      <c r="I958" s="60"/>
      <c r="J958" s="62"/>
      <c r="K958" s="63"/>
      <c r="L958" s="60"/>
    </row>
    <row r="959" spans="1:12" x14ac:dyDescent="0.25">
      <c r="A959" s="65"/>
      <c r="B959" s="60"/>
      <c r="C959" s="60"/>
      <c r="D959" s="60"/>
      <c r="E959" s="61"/>
      <c r="F959" s="61"/>
      <c r="G959" s="59"/>
      <c r="H959" s="62"/>
      <c r="I959" s="60"/>
      <c r="J959" s="62"/>
      <c r="K959" s="63"/>
      <c r="L959" s="60"/>
    </row>
    <row r="960" spans="1:12" x14ac:dyDescent="0.25">
      <c r="A960" s="65"/>
      <c r="B960" s="60"/>
      <c r="C960" s="60"/>
      <c r="D960" s="60"/>
      <c r="E960" s="61"/>
      <c r="F960" s="61"/>
      <c r="G960" s="59"/>
      <c r="H960" s="62"/>
      <c r="I960" s="60"/>
      <c r="J960" s="62"/>
      <c r="K960" s="63"/>
      <c r="L960" s="60"/>
    </row>
    <row r="961" spans="1:12" x14ac:dyDescent="0.25">
      <c r="A961" s="65"/>
      <c r="B961" s="60"/>
      <c r="C961" s="60"/>
      <c r="D961" s="60"/>
      <c r="E961" s="61"/>
      <c r="F961" s="61"/>
      <c r="G961" s="59"/>
      <c r="H961" s="62"/>
      <c r="I961" s="60"/>
      <c r="J961" s="62"/>
      <c r="K961" s="63"/>
      <c r="L961" s="60"/>
    </row>
    <row r="962" spans="1:12" x14ac:dyDescent="0.25">
      <c r="A962" s="65"/>
      <c r="B962" s="60"/>
      <c r="C962" s="60"/>
      <c r="D962" s="60"/>
      <c r="E962" s="61"/>
      <c r="F962" s="61"/>
      <c r="G962" s="59"/>
      <c r="H962" s="62"/>
      <c r="I962" s="60"/>
      <c r="J962" s="62"/>
      <c r="K962" s="63"/>
      <c r="L962" s="60"/>
    </row>
    <row r="963" spans="1:12" x14ac:dyDescent="0.25">
      <c r="A963" s="65"/>
      <c r="B963" s="60"/>
      <c r="C963" s="60"/>
      <c r="D963" s="60"/>
      <c r="E963" s="61"/>
      <c r="F963" s="61"/>
      <c r="G963" s="59"/>
      <c r="H963" s="62"/>
      <c r="I963" s="60"/>
      <c r="J963" s="62"/>
      <c r="K963" s="63"/>
      <c r="L963" s="60"/>
    </row>
    <row r="964" spans="1:12" x14ac:dyDescent="0.25">
      <c r="A964" s="65"/>
      <c r="B964" s="60"/>
      <c r="C964" s="60"/>
      <c r="D964" s="60"/>
      <c r="E964" s="61"/>
      <c r="F964" s="61"/>
      <c r="G964" s="59"/>
      <c r="H964" s="62"/>
      <c r="I964" s="60"/>
      <c r="J964" s="62"/>
      <c r="K964" s="63"/>
      <c r="L964" s="60"/>
    </row>
    <row r="965" spans="1:12" x14ac:dyDescent="0.25">
      <c r="A965" s="65"/>
      <c r="B965" s="60"/>
      <c r="C965" s="60"/>
      <c r="D965" s="60"/>
      <c r="E965" s="61"/>
      <c r="F965" s="61"/>
      <c r="G965" s="59"/>
      <c r="H965" s="62"/>
      <c r="I965" s="60"/>
      <c r="J965" s="62"/>
      <c r="K965" s="63"/>
      <c r="L965" s="60"/>
    </row>
    <row r="966" spans="1:12" x14ac:dyDescent="0.25">
      <c r="A966" s="65"/>
      <c r="B966" s="60"/>
      <c r="C966" s="60"/>
      <c r="D966" s="60"/>
      <c r="E966" s="61"/>
      <c r="F966" s="61"/>
      <c r="G966" s="59"/>
      <c r="H966" s="62"/>
      <c r="I966" s="60"/>
      <c r="J966" s="62"/>
      <c r="K966" s="63"/>
      <c r="L966" s="60"/>
    </row>
    <row r="967" spans="1:12" x14ac:dyDescent="0.25">
      <c r="A967" s="65"/>
      <c r="B967" s="60"/>
      <c r="C967" s="60"/>
      <c r="D967" s="60"/>
      <c r="E967" s="61"/>
      <c r="F967" s="61"/>
      <c r="G967" s="59"/>
      <c r="H967" s="62"/>
      <c r="I967" s="60"/>
      <c r="J967" s="62"/>
      <c r="K967" s="63"/>
      <c r="L967" s="60"/>
    </row>
    <row r="968" spans="1:12" x14ac:dyDescent="0.25">
      <c r="A968" s="65"/>
      <c r="B968" s="60"/>
      <c r="C968" s="60"/>
      <c r="D968" s="60"/>
      <c r="E968" s="61"/>
      <c r="F968" s="61"/>
      <c r="G968" s="59"/>
      <c r="H968" s="62"/>
      <c r="I968" s="60"/>
      <c r="J968" s="62"/>
      <c r="K968" s="63"/>
      <c r="L968" s="60"/>
    </row>
    <row r="969" spans="1:12" x14ac:dyDescent="0.25">
      <c r="A969" s="65"/>
      <c r="B969" s="60"/>
      <c r="C969" s="60"/>
      <c r="D969" s="60"/>
      <c r="E969" s="61"/>
      <c r="F969" s="61"/>
      <c r="G969" s="59"/>
      <c r="H969" s="62"/>
      <c r="I969" s="60"/>
      <c r="J969" s="62"/>
      <c r="K969" s="63"/>
      <c r="L969" s="60"/>
    </row>
    <row r="970" spans="1:12" x14ac:dyDescent="0.25">
      <c r="A970" s="65"/>
      <c r="B970" s="60"/>
      <c r="C970" s="60"/>
      <c r="D970" s="60"/>
      <c r="E970" s="61"/>
      <c r="F970" s="61"/>
      <c r="G970" s="59"/>
      <c r="H970" s="62"/>
      <c r="I970" s="60"/>
      <c r="J970" s="62"/>
      <c r="K970" s="63"/>
      <c r="L970" s="60"/>
    </row>
    <row r="971" spans="1:12" x14ac:dyDescent="0.25">
      <c r="A971" s="65"/>
      <c r="B971" s="60"/>
      <c r="C971" s="60"/>
      <c r="D971" s="60"/>
      <c r="E971" s="61"/>
      <c r="F971" s="61"/>
      <c r="G971" s="59"/>
      <c r="H971" s="62"/>
      <c r="I971" s="60"/>
      <c r="J971" s="62"/>
      <c r="K971" s="63"/>
      <c r="L971" s="60"/>
    </row>
    <row r="972" spans="1:12" x14ac:dyDescent="0.25">
      <c r="A972" s="65"/>
      <c r="B972" s="60"/>
      <c r="C972" s="60"/>
      <c r="D972" s="60"/>
      <c r="E972" s="61"/>
      <c r="F972" s="61"/>
      <c r="G972" s="59"/>
      <c r="H972" s="62"/>
      <c r="I972" s="60"/>
      <c r="J972" s="62"/>
      <c r="K972" s="63"/>
      <c r="L972" s="60"/>
    </row>
    <row r="973" spans="1:12" x14ac:dyDescent="0.25">
      <c r="A973" s="65"/>
      <c r="B973" s="60"/>
      <c r="C973" s="60"/>
      <c r="D973" s="60"/>
      <c r="E973" s="61"/>
      <c r="F973" s="61"/>
      <c r="G973" s="59"/>
      <c r="H973" s="62"/>
      <c r="I973" s="60"/>
      <c r="J973" s="62"/>
      <c r="K973" s="63"/>
      <c r="L973" s="60"/>
    </row>
    <row r="974" spans="1:12" x14ac:dyDescent="0.25">
      <c r="A974" s="65"/>
      <c r="B974" s="60"/>
      <c r="C974" s="60"/>
      <c r="D974" s="60"/>
      <c r="E974" s="61"/>
      <c r="F974" s="61"/>
      <c r="G974" s="59"/>
      <c r="H974" s="62"/>
      <c r="I974" s="60"/>
      <c r="J974" s="62"/>
      <c r="K974" s="63"/>
      <c r="L974" s="60"/>
    </row>
    <row r="975" spans="1:12" x14ac:dyDescent="0.25">
      <c r="A975" s="65"/>
      <c r="B975" s="60"/>
      <c r="C975" s="60"/>
      <c r="D975" s="60"/>
      <c r="E975" s="61"/>
      <c r="F975" s="61"/>
      <c r="G975" s="59"/>
      <c r="H975" s="62"/>
      <c r="I975" s="60"/>
      <c r="J975" s="62"/>
      <c r="K975" s="63"/>
      <c r="L975" s="60"/>
    </row>
    <row r="976" spans="1:12" x14ac:dyDescent="0.25">
      <c r="A976" s="65"/>
      <c r="B976" s="60"/>
      <c r="C976" s="60"/>
      <c r="D976" s="60"/>
      <c r="E976" s="61"/>
      <c r="F976" s="61"/>
      <c r="G976" s="59"/>
      <c r="H976" s="62"/>
      <c r="I976" s="60"/>
      <c r="J976" s="62"/>
      <c r="K976" s="63"/>
      <c r="L976" s="60"/>
    </row>
    <row r="977" spans="1:12" x14ac:dyDescent="0.25">
      <c r="A977" s="65"/>
      <c r="B977" s="60"/>
      <c r="C977" s="60"/>
      <c r="D977" s="60"/>
      <c r="E977" s="61"/>
      <c r="F977" s="61"/>
      <c r="G977" s="59"/>
      <c r="H977" s="62"/>
      <c r="I977" s="60"/>
      <c r="J977" s="62"/>
      <c r="K977" s="63"/>
      <c r="L977" s="60"/>
    </row>
    <row r="978" spans="1:12" x14ac:dyDescent="0.25">
      <c r="A978" s="65"/>
      <c r="B978" s="60"/>
      <c r="C978" s="60"/>
      <c r="D978" s="60"/>
      <c r="E978" s="61"/>
      <c r="F978" s="61"/>
      <c r="G978" s="59"/>
      <c r="H978" s="62"/>
      <c r="I978" s="60"/>
      <c r="J978" s="62"/>
      <c r="K978" s="63"/>
      <c r="L978" s="60"/>
    </row>
    <row r="979" spans="1:12" x14ac:dyDescent="0.25">
      <c r="A979" s="65"/>
      <c r="B979" s="60"/>
      <c r="C979" s="60"/>
      <c r="D979" s="60"/>
      <c r="E979" s="61"/>
      <c r="F979" s="61"/>
      <c r="G979" s="59"/>
      <c r="H979" s="62"/>
      <c r="I979" s="60"/>
      <c r="J979" s="62"/>
      <c r="K979" s="63"/>
      <c r="L979" s="60"/>
    </row>
    <row r="980" spans="1:12" x14ac:dyDescent="0.25">
      <c r="A980" s="65"/>
      <c r="B980" s="60"/>
      <c r="C980" s="60"/>
      <c r="D980" s="60"/>
      <c r="E980" s="61"/>
      <c r="F980" s="61"/>
      <c r="G980" s="59"/>
      <c r="H980" s="62"/>
      <c r="I980" s="60"/>
      <c r="J980" s="62"/>
      <c r="K980" s="63"/>
      <c r="L980" s="60"/>
    </row>
    <row r="981" spans="1:12" x14ac:dyDescent="0.25">
      <c r="A981" s="65"/>
      <c r="B981" s="60"/>
      <c r="C981" s="60"/>
      <c r="D981" s="60"/>
      <c r="E981" s="61"/>
      <c r="F981" s="61"/>
      <c r="G981" s="59"/>
      <c r="H981" s="62"/>
      <c r="I981" s="60"/>
      <c r="J981" s="62"/>
      <c r="K981" s="63"/>
      <c r="L981" s="60"/>
    </row>
    <row r="982" spans="1:12" x14ac:dyDescent="0.25">
      <c r="A982" s="65"/>
      <c r="B982" s="60"/>
      <c r="C982" s="60"/>
      <c r="D982" s="60"/>
      <c r="E982" s="61"/>
      <c r="F982" s="61"/>
      <c r="G982" s="59"/>
      <c r="H982" s="62"/>
      <c r="I982" s="60"/>
      <c r="J982" s="62"/>
      <c r="K982" s="63"/>
      <c r="L982" s="60"/>
    </row>
    <row r="983" spans="1:12" x14ac:dyDescent="0.25">
      <c r="A983" s="65"/>
      <c r="B983" s="60"/>
      <c r="C983" s="60"/>
      <c r="D983" s="60"/>
      <c r="E983" s="61"/>
      <c r="F983" s="61"/>
      <c r="G983" s="59"/>
      <c r="H983" s="62"/>
      <c r="I983" s="60"/>
      <c r="J983" s="62"/>
      <c r="K983" s="63"/>
      <c r="L983" s="60"/>
    </row>
    <row r="984" spans="1:12" x14ac:dyDescent="0.25">
      <c r="A984" s="65"/>
      <c r="B984" s="60"/>
      <c r="C984" s="60"/>
      <c r="D984" s="60"/>
      <c r="E984" s="61"/>
      <c r="F984" s="61"/>
      <c r="G984" s="59"/>
      <c r="H984" s="62"/>
      <c r="I984" s="60"/>
      <c r="J984" s="62"/>
      <c r="K984" s="63"/>
      <c r="L984" s="60"/>
    </row>
    <row r="985" spans="1:12" x14ac:dyDescent="0.25">
      <c r="A985" s="65"/>
      <c r="B985" s="60"/>
      <c r="C985" s="60"/>
      <c r="D985" s="60"/>
      <c r="E985" s="61"/>
      <c r="F985" s="61"/>
      <c r="G985" s="59"/>
      <c r="H985" s="62"/>
      <c r="I985" s="60"/>
      <c r="J985" s="62"/>
      <c r="K985" s="63"/>
      <c r="L985" s="60"/>
    </row>
    <row r="986" spans="1:12" x14ac:dyDescent="0.25">
      <c r="A986" s="65"/>
      <c r="B986" s="60"/>
      <c r="C986" s="60"/>
      <c r="D986" s="60"/>
      <c r="E986" s="61"/>
      <c r="F986" s="61"/>
      <c r="G986" s="59"/>
      <c r="H986" s="62"/>
      <c r="I986" s="60"/>
      <c r="J986" s="62"/>
      <c r="K986" s="63"/>
      <c r="L986" s="60"/>
    </row>
    <row r="987" spans="1:12" x14ac:dyDescent="0.25">
      <c r="A987" s="65"/>
      <c r="B987" s="60"/>
      <c r="C987" s="60"/>
      <c r="D987" s="60"/>
      <c r="E987" s="61"/>
      <c r="F987" s="61"/>
      <c r="G987" s="59"/>
      <c r="H987" s="62"/>
      <c r="I987" s="60"/>
      <c r="J987" s="62"/>
      <c r="K987" s="63"/>
      <c r="L987" s="60"/>
    </row>
    <row r="988" spans="1:12" x14ac:dyDescent="0.25">
      <c r="A988" s="65"/>
      <c r="B988" s="60"/>
      <c r="C988" s="60"/>
      <c r="D988" s="60"/>
      <c r="E988" s="61"/>
      <c r="F988" s="61"/>
      <c r="G988" s="59"/>
      <c r="H988" s="62"/>
      <c r="I988" s="60"/>
      <c r="J988" s="62"/>
      <c r="K988" s="63"/>
      <c r="L988" s="60"/>
    </row>
    <row r="989" spans="1:12" x14ac:dyDescent="0.25">
      <c r="A989" s="65"/>
      <c r="B989" s="60"/>
      <c r="C989" s="60"/>
      <c r="D989" s="60"/>
      <c r="E989" s="61"/>
      <c r="F989" s="61"/>
      <c r="G989" s="59"/>
      <c r="H989" s="62"/>
      <c r="I989" s="60"/>
      <c r="J989" s="62"/>
      <c r="K989" s="63"/>
      <c r="L989" s="60"/>
    </row>
    <row r="990" spans="1:12" x14ac:dyDescent="0.25">
      <c r="A990" s="65"/>
      <c r="B990" s="60"/>
      <c r="C990" s="60"/>
      <c r="D990" s="60"/>
      <c r="E990" s="61"/>
      <c r="F990" s="61"/>
      <c r="G990" s="59"/>
      <c r="H990" s="62"/>
      <c r="I990" s="60"/>
      <c r="J990" s="62"/>
      <c r="K990" s="63"/>
      <c r="L990" s="60"/>
    </row>
    <row r="991" spans="1:12" x14ac:dyDescent="0.25">
      <c r="A991" s="65"/>
      <c r="B991" s="60"/>
      <c r="C991" s="60"/>
      <c r="D991" s="60"/>
      <c r="E991" s="61"/>
      <c r="F991" s="61"/>
      <c r="G991" s="59"/>
      <c r="H991" s="62"/>
      <c r="I991" s="60"/>
      <c r="J991" s="62"/>
      <c r="K991" s="63"/>
      <c r="L991" s="60"/>
    </row>
    <row r="992" spans="1:12" x14ac:dyDescent="0.25">
      <c r="A992" s="65"/>
      <c r="B992" s="60"/>
      <c r="C992" s="60"/>
      <c r="D992" s="60"/>
      <c r="E992" s="61"/>
      <c r="F992" s="61"/>
      <c r="G992" s="59"/>
      <c r="H992" s="62"/>
      <c r="I992" s="60"/>
      <c r="J992" s="62"/>
      <c r="K992" s="63"/>
      <c r="L992" s="60"/>
    </row>
    <row r="993" spans="1:12" x14ac:dyDescent="0.25">
      <c r="A993" s="65"/>
      <c r="B993" s="60"/>
      <c r="C993" s="60"/>
      <c r="D993" s="60"/>
      <c r="E993" s="61"/>
      <c r="F993" s="61"/>
      <c r="G993" s="59"/>
      <c r="H993" s="62"/>
      <c r="I993" s="60"/>
      <c r="J993" s="62"/>
      <c r="K993" s="63"/>
      <c r="L993" s="60"/>
    </row>
    <row r="994" spans="1:12" x14ac:dyDescent="0.25">
      <c r="A994" s="65"/>
      <c r="B994" s="60"/>
      <c r="C994" s="60"/>
      <c r="D994" s="60"/>
      <c r="E994" s="61"/>
      <c r="F994" s="61"/>
      <c r="G994" s="59"/>
      <c r="H994" s="62"/>
      <c r="I994" s="60"/>
      <c r="J994" s="62"/>
      <c r="K994" s="63"/>
      <c r="L994" s="60"/>
    </row>
    <row r="995" spans="1:12" x14ac:dyDescent="0.25">
      <c r="A995" s="65"/>
      <c r="B995" s="60"/>
      <c r="C995" s="60"/>
      <c r="D995" s="60"/>
      <c r="E995" s="61"/>
      <c r="F995" s="61"/>
      <c r="G995" s="59"/>
      <c r="H995" s="62"/>
      <c r="I995" s="60"/>
      <c r="J995" s="62"/>
      <c r="K995" s="63"/>
      <c r="L995" s="60"/>
    </row>
    <row r="996" spans="1:12" x14ac:dyDescent="0.25">
      <c r="A996" s="65"/>
      <c r="B996" s="60"/>
      <c r="C996" s="60"/>
      <c r="D996" s="60"/>
      <c r="E996" s="61"/>
      <c r="F996" s="61"/>
      <c r="G996" s="59"/>
      <c r="H996" s="62"/>
      <c r="I996" s="60"/>
      <c r="J996" s="62"/>
      <c r="K996" s="63"/>
      <c r="L996" s="60"/>
    </row>
    <row r="997" spans="1:12" x14ac:dyDescent="0.25">
      <c r="A997" s="65"/>
      <c r="B997" s="60"/>
      <c r="C997" s="60"/>
      <c r="D997" s="60"/>
      <c r="E997" s="61"/>
      <c r="F997" s="61"/>
      <c r="G997" s="59"/>
      <c r="H997" s="62"/>
      <c r="I997" s="60"/>
      <c r="J997" s="62"/>
      <c r="K997" s="63"/>
      <c r="L997" s="60"/>
    </row>
    <row r="998" spans="1:12" x14ac:dyDescent="0.25">
      <c r="A998" s="65"/>
      <c r="B998" s="60"/>
      <c r="C998" s="60"/>
      <c r="D998" s="60"/>
      <c r="E998" s="61"/>
      <c r="F998" s="61"/>
      <c r="G998" s="59"/>
      <c r="H998" s="62"/>
      <c r="I998" s="60"/>
      <c r="J998" s="62"/>
      <c r="K998" s="63"/>
      <c r="L998" s="60"/>
    </row>
    <row r="999" spans="1:12" x14ac:dyDescent="0.25">
      <c r="A999" s="65"/>
      <c r="B999" s="60"/>
      <c r="C999" s="60"/>
      <c r="D999" s="60"/>
      <c r="E999" s="61"/>
      <c r="F999" s="61"/>
      <c r="G999" s="59"/>
      <c r="H999" s="62"/>
      <c r="I999" s="60"/>
      <c r="J999" s="62"/>
      <c r="K999" s="63"/>
      <c r="L999" s="60"/>
    </row>
    <row r="1000" spans="1:12" x14ac:dyDescent="0.25">
      <c r="A1000" s="65"/>
      <c r="B1000" s="60"/>
      <c r="C1000" s="60"/>
      <c r="D1000" s="60"/>
      <c r="E1000" s="61"/>
      <c r="F1000" s="61"/>
      <c r="G1000" s="59"/>
      <c r="H1000" s="62"/>
      <c r="I1000" s="60"/>
      <c r="J1000" s="62"/>
      <c r="K1000" s="63"/>
      <c r="L1000" s="60"/>
    </row>
    <row r="1001" spans="1:12" x14ac:dyDescent="0.25">
      <c r="A1001" s="65"/>
      <c r="B1001" s="60"/>
      <c r="C1001" s="60"/>
      <c r="D1001" s="60"/>
      <c r="E1001" s="61"/>
      <c r="F1001" s="61"/>
      <c r="G1001" s="59"/>
      <c r="H1001" s="62"/>
      <c r="I1001" s="60"/>
      <c r="J1001" s="62"/>
      <c r="K1001" s="63"/>
      <c r="L1001" s="60"/>
    </row>
    <row r="1002" spans="1:12" x14ac:dyDescent="0.25">
      <c r="A1002" s="65"/>
      <c r="B1002" s="60"/>
      <c r="C1002" s="60"/>
      <c r="D1002" s="60"/>
      <c r="E1002" s="61"/>
      <c r="F1002" s="61"/>
      <c r="G1002" s="59"/>
      <c r="H1002" s="62"/>
      <c r="I1002" s="60"/>
      <c r="J1002" s="62"/>
      <c r="K1002" s="63"/>
      <c r="L1002" s="60"/>
    </row>
    <row r="1003" spans="1:12" x14ac:dyDescent="0.25">
      <c r="A1003" s="65"/>
      <c r="B1003" s="60"/>
      <c r="C1003" s="60"/>
      <c r="D1003" s="60"/>
      <c r="E1003" s="61"/>
      <c r="F1003" s="61"/>
      <c r="G1003" s="59"/>
      <c r="H1003" s="62"/>
      <c r="I1003" s="60"/>
      <c r="J1003" s="62"/>
      <c r="K1003" s="63"/>
      <c r="L1003" s="60"/>
    </row>
    <row r="1004" spans="1:12" x14ac:dyDescent="0.25">
      <c r="A1004" s="65"/>
      <c r="B1004" s="60"/>
      <c r="C1004" s="60"/>
      <c r="D1004" s="60"/>
      <c r="E1004" s="61"/>
      <c r="F1004" s="61"/>
      <c r="G1004" s="59"/>
      <c r="H1004" s="62"/>
      <c r="I1004" s="60"/>
      <c r="J1004" s="62"/>
      <c r="K1004" s="63"/>
      <c r="L1004" s="60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'ITEM MASTER'!$A$5:$A$382</xm:f>
          </x14:formula1>
          <xm:sqref>D5:D1004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</sheetPr>
  <dimension ref="A1:J482"/>
  <sheetViews>
    <sheetView showGridLines="0" workbookViewId="0">
      <pane ySplit="4" topLeftCell="A5" activePane="bottomLeft" state="frozen"/>
      <selection pane="bottomLeft" activeCell="B11" sqref="B11"/>
    </sheetView>
  </sheetViews>
  <sheetFormatPr defaultRowHeight="15" x14ac:dyDescent="0.25"/>
  <cols>
    <col min="1" max="1" width="17" style="31" bestFit="1" customWidth="1"/>
    <col min="2" max="2" width="30.7109375" style="31" customWidth="1"/>
    <col min="3" max="3" width="25.140625" style="31" bestFit="1" customWidth="1"/>
    <col min="4" max="4" width="18.140625" style="31" bestFit="1" customWidth="1"/>
    <col min="5" max="5" width="17.28515625" style="31" bestFit="1" customWidth="1"/>
    <col min="6" max="6" width="13.5703125" bestFit="1" customWidth="1"/>
    <col min="7" max="7" width="13.7109375" bestFit="1" customWidth="1"/>
    <col min="8" max="8" width="16.85546875" bestFit="1" customWidth="1"/>
    <col min="9" max="9" width="17.42578125" bestFit="1" customWidth="1"/>
    <col min="10" max="10" width="25.7109375" customWidth="1"/>
  </cols>
  <sheetData>
    <row r="1" spans="1:10" ht="23.25" x14ac:dyDescent="0.35">
      <c r="A1" s="111" t="s">
        <v>945</v>
      </c>
      <c r="B1" s="109"/>
      <c r="C1" s="109"/>
      <c r="D1" s="109"/>
      <c r="E1" s="109"/>
      <c r="F1" s="110"/>
      <c r="G1" s="110"/>
      <c r="H1" s="110"/>
    </row>
    <row r="2" spans="1:10" x14ac:dyDescent="0.25">
      <c r="A2" s="108" t="s">
        <v>946</v>
      </c>
      <c r="B2" s="109"/>
      <c r="C2" s="109"/>
      <c r="D2" s="109"/>
      <c r="E2" s="109"/>
      <c r="F2" s="110"/>
      <c r="G2" s="110"/>
      <c r="H2" s="110"/>
    </row>
    <row r="4" spans="1:10" x14ac:dyDescent="0.25">
      <c r="A4" s="75" t="s">
        <v>995</v>
      </c>
      <c r="B4" s="75" t="s">
        <v>999</v>
      </c>
      <c r="C4" s="75" t="s">
        <v>1000</v>
      </c>
      <c r="D4" s="75" t="s">
        <v>1001</v>
      </c>
      <c r="E4" s="75" t="s">
        <v>1002</v>
      </c>
      <c r="F4" s="68" t="s">
        <v>1003</v>
      </c>
      <c r="G4" s="68" t="s">
        <v>1004</v>
      </c>
      <c r="H4" s="68" t="s">
        <v>1005</v>
      </c>
      <c r="I4" s="68" t="s">
        <v>1006</v>
      </c>
      <c r="J4" s="68" t="s">
        <v>1007</v>
      </c>
    </row>
    <row r="5" spans="1:10" x14ac:dyDescent="0.25">
      <c r="A5" s="26">
        <v>1010010</v>
      </c>
      <c r="B5" s="26" t="s">
        <v>106</v>
      </c>
      <c r="C5" s="26" t="s">
        <v>35</v>
      </c>
      <c r="D5" s="66">
        <v>0</v>
      </c>
      <c r="E5" s="70">
        <v>0</v>
      </c>
      <c r="F5" s="71">
        <v>0</v>
      </c>
      <c r="G5" s="69">
        <v>0</v>
      </c>
      <c r="H5" s="71">
        <v>0</v>
      </c>
      <c r="I5" s="71">
        <f t="shared" ref="I5:I68" si="0">IF(ISNUMBER(H5),F5-H5,"")</f>
        <v>0</v>
      </c>
    </row>
    <row r="6" spans="1:10" x14ac:dyDescent="0.25">
      <c r="A6" s="26">
        <v>1010015</v>
      </c>
      <c r="B6" s="26" t="s">
        <v>109</v>
      </c>
      <c r="C6" s="26" t="s">
        <v>35</v>
      </c>
      <c r="D6" s="66">
        <v>0</v>
      </c>
      <c r="E6" s="70">
        <v>0</v>
      </c>
      <c r="F6" s="71">
        <v>0</v>
      </c>
      <c r="G6" s="69">
        <v>0</v>
      </c>
      <c r="H6" s="71">
        <v>0</v>
      </c>
      <c r="I6" s="71">
        <f t="shared" si="0"/>
        <v>0</v>
      </c>
    </row>
    <row r="7" spans="1:10" x14ac:dyDescent="0.25">
      <c r="A7" s="26">
        <v>1010030</v>
      </c>
      <c r="B7" s="26" t="s">
        <v>111</v>
      </c>
      <c r="C7" s="26" t="s">
        <v>35</v>
      </c>
      <c r="D7" s="66">
        <v>0</v>
      </c>
      <c r="E7" s="70">
        <v>0</v>
      </c>
      <c r="F7" s="71">
        <v>0</v>
      </c>
      <c r="G7" s="69">
        <v>0</v>
      </c>
      <c r="H7" s="71">
        <v>0</v>
      </c>
      <c r="I7" s="71">
        <f t="shared" si="0"/>
        <v>0</v>
      </c>
    </row>
    <row r="8" spans="1:10" x14ac:dyDescent="0.25">
      <c r="A8" s="26">
        <v>1010070</v>
      </c>
      <c r="B8" s="26" t="s">
        <v>113</v>
      </c>
      <c r="C8" s="26" t="s">
        <v>35</v>
      </c>
      <c r="D8" s="66">
        <v>0</v>
      </c>
      <c r="E8" s="70">
        <v>0</v>
      </c>
      <c r="F8" s="71">
        <v>0</v>
      </c>
      <c r="G8" s="69">
        <v>0</v>
      </c>
      <c r="H8" s="71">
        <v>0</v>
      </c>
      <c r="I8" s="71">
        <f t="shared" si="0"/>
        <v>0</v>
      </c>
    </row>
    <row r="9" spans="1:10" x14ac:dyDescent="0.25">
      <c r="A9" s="26">
        <v>1010105</v>
      </c>
      <c r="B9" s="26" t="s">
        <v>115</v>
      </c>
      <c r="C9" s="26" t="s">
        <v>35</v>
      </c>
      <c r="D9" s="66">
        <v>0</v>
      </c>
      <c r="E9" s="70">
        <v>0</v>
      </c>
      <c r="F9" s="71">
        <v>0</v>
      </c>
      <c r="G9" s="69">
        <v>0</v>
      </c>
      <c r="H9" s="71">
        <v>0</v>
      </c>
      <c r="I9" s="71">
        <f t="shared" si="0"/>
        <v>0</v>
      </c>
    </row>
    <row r="10" spans="1:10" x14ac:dyDescent="0.25">
      <c r="A10" s="26">
        <v>1010120</v>
      </c>
      <c r="B10" s="26" t="s">
        <v>117</v>
      </c>
      <c r="C10" s="26" t="s">
        <v>35</v>
      </c>
      <c r="D10" s="66">
        <v>0</v>
      </c>
      <c r="E10" s="70">
        <v>0</v>
      </c>
      <c r="F10" s="71">
        <v>0</v>
      </c>
      <c r="G10" s="69">
        <v>0</v>
      </c>
      <c r="H10" s="71">
        <v>0</v>
      </c>
      <c r="I10" s="71">
        <f t="shared" si="0"/>
        <v>0</v>
      </c>
    </row>
    <row r="11" spans="1:10" x14ac:dyDescent="0.25">
      <c r="A11" s="26">
        <v>1010130</v>
      </c>
      <c r="B11" s="26" t="s">
        <v>119</v>
      </c>
      <c r="C11" s="26" t="s">
        <v>35</v>
      </c>
      <c r="D11" s="66">
        <v>0</v>
      </c>
      <c r="E11" s="70">
        <v>0</v>
      </c>
      <c r="F11" s="71">
        <v>0</v>
      </c>
      <c r="G11" s="69">
        <v>0</v>
      </c>
      <c r="H11" s="71">
        <v>0</v>
      </c>
      <c r="I11" s="71">
        <f t="shared" si="0"/>
        <v>0</v>
      </c>
    </row>
    <row r="12" spans="1:10" x14ac:dyDescent="0.25">
      <c r="A12" s="26">
        <v>1010140</v>
      </c>
      <c r="B12" s="26" t="s">
        <v>121</v>
      </c>
      <c r="C12" s="26" t="s">
        <v>35</v>
      </c>
      <c r="D12" s="66">
        <v>0</v>
      </c>
      <c r="E12" s="70">
        <v>0</v>
      </c>
      <c r="F12" s="71">
        <v>0</v>
      </c>
      <c r="G12" s="69">
        <v>0</v>
      </c>
      <c r="H12" s="71">
        <v>0</v>
      </c>
      <c r="I12" s="71">
        <f t="shared" si="0"/>
        <v>0</v>
      </c>
    </row>
    <row r="13" spans="1:10" x14ac:dyDescent="0.25">
      <c r="A13" s="26">
        <v>1010170</v>
      </c>
      <c r="B13" s="26" t="s">
        <v>34</v>
      </c>
      <c r="C13" s="26" t="s">
        <v>35</v>
      </c>
      <c r="D13" s="66">
        <v>0</v>
      </c>
      <c r="E13" s="70">
        <v>0</v>
      </c>
      <c r="F13" s="71">
        <v>0</v>
      </c>
      <c r="G13" s="69">
        <v>0</v>
      </c>
      <c r="H13" s="71">
        <v>0</v>
      </c>
      <c r="I13" s="71">
        <f t="shared" si="0"/>
        <v>0</v>
      </c>
    </row>
    <row r="14" spans="1:10" x14ac:dyDescent="0.25">
      <c r="A14" s="26">
        <v>1030010</v>
      </c>
      <c r="B14" s="26" t="s">
        <v>123</v>
      </c>
      <c r="C14" s="26" t="s">
        <v>35</v>
      </c>
      <c r="D14" s="66">
        <v>0</v>
      </c>
      <c r="E14" s="70">
        <v>0</v>
      </c>
      <c r="F14" s="71">
        <v>0</v>
      </c>
      <c r="G14" s="69">
        <v>0</v>
      </c>
      <c r="H14" s="71">
        <v>0</v>
      </c>
      <c r="I14" s="71">
        <f t="shared" si="0"/>
        <v>0</v>
      </c>
    </row>
    <row r="15" spans="1:10" x14ac:dyDescent="0.25">
      <c r="A15" s="26">
        <v>1030040</v>
      </c>
      <c r="B15" s="26" t="s">
        <v>37</v>
      </c>
      <c r="C15" s="26" t="s">
        <v>35</v>
      </c>
      <c r="D15" s="66">
        <v>0</v>
      </c>
      <c r="E15" s="70">
        <v>0</v>
      </c>
      <c r="F15" s="71">
        <v>0</v>
      </c>
      <c r="G15" s="69">
        <v>0</v>
      </c>
      <c r="H15" s="71">
        <v>0</v>
      </c>
      <c r="I15" s="71">
        <f t="shared" si="0"/>
        <v>0</v>
      </c>
    </row>
    <row r="16" spans="1:10" x14ac:dyDescent="0.25">
      <c r="A16" s="26">
        <v>1030050</v>
      </c>
      <c r="B16" s="26" t="s">
        <v>126</v>
      </c>
      <c r="C16" s="26" t="s">
        <v>35</v>
      </c>
      <c r="D16" s="66">
        <v>0</v>
      </c>
      <c r="E16" s="70">
        <v>0</v>
      </c>
      <c r="F16" s="71">
        <v>0</v>
      </c>
      <c r="G16" s="69">
        <v>0</v>
      </c>
      <c r="H16" s="71">
        <v>0</v>
      </c>
      <c r="I16" s="71">
        <f t="shared" si="0"/>
        <v>0</v>
      </c>
    </row>
    <row r="17" spans="1:9" x14ac:dyDescent="0.25">
      <c r="A17" s="26">
        <v>1050020</v>
      </c>
      <c r="B17" s="26" t="s">
        <v>128</v>
      </c>
      <c r="C17" s="26" t="s">
        <v>35</v>
      </c>
      <c r="D17" s="66">
        <v>0</v>
      </c>
      <c r="E17" s="70">
        <v>0</v>
      </c>
      <c r="F17" s="71">
        <v>0</v>
      </c>
      <c r="G17" s="69">
        <v>0</v>
      </c>
      <c r="H17" s="71">
        <v>0</v>
      </c>
      <c r="I17" s="71">
        <f t="shared" si="0"/>
        <v>0</v>
      </c>
    </row>
    <row r="18" spans="1:9" x14ac:dyDescent="0.25">
      <c r="A18" s="26">
        <v>1050030</v>
      </c>
      <c r="B18" s="26" t="s">
        <v>131</v>
      </c>
      <c r="C18" s="26" t="s">
        <v>35</v>
      </c>
      <c r="D18" s="66">
        <v>0</v>
      </c>
      <c r="E18" s="70">
        <v>0</v>
      </c>
      <c r="F18" s="71">
        <v>0</v>
      </c>
      <c r="G18" s="69">
        <v>0</v>
      </c>
      <c r="H18" s="71">
        <v>0</v>
      </c>
      <c r="I18" s="71">
        <f t="shared" si="0"/>
        <v>0</v>
      </c>
    </row>
    <row r="19" spans="1:9" x14ac:dyDescent="0.25">
      <c r="A19" s="26">
        <v>1050050</v>
      </c>
      <c r="B19" s="26" t="s">
        <v>133</v>
      </c>
      <c r="C19" s="26" t="s">
        <v>35</v>
      </c>
      <c r="D19" s="66">
        <v>0</v>
      </c>
      <c r="E19" s="70">
        <v>0</v>
      </c>
      <c r="F19" s="71">
        <v>0</v>
      </c>
      <c r="G19" s="69">
        <v>0</v>
      </c>
      <c r="H19" s="71">
        <v>0</v>
      </c>
      <c r="I19" s="71">
        <f t="shared" si="0"/>
        <v>0</v>
      </c>
    </row>
    <row r="20" spans="1:9" x14ac:dyDescent="0.25">
      <c r="A20" s="26">
        <v>1050100</v>
      </c>
      <c r="B20" s="26" t="s">
        <v>135</v>
      </c>
      <c r="C20" s="26" t="s">
        <v>35</v>
      </c>
      <c r="D20" s="66">
        <v>0</v>
      </c>
      <c r="E20" s="70">
        <v>0</v>
      </c>
      <c r="F20" s="71">
        <v>0</v>
      </c>
      <c r="G20" s="69">
        <v>0</v>
      </c>
      <c r="H20" s="71">
        <v>0</v>
      </c>
      <c r="I20" s="71">
        <f t="shared" si="0"/>
        <v>0</v>
      </c>
    </row>
    <row r="21" spans="1:9" x14ac:dyDescent="0.25">
      <c r="A21" s="26">
        <v>1050120</v>
      </c>
      <c r="B21" s="26" t="s">
        <v>137</v>
      </c>
      <c r="C21" s="26" t="s">
        <v>35</v>
      </c>
      <c r="D21" s="66">
        <v>0</v>
      </c>
      <c r="E21" s="70">
        <v>0</v>
      </c>
      <c r="F21" s="71">
        <v>0</v>
      </c>
      <c r="G21" s="69">
        <v>0</v>
      </c>
      <c r="H21" s="71">
        <v>0</v>
      </c>
      <c r="I21" s="71">
        <f t="shared" si="0"/>
        <v>0</v>
      </c>
    </row>
    <row r="22" spans="1:9" x14ac:dyDescent="0.25">
      <c r="A22" s="26">
        <v>1050140</v>
      </c>
      <c r="B22" s="26" t="s">
        <v>139</v>
      </c>
      <c r="C22" s="26" t="s">
        <v>35</v>
      </c>
      <c r="D22" s="66">
        <v>0</v>
      </c>
      <c r="E22" s="70">
        <v>0</v>
      </c>
      <c r="F22" s="71">
        <v>0</v>
      </c>
      <c r="G22" s="69">
        <v>0</v>
      </c>
      <c r="H22" s="71">
        <v>0</v>
      </c>
      <c r="I22" s="71">
        <f t="shared" si="0"/>
        <v>0</v>
      </c>
    </row>
    <row r="23" spans="1:9" x14ac:dyDescent="0.25">
      <c r="A23" s="26">
        <v>1050170</v>
      </c>
      <c r="B23" s="26" t="s">
        <v>141</v>
      </c>
      <c r="C23" s="26" t="s">
        <v>35</v>
      </c>
      <c r="D23" s="66">
        <v>0</v>
      </c>
      <c r="E23" s="70">
        <v>0</v>
      </c>
      <c r="F23" s="71">
        <v>0</v>
      </c>
      <c r="G23" s="69">
        <v>0</v>
      </c>
      <c r="H23" s="71">
        <v>0</v>
      </c>
      <c r="I23" s="71">
        <f t="shared" si="0"/>
        <v>0</v>
      </c>
    </row>
    <row r="24" spans="1:9" x14ac:dyDescent="0.25">
      <c r="A24" s="26">
        <v>1050190</v>
      </c>
      <c r="B24" s="26" t="s">
        <v>143</v>
      </c>
      <c r="C24" s="26" t="s">
        <v>35</v>
      </c>
      <c r="D24" s="66">
        <v>0</v>
      </c>
      <c r="E24" s="70">
        <v>0</v>
      </c>
      <c r="F24" s="71">
        <v>0</v>
      </c>
      <c r="G24" s="69">
        <v>0</v>
      </c>
      <c r="H24" s="71">
        <v>0</v>
      </c>
      <c r="I24" s="71">
        <f t="shared" si="0"/>
        <v>0</v>
      </c>
    </row>
    <row r="25" spans="1:9" x14ac:dyDescent="0.25">
      <c r="A25" s="26">
        <v>1060010</v>
      </c>
      <c r="B25" s="26" t="s">
        <v>145</v>
      </c>
      <c r="C25" s="26" t="s">
        <v>35</v>
      </c>
      <c r="D25" s="66">
        <v>0</v>
      </c>
      <c r="E25" s="70">
        <v>0</v>
      </c>
      <c r="F25" s="71">
        <v>0</v>
      </c>
      <c r="G25" s="69">
        <v>0</v>
      </c>
      <c r="H25" s="71">
        <v>0</v>
      </c>
      <c r="I25" s="71">
        <f t="shared" si="0"/>
        <v>0</v>
      </c>
    </row>
    <row r="26" spans="1:9" x14ac:dyDescent="0.25">
      <c r="A26" s="26">
        <v>1060020</v>
      </c>
      <c r="B26" s="26" t="s">
        <v>148</v>
      </c>
      <c r="C26" s="26" t="s">
        <v>35</v>
      </c>
      <c r="D26" s="66">
        <v>0</v>
      </c>
      <c r="E26" s="70">
        <v>0</v>
      </c>
      <c r="F26" s="71">
        <v>0</v>
      </c>
      <c r="G26" s="69">
        <v>0</v>
      </c>
      <c r="H26" s="71">
        <v>0</v>
      </c>
      <c r="I26" s="71">
        <f t="shared" si="0"/>
        <v>0</v>
      </c>
    </row>
    <row r="27" spans="1:9" x14ac:dyDescent="0.25">
      <c r="A27" s="26">
        <v>1060030</v>
      </c>
      <c r="B27" s="26" t="s">
        <v>150</v>
      </c>
      <c r="C27" s="26" t="s">
        <v>35</v>
      </c>
      <c r="D27" s="66">
        <v>0</v>
      </c>
      <c r="E27" s="70">
        <v>0</v>
      </c>
      <c r="F27" s="71">
        <v>0</v>
      </c>
      <c r="G27" s="69">
        <v>0</v>
      </c>
      <c r="H27" s="71">
        <v>0</v>
      </c>
      <c r="I27" s="71">
        <f t="shared" si="0"/>
        <v>0</v>
      </c>
    </row>
    <row r="28" spans="1:9" x14ac:dyDescent="0.25">
      <c r="A28" s="26">
        <v>1060041</v>
      </c>
      <c r="B28" s="26" t="s">
        <v>152</v>
      </c>
      <c r="C28" s="26" t="s">
        <v>35</v>
      </c>
      <c r="D28" s="66">
        <v>0</v>
      </c>
      <c r="E28" s="70">
        <v>0</v>
      </c>
      <c r="F28" s="71">
        <v>0</v>
      </c>
      <c r="G28" s="69">
        <v>0</v>
      </c>
      <c r="H28" s="71">
        <v>0</v>
      </c>
      <c r="I28" s="71">
        <f t="shared" si="0"/>
        <v>0</v>
      </c>
    </row>
    <row r="29" spans="1:9" x14ac:dyDescent="0.25">
      <c r="A29" s="26">
        <v>1060050</v>
      </c>
      <c r="B29" s="26" t="s">
        <v>154</v>
      </c>
      <c r="C29" s="26" t="s">
        <v>35</v>
      </c>
      <c r="D29" s="66">
        <v>0</v>
      </c>
      <c r="E29" s="70">
        <v>0</v>
      </c>
      <c r="F29" s="71">
        <v>0</v>
      </c>
      <c r="G29" s="69">
        <v>0</v>
      </c>
      <c r="H29" s="71">
        <v>0</v>
      </c>
      <c r="I29" s="71">
        <f t="shared" si="0"/>
        <v>0</v>
      </c>
    </row>
    <row r="30" spans="1:9" x14ac:dyDescent="0.25">
      <c r="A30" s="26">
        <v>1060070</v>
      </c>
      <c r="B30" s="26" t="s">
        <v>156</v>
      </c>
      <c r="C30" s="26" t="s">
        <v>35</v>
      </c>
      <c r="D30" s="66">
        <v>0</v>
      </c>
      <c r="E30" s="70">
        <v>0</v>
      </c>
      <c r="F30" s="71">
        <v>0</v>
      </c>
      <c r="G30" s="69">
        <v>0</v>
      </c>
      <c r="H30" s="71">
        <v>0</v>
      </c>
      <c r="I30" s="71">
        <f t="shared" si="0"/>
        <v>0</v>
      </c>
    </row>
    <row r="31" spans="1:9" x14ac:dyDescent="0.25">
      <c r="A31" s="26">
        <v>1060080</v>
      </c>
      <c r="B31" s="26" t="s">
        <v>158</v>
      </c>
      <c r="C31" s="26" t="s">
        <v>35</v>
      </c>
      <c r="D31" s="66">
        <v>0</v>
      </c>
      <c r="E31" s="70">
        <v>0</v>
      </c>
      <c r="F31" s="71">
        <v>0</v>
      </c>
      <c r="G31" s="69">
        <v>0</v>
      </c>
      <c r="H31" s="71">
        <v>0</v>
      </c>
      <c r="I31" s="71">
        <f t="shared" si="0"/>
        <v>0</v>
      </c>
    </row>
    <row r="32" spans="1:9" x14ac:dyDescent="0.25">
      <c r="A32" s="26">
        <v>1060090</v>
      </c>
      <c r="B32" s="26" t="s">
        <v>160</v>
      </c>
      <c r="C32" s="26" t="s">
        <v>35</v>
      </c>
      <c r="D32" s="66">
        <v>0</v>
      </c>
      <c r="E32" s="70">
        <v>0</v>
      </c>
      <c r="F32" s="71">
        <v>0</v>
      </c>
      <c r="G32" s="69">
        <v>0</v>
      </c>
      <c r="H32" s="71">
        <v>0</v>
      </c>
      <c r="I32" s="71">
        <f t="shared" si="0"/>
        <v>0</v>
      </c>
    </row>
    <row r="33" spans="1:9" x14ac:dyDescent="0.25">
      <c r="A33" s="26">
        <v>1080010</v>
      </c>
      <c r="B33" s="26" t="s">
        <v>162</v>
      </c>
      <c r="C33" s="26" t="s">
        <v>35</v>
      </c>
      <c r="D33" s="66">
        <v>0</v>
      </c>
      <c r="E33" s="70">
        <v>0</v>
      </c>
      <c r="F33" s="71">
        <v>0</v>
      </c>
      <c r="G33" s="69">
        <v>0</v>
      </c>
      <c r="H33" s="71">
        <v>0</v>
      </c>
      <c r="I33" s="71">
        <f t="shared" si="0"/>
        <v>0</v>
      </c>
    </row>
    <row r="34" spans="1:9" x14ac:dyDescent="0.25">
      <c r="A34" s="26">
        <v>1510020</v>
      </c>
      <c r="B34" s="26" t="s">
        <v>165</v>
      </c>
      <c r="C34" s="26" t="s">
        <v>35</v>
      </c>
      <c r="D34" s="66">
        <v>0</v>
      </c>
      <c r="E34" s="70">
        <v>0</v>
      </c>
      <c r="F34" s="71">
        <v>0</v>
      </c>
      <c r="G34" s="69">
        <v>0</v>
      </c>
      <c r="H34" s="71">
        <v>0</v>
      </c>
      <c r="I34" s="71">
        <f t="shared" si="0"/>
        <v>0</v>
      </c>
    </row>
    <row r="35" spans="1:9" x14ac:dyDescent="0.25">
      <c r="A35" s="26">
        <v>1520040</v>
      </c>
      <c r="B35" s="26" t="s">
        <v>168</v>
      </c>
      <c r="C35" s="26" t="s">
        <v>35</v>
      </c>
      <c r="D35" s="66">
        <v>0</v>
      </c>
      <c r="E35" s="70">
        <v>0</v>
      </c>
      <c r="F35" s="71">
        <v>0</v>
      </c>
      <c r="G35" s="69">
        <v>0</v>
      </c>
      <c r="H35" s="71">
        <v>0</v>
      </c>
      <c r="I35" s="71">
        <f t="shared" si="0"/>
        <v>0</v>
      </c>
    </row>
    <row r="36" spans="1:9" x14ac:dyDescent="0.25">
      <c r="A36" s="26">
        <v>1520050</v>
      </c>
      <c r="B36" s="26" t="s">
        <v>171</v>
      </c>
      <c r="C36" s="26" t="s">
        <v>35</v>
      </c>
      <c r="D36" s="66">
        <v>0</v>
      </c>
      <c r="E36" s="70">
        <v>0</v>
      </c>
      <c r="F36" s="71">
        <v>0</v>
      </c>
      <c r="G36" s="69">
        <v>0</v>
      </c>
      <c r="H36" s="71">
        <v>0</v>
      </c>
      <c r="I36" s="71">
        <f t="shared" si="0"/>
        <v>0</v>
      </c>
    </row>
    <row r="37" spans="1:9" x14ac:dyDescent="0.25">
      <c r="A37" s="26">
        <v>1530020</v>
      </c>
      <c r="B37" s="26" t="s">
        <v>173</v>
      </c>
      <c r="C37" s="26" t="s">
        <v>35</v>
      </c>
      <c r="D37" s="66">
        <v>0</v>
      </c>
      <c r="E37" s="70">
        <v>0</v>
      </c>
      <c r="F37" s="71">
        <v>0</v>
      </c>
      <c r="G37" s="69">
        <v>0</v>
      </c>
      <c r="H37" s="71">
        <v>0</v>
      </c>
      <c r="I37" s="71">
        <f t="shared" si="0"/>
        <v>0</v>
      </c>
    </row>
    <row r="38" spans="1:9" x14ac:dyDescent="0.25">
      <c r="A38" s="26">
        <v>1530030</v>
      </c>
      <c r="B38" s="26" t="s">
        <v>176</v>
      </c>
      <c r="C38" s="26" t="s">
        <v>35</v>
      </c>
      <c r="D38" s="66">
        <v>0</v>
      </c>
      <c r="E38" s="70">
        <v>0</v>
      </c>
      <c r="F38" s="71">
        <v>0</v>
      </c>
      <c r="G38" s="69">
        <v>0</v>
      </c>
      <c r="H38" s="71">
        <v>0</v>
      </c>
      <c r="I38" s="71">
        <f t="shared" si="0"/>
        <v>0</v>
      </c>
    </row>
    <row r="39" spans="1:9" x14ac:dyDescent="0.25">
      <c r="A39" s="26">
        <v>1530040</v>
      </c>
      <c r="B39" s="26" t="s">
        <v>178</v>
      </c>
      <c r="C39" s="26" t="s">
        <v>35</v>
      </c>
      <c r="D39" s="66">
        <v>0</v>
      </c>
      <c r="E39" s="70">
        <v>0</v>
      </c>
      <c r="F39" s="71">
        <v>0</v>
      </c>
      <c r="G39" s="69">
        <v>0</v>
      </c>
      <c r="H39" s="71">
        <v>0</v>
      </c>
      <c r="I39" s="71">
        <f t="shared" si="0"/>
        <v>0</v>
      </c>
    </row>
    <row r="40" spans="1:9" x14ac:dyDescent="0.25">
      <c r="A40" s="26">
        <v>1540010</v>
      </c>
      <c r="B40" s="26" t="s">
        <v>180</v>
      </c>
      <c r="C40" s="26" t="s">
        <v>35</v>
      </c>
      <c r="D40" s="66">
        <v>0</v>
      </c>
      <c r="E40" s="70">
        <v>0</v>
      </c>
      <c r="F40" s="71">
        <v>0</v>
      </c>
      <c r="G40" s="69">
        <v>0</v>
      </c>
      <c r="H40" s="71">
        <v>0</v>
      </c>
      <c r="I40" s="71">
        <f t="shared" si="0"/>
        <v>0</v>
      </c>
    </row>
    <row r="41" spans="1:9" x14ac:dyDescent="0.25">
      <c r="A41" s="26">
        <v>15601043</v>
      </c>
      <c r="B41" s="26" t="s">
        <v>49</v>
      </c>
      <c r="C41" s="26" t="s">
        <v>184</v>
      </c>
      <c r="D41" s="66">
        <v>0</v>
      </c>
      <c r="E41" s="70">
        <v>0</v>
      </c>
      <c r="F41" s="71">
        <v>0</v>
      </c>
      <c r="G41" s="69">
        <v>0</v>
      </c>
      <c r="H41" s="71">
        <v>0</v>
      </c>
      <c r="I41" s="71">
        <f t="shared" si="0"/>
        <v>0</v>
      </c>
    </row>
    <row r="42" spans="1:9" x14ac:dyDescent="0.25">
      <c r="A42" s="26">
        <v>1560113</v>
      </c>
      <c r="B42" s="26" t="s">
        <v>186</v>
      </c>
      <c r="C42" s="26" t="s">
        <v>184</v>
      </c>
      <c r="D42" s="66">
        <v>0</v>
      </c>
      <c r="E42" s="70">
        <v>0</v>
      </c>
      <c r="F42" s="71">
        <v>0</v>
      </c>
      <c r="G42" s="69">
        <v>0</v>
      </c>
      <c r="H42" s="71">
        <v>0</v>
      </c>
      <c r="I42" s="71">
        <f t="shared" si="0"/>
        <v>0</v>
      </c>
    </row>
    <row r="43" spans="1:9" x14ac:dyDescent="0.25">
      <c r="A43" s="26">
        <v>1560146</v>
      </c>
      <c r="B43" s="26" t="s">
        <v>49</v>
      </c>
      <c r="C43" s="26" t="s">
        <v>50</v>
      </c>
      <c r="D43" s="66">
        <v>0</v>
      </c>
      <c r="E43" s="70">
        <v>0</v>
      </c>
      <c r="F43" s="71">
        <v>0</v>
      </c>
      <c r="G43" s="69">
        <v>0</v>
      </c>
      <c r="H43" s="71">
        <v>0</v>
      </c>
      <c r="I43" s="71">
        <f t="shared" si="0"/>
        <v>0</v>
      </c>
    </row>
    <row r="44" spans="1:9" x14ac:dyDescent="0.25">
      <c r="A44" s="26">
        <v>1605050</v>
      </c>
      <c r="B44" s="26" t="s">
        <v>188</v>
      </c>
      <c r="C44" s="26" t="s">
        <v>190</v>
      </c>
      <c r="D44" s="66">
        <v>0</v>
      </c>
      <c r="E44" s="70">
        <v>0</v>
      </c>
      <c r="F44" s="71">
        <v>0</v>
      </c>
      <c r="G44" s="69">
        <v>0</v>
      </c>
      <c r="H44" s="71">
        <v>0</v>
      </c>
      <c r="I44" s="71">
        <f t="shared" si="0"/>
        <v>0</v>
      </c>
    </row>
    <row r="45" spans="1:9" x14ac:dyDescent="0.25">
      <c r="A45" s="26">
        <v>1605088</v>
      </c>
      <c r="B45" s="26" t="s">
        <v>192</v>
      </c>
      <c r="C45" s="26" t="s">
        <v>194</v>
      </c>
      <c r="D45" s="66">
        <v>0</v>
      </c>
      <c r="E45" s="70">
        <v>0</v>
      </c>
      <c r="F45" s="71">
        <v>0</v>
      </c>
      <c r="G45" s="69">
        <v>0</v>
      </c>
      <c r="H45" s="71">
        <v>0</v>
      </c>
      <c r="I45" s="71">
        <f t="shared" si="0"/>
        <v>0</v>
      </c>
    </row>
    <row r="46" spans="1:9" x14ac:dyDescent="0.25">
      <c r="A46" s="26">
        <v>1615607</v>
      </c>
      <c r="B46" s="26" t="s">
        <v>52</v>
      </c>
      <c r="C46" s="26" t="s">
        <v>53</v>
      </c>
      <c r="D46" s="66">
        <v>0</v>
      </c>
      <c r="E46" s="70">
        <v>0</v>
      </c>
      <c r="F46" s="71">
        <v>0</v>
      </c>
      <c r="G46" s="69">
        <v>0</v>
      </c>
      <c r="H46" s="71">
        <v>0</v>
      </c>
      <c r="I46" s="71">
        <f t="shared" si="0"/>
        <v>0</v>
      </c>
    </row>
    <row r="47" spans="1:9" x14ac:dyDescent="0.25">
      <c r="A47" s="26">
        <v>2010010</v>
      </c>
      <c r="B47" s="26" t="s">
        <v>196</v>
      </c>
      <c r="C47" s="26" t="s">
        <v>35</v>
      </c>
      <c r="D47" s="66">
        <v>0</v>
      </c>
      <c r="E47" s="70">
        <v>0</v>
      </c>
      <c r="F47" s="71">
        <v>0</v>
      </c>
      <c r="G47" s="69">
        <v>0</v>
      </c>
      <c r="H47" s="71">
        <v>0</v>
      </c>
      <c r="I47" s="71">
        <f t="shared" si="0"/>
        <v>0</v>
      </c>
    </row>
    <row r="48" spans="1:9" x14ac:dyDescent="0.25">
      <c r="A48" s="26">
        <v>2010040</v>
      </c>
      <c r="B48" s="26" t="s">
        <v>199</v>
      </c>
      <c r="C48" s="26" t="s">
        <v>35</v>
      </c>
      <c r="D48" s="66">
        <v>0</v>
      </c>
      <c r="E48" s="70">
        <v>0</v>
      </c>
      <c r="F48" s="71">
        <v>0</v>
      </c>
      <c r="G48" s="69">
        <v>0</v>
      </c>
      <c r="H48" s="71">
        <v>0</v>
      </c>
      <c r="I48" s="71">
        <f t="shared" si="0"/>
        <v>0</v>
      </c>
    </row>
    <row r="49" spans="1:9" x14ac:dyDescent="0.25">
      <c r="A49" s="26">
        <v>2010060</v>
      </c>
      <c r="B49" s="26" t="s">
        <v>201</v>
      </c>
      <c r="C49" s="26" t="s">
        <v>35</v>
      </c>
      <c r="D49" s="66">
        <v>0</v>
      </c>
      <c r="E49" s="70">
        <v>0</v>
      </c>
      <c r="F49" s="71">
        <v>0</v>
      </c>
      <c r="G49" s="69">
        <v>0</v>
      </c>
      <c r="H49" s="71">
        <v>0</v>
      </c>
      <c r="I49" s="71">
        <f t="shared" si="0"/>
        <v>0</v>
      </c>
    </row>
    <row r="50" spans="1:9" x14ac:dyDescent="0.25">
      <c r="A50" s="26">
        <v>2030060</v>
      </c>
      <c r="B50" s="26" t="s">
        <v>203</v>
      </c>
      <c r="C50" s="26" t="s">
        <v>35</v>
      </c>
      <c r="D50" s="66">
        <v>0</v>
      </c>
      <c r="E50" s="70">
        <v>0</v>
      </c>
      <c r="F50" s="71">
        <v>0</v>
      </c>
      <c r="G50" s="69">
        <v>0</v>
      </c>
      <c r="H50" s="71">
        <v>0</v>
      </c>
      <c r="I50" s="71">
        <f t="shared" si="0"/>
        <v>0</v>
      </c>
    </row>
    <row r="51" spans="1:9" x14ac:dyDescent="0.25">
      <c r="A51" s="26">
        <v>2030090</v>
      </c>
      <c r="B51" s="26" t="s">
        <v>206</v>
      </c>
      <c r="C51" s="26" t="s">
        <v>35</v>
      </c>
      <c r="D51" s="66">
        <v>0</v>
      </c>
      <c r="E51" s="70">
        <v>0</v>
      </c>
      <c r="F51" s="71">
        <v>0</v>
      </c>
      <c r="G51" s="69">
        <v>0</v>
      </c>
      <c r="H51" s="71">
        <v>0</v>
      </c>
      <c r="I51" s="71">
        <f t="shared" si="0"/>
        <v>0</v>
      </c>
    </row>
    <row r="52" spans="1:9" x14ac:dyDescent="0.25">
      <c r="A52" s="26">
        <v>2030120</v>
      </c>
      <c r="B52" s="26" t="s">
        <v>208</v>
      </c>
      <c r="C52" s="26" t="s">
        <v>35</v>
      </c>
      <c r="D52" s="66">
        <v>0</v>
      </c>
      <c r="E52" s="70">
        <v>0</v>
      </c>
      <c r="F52" s="71">
        <v>0</v>
      </c>
      <c r="G52" s="69">
        <v>0</v>
      </c>
      <c r="H52" s="71">
        <v>0</v>
      </c>
      <c r="I52" s="71">
        <f t="shared" si="0"/>
        <v>0</v>
      </c>
    </row>
    <row r="53" spans="1:9" x14ac:dyDescent="0.25">
      <c r="A53" s="26">
        <v>2030130</v>
      </c>
      <c r="B53" s="26" t="s">
        <v>39</v>
      </c>
      <c r="C53" s="26" t="s">
        <v>35</v>
      </c>
      <c r="D53" s="66">
        <v>0</v>
      </c>
      <c r="E53" s="70">
        <v>0</v>
      </c>
      <c r="F53" s="71">
        <v>0</v>
      </c>
      <c r="G53" s="69">
        <v>0</v>
      </c>
      <c r="H53" s="71">
        <v>0</v>
      </c>
      <c r="I53" s="71">
        <f t="shared" si="0"/>
        <v>0</v>
      </c>
    </row>
    <row r="54" spans="1:9" x14ac:dyDescent="0.25">
      <c r="A54" s="26">
        <v>2030140</v>
      </c>
      <c r="B54" s="26" t="s">
        <v>211</v>
      </c>
      <c r="C54" s="26" t="s">
        <v>35</v>
      </c>
      <c r="D54" s="66">
        <v>0</v>
      </c>
      <c r="E54" s="70">
        <v>0</v>
      </c>
      <c r="F54" s="71">
        <v>0</v>
      </c>
      <c r="G54" s="69">
        <v>0</v>
      </c>
      <c r="H54" s="71">
        <v>0</v>
      </c>
      <c r="I54" s="71">
        <f t="shared" si="0"/>
        <v>0</v>
      </c>
    </row>
    <row r="55" spans="1:9" x14ac:dyDescent="0.25">
      <c r="A55" s="26">
        <v>2030170</v>
      </c>
      <c r="B55" s="26" t="s">
        <v>213</v>
      </c>
      <c r="C55" s="26" t="s">
        <v>35</v>
      </c>
      <c r="D55" s="66">
        <v>0</v>
      </c>
      <c r="E55" s="70">
        <v>0</v>
      </c>
      <c r="F55" s="71">
        <v>0</v>
      </c>
      <c r="G55" s="69">
        <v>0</v>
      </c>
      <c r="H55" s="71">
        <v>0</v>
      </c>
      <c r="I55" s="71">
        <f t="shared" si="0"/>
        <v>0</v>
      </c>
    </row>
    <row r="56" spans="1:9" x14ac:dyDescent="0.25">
      <c r="A56" s="26">
        <v>2030387</v>
      </c>
      <c r="B56" s="26" t="s">
        <v>39</v>
      </c>
      <c r="C56" s="26" t="s">
        <v>40</v>
      </c>
      <c r="D56" s="66">
        <v>0</v>
      </c>
      <c r="E56" s="70">
        <v>0</v>
      </c>
      <c r="F56" s="71">
        <v>0</v>
      </c>
      <c r="G56" s="69">
        <v>0</v>
      </c>
      <c r="H56" s="71">
        <v>0</v>
      </c>
      <c r="I56" s="71">
        <f t="shared" si="0"/>
        <v>0</v>
      </c>
    </row>
    <row r="57" spans="1:9" x14ac:dyDescent="0.25">
      <c r="A57" s="26">
        <v>2050010</v>
      </c>
      <c r="B57" s="26" t="s">
        <v>215</v>
      </c>
      <c r="C57" s="26" t="s">
        <v>35</v>
      </c>
      <c r="D57" s="66">
        <v>0</v>
      </c>
      <c r="E57" s="70">
        <v>0</v>
      </c>
      <c r="F57" s="71">
        <v>0</v>
      </c>
      <c r="G57" s="69">
        <v>0</v>
      </c>
      <c r="H57" s="71">
        <v>0</v>
      </c>
      <c r="I57" s="71">
        <f t="shared" si="0"/>
        <v>0</v>
      </c>
    </row>
    <row r="58" spans="1:9" x14ac:dyDescent="0.25">
      <c r="A58" s="26">
        <v>2050030</v>
      </c>
      <c r="B58" s="26" t="s">
        <v>218</v>
      </c>
      <c r="C58" s="26" t="s">
        <v>35</v>
      </c>
      <c r="D58" s="66">
        <v>0</v>
      </c>
      <c r="E58" s="70">
        <v>0</v>
      </c>
      <c r="F58" s="71">
        <v>0</v>
      </c>
      <c r="G58" s="69">
        <v>0</v>
      </c>
      <c r="H58" s="71">
        <v>0</v>
      </c>
      <c r="I58" s="71">
        <f t="shared" si="0"/>
        <v>0</v>
      </c>
    </row>
    <row r="59" spans="1:9" x14ac:dyDescent="0.25">
      <c r="A59" s="26">
        <v>2050080</v>
      </c>
      <c r="B59" s="26" t="s">
        <v>220</v>
      </c>
      <c r="C59" s="26" t="s">
        <v>35</v>
      </c>
      <c r="D59" s="66">
        <v>0</v>
      </c>
      <c r="E59" s="70">
        <v>0</v>
      </c>
      <c r="F59" s="71">
        <v>0</v>
      </c>
      <c r="G59" s="69">
        <v>0</v>
      </c>
      <c r="H59" s="71">
        <v>0</v>
      </c>
      <c r="I59" s="71">
        <f t="shared" si="0"/>
        <v>0</v>
      </c>
    </row>
    <row r="60" spans="1:9" x14ac:dyDescent="0.25">
      <c r="A60" s="26">
        <v>2050120</v>
      </c>
      <c r="B60" s="26" t="s">
        <v>222</v>
      </c>
      <c r="C60" s="26" t="s">
        <v>35</v>
      </c>
      <c r="D60" s="66">
        <v>0</v>
      </c>
      <c r="E60" s="70">
        <v>0</v>
      </c>
      <c r="F60" s="71">
        <v>0</v>
      </c>
      <c r="G60" s="69">
        <v>0</v>
      </c>
      <c r="H60" s="71">
        <v>0</v>
      </c>
      <c r="I60" s="71">
        <f t="shared" si="0"/>
        <v>0</v>
      </c>
    </row>
    <row r="61" spans="1:9" x14ac:dyDescent="0.25">
      <c r="A61" s="26">
        <v>2050140</v>
      </c>
      <c r="B61" s="26" t="s">
        <v>224</v>
      </c>
      <c r="C61" s="26" t="s">
        <v>35</v>
      </c>
      <c r="D61" s="66">
        <v>0</v>
      </c>
      <c r="E61" s="70">
        <v>0</v>
      </c>
      <c r="F61" s="71">
        <v>0</v>
      </c>
      <c r="G61" s="69">
        <v>0</v>
      </c>
      <c r="H61" s="71">
        <v>0</v>
      </c>
      <c r="I61" s="71">
        <f t="shared" si="0"/>
        <v>0</v>
      </c>
    </row>
    <row r="62" spans="1:9" x14ac:dyDescent="0.25">
      <c r="A62" s="26">
        <v>2050166</v>
      </c>
      <c r="B62" s="26" t="s">
        <v>226</v>
      </c>
      <c r="C62" s="26" t="s">
        <v>35</v>
      </c>
      <c r="D62" s="66">
        <v>0</v>
      </c>
      <c r="E62" s="70">
        <v>0</v>
      </c>
      <c r="F62" s="71">
        <v>0</v>
      </c>
      <c r="G62" s="69">
        <v>0</v>
      </c>
      <c r="H62" s="71">
        <v>0</v>
      </c>
      <c r="I62" s="71">
        <f t="shared" si="0"/>
        <v>0</v>
      </c>
    </row>
    <row r="63" spans="1:9" x14ac:dyDescent="0.25">
      <c r="A63" s="26">
        <v>2050220</v>
      </c>
      <c r="B63" s="26" t="s">
        <v>228</v>
      </c>
      <c r="C63" s="26" t="s">
        <v>35</v>
      </c>
      <c r="D63" s="66">
        <v>0</v>
      </c>
      <c r="E63" s="70">
        <v>0</v>
      </c>
      <c r="F63" s="71">
        <v>0</v>
      </c>
      <c r="G63" s="69">
        <v>0</v>
      </c>
      <c r="H63" s="71">
        <v>0</v>
      </c>
      <c r="I63" s="71">
        <f t="shared" si="0"/>
        <v>0</v>
      </c>
    </row>
    <row r="64" spans="1:9" x14ac:dyDescent="0.25">
      <c r="A64" s="26">
        <v>2060239</v>
      </c>
      <c r="B64" s="26" t="s">
        <v>230</v>
      </c>
      <c r="C64" s="26" t="s">
        <v>232</v>
      </c>
      <c r="D64" s="66">
        <v>0</v>
      </c>
      <c r="E64" s="70">
        <v>0</v>
      </c>
      <c r="F64" s="71">
        <v>0</v>
      </c>
      <c r="G64" s="69">
        <v>0</v>
      </c>
      <c r="H64" s="71">
        <v>0</v>
      </c>
      <c r="I64" s="71">
        <f t="shared" si="0"/>
        <v>0</v>
      </c>
    </row>
    <row r="65" spans="1:9" x14ac:dyDescent="0.25">
      <c r="A65" s="26">
        <v>2060243</v>
      </c>
      <c r="B65" s="26" t="s">
        <v>42</v>
      </c>
      <c r="C65" s="26" t="s">
        <v>43</v>
      </c>
      <c r="D65" s="66">
        <v>0</v>
      </c>
      <c r="E65" s="70">
        <v>0</v>
      </c>
      <c r="F65" s="71">
        <v>0</v>
      </c>
      <c r="G65" s="69">
        <v>0</v>
      </c>
      <c r="H65" s="71">
        <v>0</v>
      </c>
      <c r="I65" s="71">
        <f t="shared" si="0"/>
        <v>0</v>
      </c>
    </row>
    <row r="66" spans="1:9" x14ac:dyDescent="0.25">
      <c r="A66" s="26">
        <v>2060315</v>
      </c>
      <c r="B66" s="26" t="s">
        <v>42</v>
      </c>
      <c r="C66" s="26" t="s">
        <v>234</v>
      </c>
      <c r="D66" s="66">
        <v>0</v>
      </c>
      <c r="E66" s="70">
        <v>0</v>
      </c>
      <c r="F66" s="71">
        <v>0</v>
      </c>
      <c r="G66" s="69">
        <v>0</v>
      </c>
      <c r="H66" s="71">
        <v>0</v>
      </c>
      <c r="I66" s="71">
        <f t="shared" si="0"/>
        <v>0</v>
      </c>
    </row>
    <row r="67" spans="1:9" x14ac:dyDescent="0.25">
      <c r="A67" s="26">
        <v>2510030</v>
      </c>
      <c r="B67" s="26" t="s">
        <v>236</v>
      </c>
      <c r="C67" s="26" t="s">
        <v>35</v>
      </c>
      <c r="D67" s="66">
        <v>0</v>
      </c>
      <c r="E67" s="70">
        <v>0</v>
      </c>
      <c r="F67" s="71">
        <v>0</v>
      </c>
      <c r="G67" s="69">
        <v>0</v>
      </c>
      <c r="H67" s="71">
        <v>0</v>
      </c>
      <c r="I67" s="71">
        <f t="shared" si="0"/>
        <v>0</v>
      </c>
    </row>
    <row r="68" spans="1:9" x14ac:dyDescent="0.25">
      <c r="A68" s="26">
        <v>2510045</v>
      </c>
      <c r="B68" s="26" t="s">
        <v>239</v>
      </c>
      <c r="C68" s="26" t="s">
        <v>35</v>
      </c>
      <c r="D68" s="66">
        <v>0</v>
      </c>
      <c r="E68" s="70">
        <v>0</v>
      </c>
      <c r="F68" s="71">
        <v>0</v>
      </c>
      <c r="G68" s="69">
        <v>0</v>
      </c>
      <c r="H68" s="71">
        <v>0</v>
      </c>
      <c r="I68" s="71">
        <f t="shared" si="0"/>
        <v>0</v>
      </c>
    </row>
    <row r="69" spans="1:9" x14ac:dyDescent="0.25">
      <c r="A69" s="26">
        <v>2510050</v>
      </c>
      <c r="B69" s="26" t="s">
        <v>241</v>
      </c>
      <c r="C69" s="26" t="s">
        <v>35</v>
      </c>
      <c r="D69" s="66">
        <v>0</v>
      </c>
      <c r="E69" s="70">
        <v>0</v>
      </c>
      <c r="F69" s="71">
        <v>0</v>
      </c>
      <c r="G69" s="69">
        <v>0</v>
      </c>
      <c r="H69" s="71">
        <v>0</v>
      </c>
      <c r="I69" s="71">
        <f t="shared" ref="I69:I132" si="1">IF(ISNUMBER(H69),F69-H69,"")</f>
        <v>0</v>
      </c>
    </row>
    <row r="70" spans="1:9" x14ac:dyDescent="0.25">
      <c r="A70" s="26">
        <v>2510055</v>
      </c>
      <c r="B70" s="26" t="s">
        <v>243</v>
      </c>
      <c r="C70" s="26" t="s">
        <v>35</v>
      </c>
      <c r="D70" s="66">
        <v>0</v>
      </c>
      <c r="E70" s="70">
        <v>0</v>
      </c>
      <c r="F70" s="71">
        <v>0</v>
      </c>
      <c r="G70" s="69">
        <v>0</v>
      </c>
      <c r="H70" s="71">
        <v>0</v>
      </c>
      <c r="I70" s="71">
        <f t="shared" si="1"/>
        <v>0</v>
      </c>
    </row>
    <row r="71" spans="1:9" x14ac:dyDescent="0.25">
      <c r="A71" s="26">
        <v>2510060</v>
      </c>
      <c r="B71" s="26" t="s">
        <v>245</v>
      </c>
      <c r="C71" s="26" t="s">
        <v>35</v>
      </c>
      <c r="D71" s="66">
        <v>0</v>
      </c>
      <c r="E71" s="70">
        <v>0</v>
      </c>
      <c r="F71" s="71">
        <v>0</v>
      </c>
      <c r="G71" s="69">
        <v>0</v>
      </c>
      <c r="H71" s="71">
        <v>0</v>
      </c>
      <c r="I71" s="71">
        <f t="shared" si="1"/>
        <v>0</v>
      </c>
    </row>
    <row r="72" spans="1:9" x14ac:dyDescent="0.25">
      <c r="A72" s="26">
        <v>2510080</v>
      </c>
      <c r="B72" s="26" t="s">
        <v>247</v>
      </c>
      <c r="C72" s="26" t="s">
        <v>35</v>
      </c>
      <c r="D72" s="66">
        <v>0</v>
      </c>
      <c r="E72" s="70">
        <v>0</v>
      </c>
      <c r="F72" s="71">
        <v>0</v>
      </c>
      <c r="G72" s="69">
        <v>0</v>
      </c>
      <c r="H72" s="71">
        <v>0</v>
      </c>
      <c r="I72" s="71">
        <f t="shared" si="1"/>
        <v>0</v>
      </c>
    </row>
    <row r="73" spans="1:9" x14ac:dyDescent="0.25">
      <c r="A73" s="26">
        <v>2510090</v>
      </c>
      <c r="B73" s="26" t="s">
        <v>249</v>
      </c>
      <c r="C73" s="26" t="s">
        <v>35</v>
      </c>
      <c r="D73" s="66">
        <v>0</v>
      </c>
      <c r="E73" s="70">
        <v>0</v>
      </c>
      <c r="F73" s="71">
        <v>0</v>
      </c>
      <c r="G73" s="69">
        <v>0</v>
      </c>
      <c r="H73" s="71">
        <v>0</v>
      </c>
      <c r="I73" s="71">
        <f t="shared" si="1"/>
        <v>0</v>
      </c>
    </row>
    <row r="74" spans="1:9" x14ac:dyDescent="0.25">
      <c r="A74" s="26">
        <v>2510100</v>
      </c>
      <c r="B74" s="26" t="s">
        <v>251</v>
      </c>
      <c r="C74" s="26" t="s">
        <v>35</v>
      </c>
      <c r="D74" s="66">
        <v>0</v>
      </c>
      <c r="E74" s="70">
        <v>0</v>
      </c>
      <c r="F74" s="71">
        <v>0</v>
      </c>
      <c r="G74" s="69">
        <v>0</v>
      </c>
      <c r="H74" s="71">
        <v>0</v>
      </c>
      <c r="I74" s="71">
        <f t="shared" si="1"/>
        <v>0</v>
      </c>
    </row>
    <row r="75" spans="1:9" x14ac:dyDescent="0.25">
      <c r="A75" s="26">
        <v>2510110</v>
      </c>
      <c r="B75" s="26" t="s">
        <v>253</v>
      </c>
      <c r="C75" s="26" t="s">
        <v>35</v>
      </c>
      <c r="D75" s="66">
        <v>0</v>
      </c>
      <c r="E75" s="70">
        <v>0</v>
      </c>
      <c r="F75" s="71">
        <v>0</v>
      </c>
      <c r="G75" s="69">
        <v>0</v>
      </c>
      <c r="H75" s="71">
        <v>0</v>
      </c>
      <c r="I75" s="71">
        <f t="shared" si="1"/>
        <v>0</v>
      </c>
    </row>
    <row r="76" spans="1:9" x14ac:dyDescent="0.25">
      <c r="A76" s="26">
        <v>2510120</v>
      </c>
      <c r="B76" s="26" t="s">
        <v>255</v>
      </c>
      <c r="C76" s="26" t="s">
        <v>35</v>
      </c>
      <c r="D76" s="66">
        <v>0</v>
      </c>
      <c r="E76" s="70">
        <v>0</v>
      </c>
      <c r="F76" s="71">
        <v>0</v>
      </c>
      <c r="G76" s="69">
        <v>0</v>
      </c>
      <c r="H76" s="71">
        <v>0</v>
      </c>
      <c r="I76" s="71">
        <f t="shared" si="1"/>
        <v>0</v>
      </c>
    </row>
    <row r="77" spans="1:9" x14ac:dyDescent="0.25">
      <c r="A77" s="26">
        <v>2510130</v>
      </c>
      <c r="B77" s="26" t="s">
        <v>257</v>
      </c>
      <c r="C77" s="26" t="s">
        <v>35</v>
      </c>
      <c r="D77" s="66">
        <v>0</v>
      </c>
      <c r="E77" s="70">
        <v>0</v>
      </c>
      <c r="F77" s="71">
        <v>0</v>
      </c>
      <c r="G77" s="69">
        <v>0</v>
      </c>
      <c r="H77" s="71">
        <v>0</v>
      </c>
      <c r="I77" s="71">
        <f t="shared" si="1"/>
        <v>0</v>
      </c>
    </row>
    <row r="78" spans="1:9" x14ac:dyDescent="0.25">
      <c r="A78" s="26">
        <v>2510140</v>
      </c>
      <c r="B78" s="26" t="s">
        <v>259</v>
      </c>
      <c r="C78" s="26" t="s">
        <v>35</v>
      </c>
      <c r="D78" s="66">
        <v>0</v>
      </c>
      <c r="E78" s="70">
        <v>0</v>
      </c>
      <c r="F78" s="71">
        <v>0</v>
      </c>
      <c r="G78" s="69">
        <v>0</v>
      </c>
      <c r="H78" s="71">
        <v>0</v>
      </c>
      <c r="I78" s="71">
        <f t="shared" si="1"/>
        <v>0</v>
      </c>
    </row>
    <row r="79" spans="1:9" x14ac:dyDescent="0.25">
      <c r="A79" s="26">
        <v>2510150</v>
      </c>
      <c r="B79" s="26" t="s">
        <v>261</v>
      </c>
      <c r="C79" s="26" t="s">
        <v>35</v>
      </c>
      <c r="D79" s="66">
        <v>0</v>
      </c>
      <c r="E79" s="70">
        <v>0</v>
      </c>
      <c r="F79" s="71">
        <v>0</v>
      </c>
      <c r="G79" s="69">
        <v>0</v>
      </c>
      <c r="H79" s="71">
        <v>0</v>
      </c>
      <c r="I79" s="71">
        <f t="shared" si="1"/>
        <v>0</v>
      </c>
    </row>
    <row r="80" spans="1:9" x14ac:dyDescent="0.25">
      <c r="A80" s="26">
        <v>2510160</v>
      </c>
      <c r="B80" s="26" t="s">
        <v>263</v>
      </c>
      <c r="C80" s="26" t="s">
        <v>35</v>
      </c>
      <c r="D80" s="66">
        <v>0</v>
      </c>
      <c r="E80" s="70">
        <v>0</v>
      </c>
      <c r="F80" s="71">
        <v>0</v>
      </c>
      <c r="G80" s="69">
        <v>0</v>
      </c>
      <c r="H80" s="71">
        <v>0</v>
      </c>
      <c r="I80" s="71">
        <f t="shared" si="1"/>
        <v>0</v>
      </c>
    </row>
    <row r="81" spans="1:9" x14ac:dyDescent="0.25">
      <c r="A81" s="26">
        <v>2510170</v>
      </c>
      <c r="B81" s="26" t="s">
        <v>265</v>
      </c>
      <c r="C81" s="26" t="s">
        <v>35</v>
      </c>
      <c r="D81" s="66">
        <v>0</v>
      </c>
      <c r="E81" s="70">
        <v>0</v>
      </c>
      <c r="F81" s="71">
        <v>0</v>
      </c>
      <c r="G81" s="69">
        <v>0</v>
      </c>
      <c r="H81" s="71">
        <v>0</v>
      </c>
      <c r="I81" s="71">
        <f t="shared" si="1"/>
        <v>0</v>
      </c>
    </row>
    <row r="82" spans="1:9" x14ac:dyDescent="0.25">
      <c r="A82" s="26">
        <v>2510180</v>
      </c>
      <c r="B82" s="26" t="s">
        <v>267</v>
      </c>
      <c r="C82" s="26" t="s">
        <v>35</v>
      </c>
      <c r="D82" s="66">
        <v>0</v>
      </c>
      <c r="E82" s="70">
        <v>0</v>
      </c>
      <c r="F82" s="71">
        <v>0</v>
      </c>
      <c r="G82" s="69">
        <v>0</v>
      </c>
      <c r="H82" s="71">
        <v>0</v>
      </c>
      <c r="I82" s="71">
        <f t="shared" si="1"/>
        <v>0</v>
      </c>
    </row>
    <row r="83" spans="1:9" x14ac:dyDescent="0.25">
      <c r="A83" s="26">
        <v>2510230</v>
      </c>
      <c r="B83" s="26" t="s">
        <v>269</v>
      </c>
      <c r="C83" s="26" t="s">
        <v>35</v>
      </c>
      <c r="D83" s="66">
        <v>0</v>
      </c>
      <c r="E83" s="70">
        <v>0</v>
      </c>
      <c r="F83" s="71">
        <v>0</v>
      </c>
      <c r="G83" s="69">
        <v>0</v>
      </c>
      <c r="H83" s="71">
        <v>0</v>
      </c>
      <c r="I83" s="71">
        <f t="shared" si="1"/>
        <v>0</v>
      </c>
    </row>
    <row r="84" spans="1:9" x14ac:dyDescent="0.25">
      <c r="A84" s="26">
        <v>2510240</v>
      </c>
      <c r="B84" s="26" t="s">
        <v>271</v>
      </c>
      <c r="C84" s="26" t="s">
        <v>35</v>
      </c>
      <c r="D84" s="66">
        <v>0</v>
      </c>
      <c r="E84" s="70">
        <v>0</v>
      </c>
      <c r="F84" s="71">
        <v>0</v>
      </c>
      <c r="G84" s="69">
        <v>0</v>
      </c>
      <c r="H84" s="71">
        <v>0</v>
      </c>
      <c r="I84" s="71">
        <f t="shared" si="1"/>
        <v>0</v>
      </c>
    </row>
    <row r="85" spans="1:9" x14ac:dyDescent="0.25">
      <c r="A85" s="26">
        <v>2510250</v>
      </c>
      <c r="B85" s="26" t="s">
        <v>273</v>
      </c>
      <c r="C85" s="26" t="s">
        <v>35</v>
      </c>
      <c r="D85" s="66">
        <v>0</v>
      </c>
      <c r="E85" s="70">
        <v>0</v>
      </c>
      <c r="F85" s="71">
        <v>0</v>
      </c>
      <c r="G85" s="69">
        <v>0</v>
      </c>
      <c r="H85" s="71">
        <v>0</v>
      </c>
      <c r="I85" s="71">
        <f t="shared" si="1"/>
        <v>0</v>
      </c>
    </row>
    <row r="86" spans="1:9" x14ac:dyDescent="0.25">
      <c r="A86" s="26">
        <v>2510260</v>
      </c>
      <c r="B86" s="26" t="s">
        <v>275</v>
      </c>
      <c r="C86" s="26" t="s">
        <v>35</v>
      </c>
      <c r="D86" s="66">
        <v>0</v>
      </c>
      <c r="E86" s="70">
        <v>0</v>
      </c>
      <c r="F86" s="71">
        <v>0</v>
      </c>
      <c r="G86" s="69">
        <v>0</v>
      </c>
      <c r="H86" s="71">
        <v>0</v>
      </c>
      <c r="I86" s="71">
        <f t="shared" si="1"/>
        <v>0</v>
      </c>
    </row>
    <row r="87" spans="1:9" x14ac:dyDescent="0.25">
      <c r="A87" s="26">
        <v>2510271</v>
      </c>
      <c r="B87" s="26" t="s">
        <v>277</v>
      </c>
      <c r="C87" s="26" t="s">
        <v>35</v>
      </c>
      <c r="D87" s="66">
        <v>0</v>
      </c>
      <c r="E87" s="70">
        <v>0</v>
      </c>
      <c r="F87" s="71">
        <v>0</v>
      </c>
      <c r="G87" s="69">
        <v>0</v>
      </c>
      <c r="H87" s="71">
        <v>0</v>
      </c>
      <c r="I87" s="71">
        <f t="shared" si="1"/>
        <v>0</v>
      </c>
    </row>
    <row r="88" spans="1:9" x14ac:dyDescent="0.25">
      <c r="A88" s="26">
        <v>2510272</v>
      </c>
      <c r="B88" s="26" t="s">
        <v>279</v>
      </c>
      <c r="C88" s="26" t="s">
        <v>35</v>
      </c>
      <c r="D88" s="66">
        <v>0</v>
      </c>
      <c r="E88" s="70">
        <v>0</v>
      </c>
      <c r="F88" s="71">
        <v>0</v>
      </c>
      <c r="G88" s="69">
        <v>0</v>
      </c>
      <c r="H88" s="71">
        <v>0</v>
      </c>
      <c r="I88" s="71">
        <f t="shared" si="1"/>
        <v>0</v>
      </c>
    </row>
    <row r="89" spans="1:9" x14ac:dyDescent="0.25">
      <c r="A89" s="26">
        <v>2510280</v>
      </c>
      <c r="B89" s="26" t="s">
        <v>281</v>
      </c>
      <c r="C89" s="26" t="s">
        <v>35</v>
      </c>
      <c r="D89" s="66">
        <v>0</v>
      </c>
      <c r="E89" s="70">
        <v>0</v>
      </c>
      <c r="F89" s="71">
        <v>0</v>
      </c>
      <c r="G89" s="69">
        <v>0</v>
      </c>
      <c r="H89" s="71">
        <v>0</v>
      </c>
      <c r="I89" s="71">
        <f t="shared" si="1"/>
        <v>0</v>
      </c>
    </row>
    <row r="90" spans="1:9" x14ac:dyDescent="0.25">
      <c r="A90" s="26">
        <v>2510290</v>
      </c>
      <c r="B90" s="26" t="s">
        <v>283</v>
      </c>
      <c r="C90" s="26" t="s">
        <v>35</v>
      </c>
      <c r="D90" s="66">
        <v>0</v>
      </c>
      <c r="E90" s="70">
        <v>0</v>
      </c>
      <c r="F90" s="71">
        <v>0</v>
      </c>
      <c r="G90" s="69">
        <v>0</v>
      </c>
      <c r="H90" s="71">
        <v>0</v>
      </c>
      <c r="I90" s="71">
        <f t="shared" si="1"/>
        <v>0</v>
      </c>
    </row>
    <row r="91" spans="1:9" x14ac:dyDescent="0.25">
      <c r="A91" s="26">
        <v>2510300</v>
      </c>
      <c r="B91" s="26" t="s">
        <v>285</v>
      </c>
      <c r="C91" s="26" t="s">
        <v>35</v>
      </c>
      <c r="D91" s="66">
        <v>0</v>
      </c>
      <c r="E91" s="70">
        <v>0</v>
      </c>
      <c r="F91" s="71">
        <v>0</v>
      </c>
      <c r="G91" s="69">
        <v>0</v>
      </c>
      <c r="H91" s="71">
        <v>0</v>
      </c>
      <c r="I91" s="71">
        <f t="shared" si="1"/>
        <v>0</v>
      </c>
    </row>
    <row r="92" spans="1:9" x14ac:dyDescent="0.25">
      <c r="A92" s="26">
        <v>2510310</v>
      </c>
      <c r="B92" s="26" t="s">
        <v>287</v>
      </c>
      <c r="C92" s="26" t="s">
        <v>35</v>
      </c>
      <c r="D92" s="66">
        <v>0</v>
      </c>
      <c r="E92" s="70">
        <v>0</v>
      </c>
      <c r="F92" s="71">
        <v>0</v>
      </c>
      <c r="G92" s="69">
        <v>0</v>
      </c>
      <c r="H92" s="71">
        <v>0</v>
      </c>
      <c r="I92" s="71">
        <f t="shared" si="1"/>
        <v>0</v>
      </c>
    </row>
    <row r="93" spans="1:9" x14ac:dyDescent="0.25">
      <c r="A93" s="26">
        <v>2510320</v>
      </c>
      <c r="B93" s="26" t="s">
        <v>289</v>
      </c>
      <c r="C93" s="26" t="s">
        <v>35</v>
      </c>
      <c r="D93" s="66">
        <v>0</v>
      </c>
      <c r="E93" s="70">
        <v>0</v>
      </c>
      <c r="F93" s="71">
        <v>0</v>
      </c>
      <c r="G93" s="69">
        <v>0</v>
      </c>
      <c r="H93" s="71">
        <v>0</v>
      </c>
      <c r="I93" s="71">
        <f t="shared" si="1"/>
        <v>0</v>
      </c>
    </row>
    <row r="94" spans="1:9" x14ac:dyDescent="0.25">
      <c r="A94" s="26">
        <v>2510330</v>
      </c>
      <c r="B94" s="26" t="s">
        <v>291</v>
      </c>
      <c r="C94" s="26" t="s">
        <v>35</v>
      </c>
      <c r="D94" s="66">
        <v>0</v>
      </c>
      <c r="E94" s="70">
        <v>0</v>
      </c>
      <c r="F94" s="71">
        <v>0</v>
      </c>
      <c r="G94" s="69">
        <v>0</v>
      </c>
      <c r="H94" s="71">
        <v>0</v>
      </c>
      <c r="I94" s="71">
        <f t="shared" si="1"/>
        <v>0</v>
      </c>
    </row>
    <row r="95" spans="1:9" x14ac:dyDescent="0.25">
      <c r="A95" s="26">
        <v>2510340</v>
      </c>
      <c r="B95" s="26" t="s">
        <v>293</v>
      </c>
      <c r="C95" s="26" t="s">
        <v>35</v>
      </c>
      <c r="D95" s="66">
        <v>0</v>
      </c>
      <c r="E95" s="70">
        <v>0</v>
      </c>
      <c r="F95" s="71">
        <v>0</v>
      </c>
      <c r="G95" s="69">
        <v>0</v>
      </c>
      <c r="H95" s="71">
        <v>0</v>
      </c>
      <c r="I95" s="71">
        <f t="shared" si="1"/>
        <v>0</v>
      </c>
    </row>
    <row r="96" spans="1:9" x14ac:dyDescent="0.25">
      <c r="A96" s="26">
        <v>2510350</v>
      </c>
      <c r="B96" s="26" t="s">
        <v>295</v>
      </c>
      <c r="C96" s="26" t="s">
        <v>35</v>
      </c>
      <c r="D96" s="66">
        <v>0</v>
      </c>
      <c r="E96" s="70">
        <v>0</v>
      </c>
      <c r="F96" s="71">
        <v>0</v>
      </c>
      <c r="G96" s="69">
        <v>0</v>
      </c>
      <c r="H96" s="71">
        <v>0</v>
      </c>
      <c r="I96" s="71">
        <f t="shared" si="1"/>
        <v>0</v>
      </c>
    </row>
    <row r="97" spans="1:9" x14ac:dyDescent="0.25">
      <c r="A97" s="26">
        <v>2510370</v>
      </c>
      <c r="B97" s="26" t="s">
        <v>297</v>
      </c>
      <c r="C97" s="26" t="s">
        <v>35</v>
      </c>
      <c r="D97" s="66">
        <v>0</v>
      </c>
      <c r="E97" s="70">
        <v>0</v>
      </c>
      <c r="F97" s="71">
        <v>0</v>
      </c>
      <c r="G97" s="69">
        <v>0</v>
      </c>
      <c r="H97" s="71">
        <v>0</v>
      </c>
      <c r="I97" s="71">
        <f t="shared" si="1"/>
        <v>0</v>
      </c>
    </row>
    <row r="98" spans="1:9" x14ac:dyDescent="0.25">
      <c r="A98" s="26">
        <v>2510440</v>
      </c>
      <c r="B98" s="26" t="s">
        <v>299</v>
      </c>
      <c r="C98" s="26" t="s">
        <v>35</v>
      </c>
      <c r="D98" s="66">
        <v>0</v>
      </c>
      <c r="E98" s="70">
        <v>0</v>
      </c>
      <c r="F98" s="71">
        <v>0</v>
      </c>
      <c r="G98" s="69">
        <v>0</v>
      </c>
      <c r="H98" s="71">
        <v>0</v>
      </c>
      <c r="I98" s="71">
        <f t="shared" si="1"/>
        <v>0</v>
      </c>
    </row>
    <row r="99" spans="1:9" x14ac:dyDescent="0.25">
      <c r="A99" s="26">
        <v>2520040</v>
      </c>
      <c r="B99" s="26" t="s">
        <v>301</v>
      </c>
      <c r="C99" s="26" t="s">
        <v>35</v>
      </c>
      <c r="D99" s="66">
        <v>0</v>
      </c>
      <c r="E99" s="70">
        <v>0</v>
      </c>
      <c r="F99" s="71">
        <v>0</v>
      </c>
      <c r="G99" s="69">
        <v>0</v>
      </c>
      <c r="H99" s="71">
        <v>0</v>
      </c>
      <c r="I99" s="71">
        <f t="shared" si="1"/>
        <v>0</v>
      </c>
    </row>
    <row r="100" spans="1:9" x14ac:dyDescent="0.25">
      <c r="A100" s="26">
        <v>2520096</v>
      </c>
      <c r="B100" s="26" t="s">
        <v>304</v>
      </c>
      <c r="C100" s="26" t="s">
        <v>35</v>
      </c>
      <c r="D100" s="66">
        <v>0</v>
      </c>
      <c r="E100" s="70">
        <v>0</v>
      </c>
      <c r="F100" s="71">
        <v>0</v>
      </c>
      <c r="G100" s="69">
        <v>0</v>
      </c>
      <c r="H100" s="71">
        <v>0</v>
      </c>
      <c r="I100" s="71">
        <f t="shared" si="1"/>
        <v>0</v>
      </c>
    </row>
    <row r="101" spans="1:9" x14ac:dyDescent="0.25">
      <c r="A101" s="26">
        <v>2530010</v>
      </c>
      <c r="B101" s="26" t="s">
        <v>306</v>
      </c>
      <c r="C101" s="26" t="s">
        <v>35</v>
      </c>
      <c r="D101" s="66">
        <v>0</v>
      </c>
      <c r="E101" s="70">
        <v>0</v>
      </c>
      <c r="F101" s="71">
        <v>0</v>
      </c>
      <c r="G101" s="69">
        <v>0</v>
      </c>
      <c r="H101" s="71">
        <v>0</v>
      </c>
      <c r="I101" s="71">
        <f t="shared" si="1"/>
        <v>0</v>
      </c>
    </row>
    <row r="102" spans="1:9" x14ac:dyDescent="0.25">
      <c r="A102" s="26">
        <v>2530020</v>
      </c>
      <c r="B102" s="26" t="s">
        <v>241</v>
      </c>
      <c r="C102" s="26" t="s">
        <v>35</v>
      </c>
      <c r="D102" s="66">
        <v>0</v>
      </c>
      <c r="E102" s="70">
        <v>0</v>
      </c>
      <c r="F102" s="71">
        <v>0</v>
      </c>
      <c r="G102" s="69">
        <v>0</v>
      </c>
      <c r="H102" s="71">
        <v>0</v>
      </c>
      <c r="I102" s="71">
        <f t="shared" si="1"/>
        <v>0</v>
      </c>
    </row>
    <row r="103" spans="1:9" x14ac:dyDescent="0.25">
      <c r="A103" s="26">
        <v>2530040</v>
      </c>
      <c r="B103" s="26" t="s">
        <v>310</v>
      </c>
      <c r="C103" s="26" t="s">
        <v>35</v>
      </c>
      <c r="D103" s="66">
        <v>0</v>
      </c>
      <c r="E103" s="70">
        <v>0</v>
      </c>
      <c r="F103" s="71">
        <v>0</v>
      </c>
      <c r="G103" s="69">
        <v>0</v>
      </c>
      <c r="H103" s="71">
        <v>0</v>
      </c>
      <c r="I103" s="71">
        <f t="shared" si="1"/>
        <v>0</v>
      </c>
    </row>
    <row r="104" spans="1:9" x14ac:dyDescent="0.25">
      <c r="A104" s="26">
        <v>2530050</v>
      </c>
      <c r="B104" s="26" t="s">
        <v>251</v>
      </c>
      <c r="C104" s="26" t="s">
        <v>35</v>
      </c>
      <c r="D104" s="66">
        <v>0</v>
      </c>
      <c r="E104" s="70">
        <v>0</v>
      </c>
      <c r="F104" s="71">
        <v>0</v>
      </c>
      <c r="G104" s="69">
        <v>0</v>
      </c>
      <c r="H104" s="71">
        <v>0</v>
      </c>
      <c r="I104" s="71">
        <f t="shared" si="1"/>
        <v>0</v>
      </c>
    </row>
    <row r="105" spans="1:9" x14ac:dyDescent="0.25">
      <c r="A105" s="26">
        <v>25300513</v>
      </c>
      <c r="B105" s="26" t="s">
        <v>313</v>
      </c>
      <c r="C105" s="26" t="s">
        <v>314</v>
      </c>
      <c r="D105" s="66">
        <v>0</v>
      </c>
      <c r="E105" s="70">
        <v>0</v>
      </c>
      <c r="F105" s="71">
        <v>0</v>
      </c>
      <c r="G105" s="69">
        <v>0</v>
      </c>
      <c r="H105" s="71">
        <v>0</v>
      </c>
      <c r="I105" s="71">
        <f t="shared" si="1"/>
        <v>0</v>
      </c>
    </row>
    <row r="106" spans="1:9" x14ac:dyDescent="0.25">
      <c r="A106" s="26">
        <v>2530060</v>
      </c>
      <c r="B106" s="26" t="s">
        <v>316</v>
      </c>
      <c r="C106" s="26" t="s">
        <v>35</v>
      </c>
      <c r="D106" s="66">
        <v>0</v>
      </c>
      <c r="E106" s="70">
        <v>0</v>
      </c>
      <c r="F106" s="71">
        <v>0</v>
      </c>
      <c r="G106" s="69">
        <v>0</v>
      </c>
      <c r="H106" s="71">
        <v>0</v>
      </c>
      <c r="I106" s="71">
        <f t="shared" si="1"/>
        <v>0</v>
      </c>
    </row>
    <row r="107" spans="1:9" x14ac:dyDescent="0.25">
      <c r="A107" s="26">
        <v>2530070</v>
      </c>
      <c r="B107" s="26" t="s">
        <v>318</v>
      </c>
      <c r="C107" s="26" t="s">
        <v>35</v>
      </c>
      <c r="D107" s="66">
        <v>0</v>
      </c>
      <c r="E107" s="70">
        <v>0</v>
      </c>
      <c r="F107" s="71">
        <v>0</v>
      </c>
      <c r="G107" s="69">
        <v>0</v>
      </c>
      <c r="H107" s="71">
        <v>0</v>
      </c>
      <c r="I107" s="71">
        <f t="shared" si="1"/>
        <v>0</v>
      </c>
    </row>
    <row r="108" spans="1:9" x14ac:dyDescent="0.25">
      <c r="A108" s="26">
        <v>2530080</v>
      </c>
      <c r="B108" s="26" t="s">
        <v>320</v>
      </c>
      <c r="C108" s="26" t="s">
        <v>35</v>
      </c>
      <c r="D108" s="66">
        <v>0</v>
      </c>
      <c r="E108" s="70">
        <v>0</v>
      </c>
      <c r="F108" s="71">
        <v>0</v>
      </c>
      <c r="G108" s="69">
        <v>0</v>
      </c>
      <c r="H108" s="71">
        <v>0</v>
      </c>
      <c r="I108" s="71">
        <f t="shared" si="1"/>
        <v>0</v>
      </c>
    </row>
    <row r="109" spans="1:9" x14ac:dyDescent="0.25">
      <c r="A109" s="26">
        <v>2530100</v>
      </c>
      <c r="B109" s="26" t="s">
        <v>322</v>
      </c>
      <c r="C109" s="26" t="s">
        <v>35</v>
      </c>
      <c r="D109" s="66">
        <v>0</v>
      </c>
      <c r="E109" s="70">
        <v>0</v>
      </c>
      <c r="F109" s="71">
        <v>0</v>
      </c>
      <c r="G109" s="69">
        <v>0</v>
      </c>
      <c r="H109" s="71">
        <v>0</v>
      </c>
      <c r="I109" s="71">
        <f t="shared" si="1"/>
        <v>0</v>
      </c>
    </row>
    <row r="110" spans="1:9" x14ac:dyDescent="0.25">
      <c r="A110" s="26">
        <v>2530110</v>
      </c>
      <c r="B110" s="26" t="s">
        <v>313</v>
      </c>
      <c r="C110" s="26" t="s">
        <v>35</v>
      </c>
      <c r="D110" s="66">
        <v>0</v>
      </c>
      <c r="E110" s="70">
        <v>0</v>
      </c>
      <c r="F110" s="71">
        <v>0</v>
      </c>
      <c r="G110" s="69">
        <v>0</v>
      </c>
      <c r="H110" s="71">
        <v>0</v>
      </c>
      <c r="I110" s="71">
        <f t="shared" si="1"/>
        <v>0</v>
      </c>
    </row>
    <row r="111" spans="1:9" x14ac:dyDescent="0.25">
      <c r="A111" s="26">
        <v>2530120</v>
      </c>
      <c r="B111" s="26" t="s">
        <v>325</v>
      </c>
      <c r="C111" s="26" t="s">
        <v>35</v>
      </c>
      <c r="D111" s="66">
        <v>0</v>
      </c>
      <c r="E111" s="70">
        <v>0</v>
      </c>
      <c r="F111" s="71">
        <v>0</v>
      </c>
      <c r="G111" s="69">
        <v>0</v>
      </c>
      <c r="H111" s="71">
        <v>0</v>
      </c>
      <c r="I111" s="71">
        <f t="shared" si="1"/>
        <v>0</v>
      </c>
    </row>
    <row r="112" spans="1:9" x14ac:dyDescent="0.25">
      <c r="A112" s="26">
        <v>2530130</v>
      </c>
      <c r="B112" s="26" t="s">
        <v>291</v>
      </c>
      <c r="C112" s="26" t="s">
        <v>35</v>
      </c>
      <c r="D112" s="66">
        <v>0</v>
      </c>
      <c r="E112" s="70">
        <v>0</v>
      </c>
      <c r="F112" s="71">
        <v>0</v>
      </c>
      <c r="G112" s="69">
        <v>0</v>
      </c>
      <c r="H112" s="71">
        <v>0</v>
      </c>
      <c r="I112" s="71">
        <f t="shared" si="1"/>
        <v>0</v>
      </c>
    </row>
    <row r="113" spans="1:9" x14ac:dyDescent="0.25">
      <c r="A113" s="26">
        <v>2530312</v>
      </c>
      <c r="B113" s="26" t="s">
        <v>328</v>
      </c>
      <c r="C113" s="26" t="s">
        <v>35</v>
      </c>
      <c r="D113" s="66">
        <v>0</v>
      </c>
      <c r="E113" s="70">
        <v>0</v>
      </c>
      <c r="F113" s="71">
        <v>0</v>
      </c>
      <c r="G113" s="69">
        <v>0</v>
      </c>
      <c r="H113" s="71">
        <v>0</v>
      </c>
      <c r="I113" s="71">
        <f t="shared" si="1"/>
        <v>0</v>
      </c>
    </row>
    <row r="114" spans="1:9" x14ac:dyDescent="0.25">
      <c r="A114" s="26">
        <v>2530313</v>
      </c>
      <c r="B114" s="26" t="s">
        <v>55</v>
      </c>
      <c r="C114" s="26" t="s">
        <v>35</v>
      </c>
      <c r="D114" s="66">
        <v>0</v>
      </c>
      <c r="E114" s="70">
        <v>0</v>
      </c>
      <c r="F114" s="71">
        <v>0</v>
      </c>
      <c r="G114" s="69">
        <v>0</v>
      </c>
      <c r="H114" s="71">
        <v>0</v>
      </c>
      <c r="I114" s="71">
        <f t="shared" si="1"/>
        <v>0</v>
      </c>
    </row>
    <row r="115" spans="1:9" x14ac:dyDescent="0.25">
      <c r="A115" s="26">
        <v>2530432</v>
      </c>
      <c r="B115" s="26" t="s">
        <v>330</v>
      </c>
      <c r="C115" s="26" t="s">
        <v>35</v>
      </c>
      <c r="D115" s="66">
        <v>0</v>
      </c>
      <c r="E115" s="70">
        <v>0</v>
      </c>
      <c r="F115" s="71">
        <v>0</v>
      </c>
      <c r="G115" s="69">
        <v>0</v>
      </c>
      <c r="H115" s="71">
        <v>0</v>
      </c>
      <c r="I115" s="71">
        <f t="shared" si="1"/>
        <v>0</v>
      </c>
    </row>
    <row r="116" spans="1:9" x14ac:dyDescent="0.25">
      <c r="A116" s="26">
        <v>2530981</v>
      </c>
      <c r="B116" s="26" t="s">
        <v>332</v>
      </c>
      <c r="C116" s="26" t="s">
        <v>333</v>
      </c>
      <c r="D116" s="66">
        <v>0</v>
      </c>
      <c r="E116" s="70">
        <v>0</v>
      </c>
      <c r="F116" s="71">
        <v>0</v>
      </c>
      <c r="G116" s="69">
        <v>0</v>
      </c>
      <c r="H116" s="71">
        <v>0</v>
      </c>
      <c r="I116" s="71">
        <f t="shared" si="1"/>
        <v>0</v>
      </c>
    </row>
    <row r="117" spans="1:9" x14ac:dyDescent="0.25">
      <c r="A117" s="26">
        <v>2540020</v>
      </c>
      <c r="B117" s="26" t="s">
        <v>335</v>
      </c>
      <c r="C117" s="26" t="s">
        <v>35</v>
      </c>
      <c r="D117" s="66">
        <v>0</v>
      </c>
      <c r="E117" s="70">
        <v>0</v>
      </c>
      <c r="F117" s="71">
        <v>0</v>
      </c>
      <c r="G117" s="69">
        <v>0</v>
      </c>
      <c r="H117" s="71">
        <v>0</v>
      </c>
      <c r="I117" s="71">
        <f t="shared" si="1"/>
        <v>0</v>
      </c>
    </row>
    <row r="118" spans="1:9" x14ac:dyDescent="0.25">
      <c r="A118" s="26">
        <v>2540030</v>
      </c>
      <c r="B118" s="26" t="s">
        <v>338</v>
      </c>
      <c r="C118" s="26" t="s">
        <v>35</v>
      </c>
      <c r="D118" s="66">
        <v>0</v>
      </c>
      <c r="E118" s="70">
        <v>0</v>
      </c>
      <c r="F118" s="71">
        <v>0</v>
      </c>
      <c r="G118" s="69">
        <v>0</v>
      </c>
      <c r="H118" s="71">
        <v>0</v>
      </c>
      <c r="I118" s="71">
        <f t="shared" si="1"/>
        <v>0</v>
      </c>
    </row>
    <row r="119" spans="1:9" x14ac:dyDescent="0.25">
      <c r="A119" s="26">
        <v>25400385</v>
      </c>
      <c r="B119" s="26" t="s">
        <v>340</v>
      </c>
      <c r="C119" s="26" t="s">
        <v>314</v>
      </c>
      <c r="D119" s="66">
        <v>0</v>
      </c>
      <c r="E119" s="70">
        <v>0</v>
      </c>
      <c r="F119" s="71">
        <v>0</v>
      </c>
      <c r="G119" s="69">
        <v>0</v>
      </c>
      <c r="H119" s="71">
        <v>0</v>
      </c>
      <c r="I119" s="71">
        <f t="shared" si="1"/>
        <v>0</v>
      </c>
    </row>
    <row r="120" spans="1:9" x14ac:dyDescent="0.25">
      <c r="A120" s="26">
        <v>2540050</v>
      </c>
      <c r="B120" s="26" t="s">
        <v>342</v>
      </c>
      <c r="C120" s="26" t="s">
        <v>35</v>
      </c>
      <c r="D120" s="66">
        <v>0</v>
      </c>
      <c r="E120" s="70">
        <v>0</v>
      </c>
      <c r="F120" s="71">
        <v>0</v>
      </c>
      <c r="G120" s="69">
        <v>0</v>
      </c>
      <c r="H120" s="71">
        <v>0</v>
      </c>
      <c r="I120" s="71">
        <f t="shared" si="1"/>
        <v>0</v>
      </c>
    </row>
    <row r="121" spans="1:9" x14ac:dyDescent="0.25">
      <c r="A121" s="26">
        <v>2540055</v>
      </c>
      <c r="B121" s="26" t="s">
        <v>344</v>
      </c>
      <c r="C121" s="26" t="s">
        <v>35</v>
      </c>
      <c r="D121" s="66">
        <v>0</v>
      </c>
      <c r="E121" s="70">
        <v>0</v>
      </c>
      <c r="F121" s="71">
        <v>0</v>
      </c>
      <c r="G121" s="69">
        <v>0</v>
      </c>
      <c r="H121" s="71">
        <v>0</v>
      </c>
      <c r="I121" s="71">
        <f t="shared" si="1"/>
        <v>0</v>
      </c>
    </row>
    <row r="122" spans="1:9" x14ac:dyDescent="0.25">
      <c r="A122" s="26">
        <v>2540090</v>
      </c>
      <c r="B122" s="26" t="s">
        <v>346</v>
      </c>
      <c r="C122" s="26" t="s">
        <v>35</v>
      </c>
      <c r="D122" s="66">
        <v>0</v>
      </c>
      <c r="E122" s="70">
        <v>0</v>
      </c>
      <c r="F122" s="71">
        <v>0</v>
      </c>
      <c r="G122" s="69">
        <v>0</v>
      </c>
      <c r="H122" s="71">
        <v>0</v>
      </c>
      <c r="I122" s="71">
        <f t="shared" si="1"/>
        <v>0</v>
      </c>
    </row>
    <row r="123" spans="1:9" x14ac:dyDescent="0.25">
      <c r="A123" s="26">
        <v>2540100</v>
      </c>
      <c r="B123" s="26" t="s">
        <v>348</v>
      </c>
      <c r="C123" s="26" t="s">
        <v>35</v>
      </c>
      <c r="D123" s="66">
        <v>0</v>
      </c>
      <c r="E123" s="70">
        <v>0</v>
      </c>
      <c r="F123" s="71">
        <v>0</v>
      </c>
      <c r="G123" s="69">
        <v>0</v>
      </c>
      <c r="H123" s="71">
        <v>0</v>
      </c>
      <c r="I123" s="71">
        <f t="shared" si="1"/>
        <v>0</v>
      </c>
    </row>
    <row r="124" spans="1:9" x14ac:dyDescent="0.25">
      <c r="A124" s="26">
        <v>2550120</v>
      </c>
      <c r="B124" s="26" t="s">
        <v>350</v>
      </c>
      <c r="C124" s="26" t="s">
        <v>352</v>
      </c>
      <c r="D124" s="66">
        <v>0</v>
      </c>
      <c r="E124" s="70">
        <v>0</v>
      </c>
      <c r="F124" s="71">
        <v>0</v>
      </c>
      <c r="G124" s="69">
        <v>0</v>
      </c>
      <c r="H124" s="71">
        <v>0</v>
      </c>
      <c r="I124" s="71">
        <f t="shared" si="1"/>
        <v>0</v>
      </c>
    </row>
    <row r="125" spans="1:9" x14ac:dyDescent="0.25">
      <c r="A125" s="26">
        <v>2550190</v>
      </c>
      <c r="B125" s="26" t="s">
        <v>354</v>
      </c>
      <c r="C125" s="26" t="s">
        <v>355</v>
      </c>
      <c r="D125" s="66">
        <v>0</v>
      </c>
      <c r="E125" s="70">
        <v>0</v>
      </c>
      <c r="F125" s="71">
        <v>0</v>
      </c>
      <c r="G125" s="69">
        <v>0</v>
      </c>
      <c r="H125" s="71">
        <v>0</v>
      </c>
      <c r="I125" s="71">
        <f t="shared" si="1"/>
        <v>0</v>
      </c>
    </row>
    <row r="126" spans="1:9" x14ac:dyDescent="0.25">
      <c r="A126" s="26">
        <v>2550453</v>
      </c>
      <c r="B126" s="26" t="s">
        <v>357</v>
      </c>
      <c r="C126" s="26" t="s">
        <v>355</v>
      </c>
      <c r="D126" s="66">
        <v>0</v>
      </c>
      <c r="E126" s="70">
        <v>0</v>
      </c>
      <c r="F126" s="71">
        <v>0</v>
      </c>
      <c r="G126" s="69">
        <v>0</v>
      </c>
      <c r="H126" s="71">
        <v>0</v>
      </c>
      <c r="I126" s="71">
        <f t="shared" si="1"/>
        <v>0</v>
      </c>
    </row>
    <row r="127" spans="1:9" x14ac:dyDescent="0.25">
      <c r="A127" s="26">
        <v>2550476</v>
      </c>
      <c r="B127" s="26" t="s">
        <v>350</v>
      </c>
      <c r="C127" s="26" t="s">
        <v>359</v>
      </c>
      <c r="D127" s="66">
        <v>0</v>
      </c>
      <c r="E127" s="70">
        <v>0</v>
      </c>
      <c r="F127" s="71">
        <v>0</v>
      </c>
      <c r="G127" s="69">
        <v>0</v>
      </c>
      <c r="H127" s="71">
        <v>0</v>
      </c>
      <c r="I127" s="71">
        <f t="shared" si="1"/>
        <v>0</v>
      </c>
    </row>
    <row r="128" spans="1:9" x14ac:dyDescent="0.25">
      <c r="A128" s="26">
        <v>2550512</v>
      </c>
      <c r="B128" s="26" t="s">
        <v>354</v>
      </c>
      <c r="C128" s="26" t="s">
        <v>361</v>
      </c>
      <c r="D128" s="66">
        <v>0</v>
      </c>
      <c r="E128" s="70">
        <v>0</v>
      </c>
      <c r="F128" s="71">
        <v>0</v>
      </c>
      <c r="G128" s="69">
        <v>0</v>
      </c>
      <c r="H128" s="71">
        <v>0</v>
      </c>
      <c r="I128" s="71">
        <f t="shared" si="1"/>
        <v>0</v>
      </c>
    </row>
    <row r="129" spans="1:9" x14ac:dyDescent="0.25">
      <c r="A129" s="26">
        <v>3010015</v>
      </c>
      <c r="B129" s="26" t="s">
        <v>363</v>
      </c>
      <c r="C129" s="26" t="s">
        <v>35</v>
      </c>
      <c r="D129" s="66">
        <v>0</v>
      </c>
      <c r="E129" s="70">
        <v>0</v>
      </c>
      <c r="F129" s="71">
        <v>0</v>
      </c>
      <c r="G129" s="69">
        <v>0</v>
      </c>
      <c r="H129" s="71">
        <v>0</v>
      </c>
      <c r="I129" s="71">
        <f t="shared" si="1"/>
        <v>0</v>
      </c>
    </row>
    <row r="130" spans="1:9" x14ac:dyDescent="0.25">
      <c r="A130" s="26">
        <v>3010020</v>
      </c>
      <c r="B130" s="26" t="s">
        <v>366</v>
      </c>
      <c r="C130" s="26" t="s">
        <v>35</v>
      </c>
      <c r="D130" s="66">
        <v>0</v>
      </c>
      <c r="E130" s="70">
        <v>0</v>
      </c>
      <c r="F130" s="71">
        <v>0</v>
      </c>
      <c r="G130" s="69">
        <v>0</v>
      </c>
      <c r="H130" s="71">
        <v>0</v>
      </c>
      <c r="I130" s="71">
        <f t="shared" si="1"/>
        <v>0</v>
      </c>
    </row>
    <row r="131" spans="1:9" x14ac:dyDescent="0.25">
      <c r="A131" s="26">
        <v>3010050</v>
      </c>
      <c r="B131" s="26" t="s">
        <v>368</v>
      </c>
      <c r="C131" s="26" t="s">
        <v>35</v>
      </c>
      <c r="D131" s="66">
        <v>0</v>
      </c>
      <c r="E131" s="70">
        <v>0</v>
      </c>
      <c r="F131" s="71">
        <v>0</v>
      </c>
      <c r="G131" s="69">
        <v>0</v>
      </c>
      <c r="H131" s="71">
        <v>0</v>
      </c>
      <c r="I131" s="71">
        <f t="shared" si="1"/>
        <v>0</v>
      </c>
    </row>
    <row r="132" spans="1:9" x14ac:dyDescent="0.25">
      <c r="A132" s="26">
        <v>3010100</v>
      </c>
      <c r="B132" s="26" t="s">
        <v>370</v>
      </c>
      <c r="C132" s="26" t="s">
        <v>35</v>
      </c>
      <c r="D132" s="66">
        <v>0</v>
      </c>
      <c r="E132" s="70">
        <v>0</v>
      </c>
      <c r="F132" s="71">
        <v>0</v>
      </c>
      <c r="G132" s="69">
        <v>0</v>
      </c>
      <c r="H132" s="71">
        <v>0</v>
      </c>
      <c r="I132" s="71">
        <f t="shared" si="1"/>
        <v>0</v>
      </c>
    </row>
    <row r="133" spans="1:9" x14ac:dyDescent="0.25">
      <c r="A133" s="26">
        <v>3010120</v>
      </c>
      <c r="B133" s="26" t="s">
        <v>372</v>
      </c>
      <c r="C133" s="26" t="s">
        <v>35</v>
      </c>
      <c r="D133" s="66">
        <v>0</v>
      </c>
      <c r="E133" s="70">
        <v>0</v>
      </c>
      <c r="F133" s="71">
        <v>0</v>
      </c>
      <c r="G133" s="69">
        <v>0</v>
      </c>
      <c r="H133" s="71">
        <v>0</v>
      </c>
      <c r="I133" s="71">
        <f t="shared" ref="I133:I196" si="2">IF(ISNUMBER(H133),F133-H133,"")</f>
        <v>0</v>
      </c>
    </row>
    <row r="134" spans="1:9" x14ac:dyDescent="0.25">
      <c r="A134" s="26">
        <v>3010130</v>
      </c>
      <c r="B134" s="26" t="s">
        <v>374</v>
      </c>
      <c r="C134" s="26" t="s">
        <v>35</v>
      </c>
      <c r="D134" s="66">
        <v>0</v>
      </c>
      <c r="E134" s="70">
        <v>0</v>
      </c>
      <c r="F134" s="71">
        <v>0</v>
      </c>
      <c r="G134" s="69">
        <v>0</v>
      </c>
      <c r="H134" s="71">
        <v>0</v>
      </c>
      <c r="I134" s="71">
        <f t="shared" si="2"/>
        <v>0</v>
      </c>
    </row>
    <row r="135" spans="1:9" x14ac:dyDescent="0.25">
      <c r="A135" s="26">
        <v>3010140</v>
      </c>
      <c r="B135" s="26" t="s">
        <v>376</v>
      </c>
      <c r="C135" s="26" t="s">
        <v>35</v>
      </c>
      <c r="D135" s="66">
        <v>0</v>
      </c>
      <c r="E135" s="70">
        <v>0</v>
      </c>
      <c r="F135" s="71">
        <v>0</v>
      </c>
      <c r="G135" s="69">
        <v>0</v>
      </c>
      <c r="H135" s="71">
        <v>0</v>
      </c>
      <c r="I135" s="71">
        <f t="shared" si="2"/>
        <v>0</v>
      </c>
    </row>
    <row r="136" spans="1:9" x14ac:dyDescent="0.25">
      <c r="A136" s="26">
        <v>3010141</v>
      </c>
      <c r="B136" s="26" t="s">
        <v>378</v>
      </c>
      <c r="C136" s="26" t="s">
        <v>35</v>
      </c>
      <c r="D136" s="66">
        <v>0</v>
      </c>
      <c r="E136" s="70">
        <v>0</v>
      </c>
      <c r="F136" s="71">
        <v>0</v>
      </c>
      <c r="G136" s="69">
        <v>0</v>
      </c>
      <c r="H136" s="71">
        <v>0</v>
      </c>
      <c r="I136" s="71">
        <f t="shared" si="2"/>
        <v>0</v>
      </c>
    </row>
    <row r="137" spans="1:9" x14ac:dyDescent="0.25">
      <c r="A137" s="26">
        <v>3010160</v>
      </c>
      <c r="B137" s="26" t="s">
        <v>380</v>
      </c>
      <c r="C137" s="26" t="s">
        <v>35</v>
      </c>
      <c r="D137" s="66">
        <v>0</v>
      </c>
      <c r="E137" s="70">
        <v>0</v>
      </c>
      <c r="F137" s="71">
        <v>0</v>
      </c>
      <c r="G137" s="69">
        <v>0</v>
      </c>
      <c r="H137" s="71">
        <v>0</v>
      </c>
      <c r="I137" s="71">
        <f t="shared" si="2"/>
        <v>0</v>
      </c>
    </row>
    <row r="138" spans="1:9" x14ac:dyDescent="0.25">
      <c r="A138" s="26">
        <v>3010180</v>
      </c>
      <c r="B138" s="26" t="s">
        <v>382</v>
      </c>
      <c r="C138" s="26" t="s">
        <v>35</v>
      </c>
      <c r="D138" s="66">
        <v>0</v>
      </c>
      <c r="E138" s="70">
        <v>0</v>
      </c>
      <c r="F138" s="71">
        <v>0</v>
      </c>
      <c r="G138" s="69">
        <v>0</v>
      </c>
      <c r="H138" s="71">
        <v>0</v>
      </c>
      <c r="I138" s="71">
        <f t="shared" si="2"/>
        <v>0</v>
      </c>
    </row>
    <row r="139" spans="1:9" x14ac:dyDescent="0.25">
      <c r="A139" s="26">
        <v>3010200</v>
      </c>
      <c r="B139" s="26" t="s">
        <v>384</v>
      </c>
      <c r="C139" s="26" t="s">
        <v>35</v>
      </c>
      <c r="D139" s="66">
        <v>0</v>
      </c>
      <c r="E139" s="70">
        <v>0</v>
      </c>
      <c r="F139" s="71">
        <v>0</v>
      </c>
      <c r="G139" s="69">
        <v>0</v>
      </c>
      <c r="H139" s="71">
        <v>0</v>
      </c>
      <c r="I139" s="71">
        <f t="shared" si="2"/>
        <v>0</v>
      </c>
    </row>
    <row r="140" spans="1:9" x14ac:dyDescent="0.25">
      <c r="A140" s="26">
        <v>3010250</v>
      </c>
      <c r="B140" s="26" t="s">
        <v>386</v>
      </c>
      <c r="C140" s="26" t="s">
        <v>35</v>
      </c>
      <c r="D140" s="66">
        <v>0</v>
      </c>
      <c r="E140" s="70">
        <v>0</v>
      </c>
      <c r="F140" s="71">
        <v>0</v>
      </c>
      <c r="G140" s="69">
        <v>0</v>
      </c>
      <c r="H140" s="71">
        <v>0</v>
      </c>
      <c r="I140" s="71">
        <f t="shared" si="2"/>
        <v>0</v>
      </c>
    </row>
    <row r="141" spans="1:9" x14ac:dyDescent="0.25">
      <c r="A141" s="26">
        <v>3020040</v>
      </c>
      <c r="B141" s="26" t="s">
        <v>45</v>
      </c>
      <c r="C141" s="26" t="s">
        <v>35</v>
      </c>
      <c r="D141" s="66">
        <v>0</v>
      </c>
      <c r="E141" s="70">
        <v>0</v>
      </c>
      <c r="F141" s="71">
        <v>0</v>
      </c>
      <c r="G141" s="69">
        <v>0</v>
      </c>
      <c r="H141" s="71">
        <v>0</v>
      </c>
      <c r="I141" s="71">
        <f t="shared" si="2"/>
        <v>0</v>
      </c>
    </row>
    <row r="142" spans="1:9" x14ac:dyDescent="0.25">
      <c r="A142" s="26">
        <v>3020060</v>
      </c>
      <c r="B142" s="26" t="s">
        <v>390</v>
      </c>
      <c r="C142" s="26" t="s">
        <v>35</v>
      </c>
      <c r="D142" s="66">
        <v>0</v>
      </c>
      <c r="E142" s="70">
        <v>0</v>
      </c>
      <c r="F142" s="71">
        <v>0</v>
      </c>
      <c r="G142" s="69">
        <v>0</v>
      </c>
      <c r="H142" s="71">
        <v>0</v>
      </c>
      <c r="I142" s="71">
        <f t="shared" si="2"/>
        <v>0</v>
      </c>
    </row>
    <row r="143" spans="1:9" x14ac:dyDescent="0.25">
      <c r="A143" s="26">
        <v>3020100</v>
      </c>
      <c r="B143" s="26" t="s">
        <v>392</v>
      </c>
      <c r="C143" s="26" t="s">
        <v>35</v>
      </c>
      <c r="D143" s="66">
        <v>0</v>
      </c>
      <c r="E143" s="70">
        <v>0</v>
      </c>
      <c r="F143" s="71">
        <v>0</v>
      </c>
      <c r="G143" s="69">
        <v>0</v>
      </c>
      <c r="H143" s="71">
        <v>0</v>
      </c>
      <c r="I143" s="71">
        <f t="shared" si="2"/>
        <v>0</v>
      </c>
    </row>
    <row r="144" spans="1:9" x14ac:dyDescent="0.25">
      <c r="A144" s="26">
        <v>3020140</v>
      </c>
      <c r="B144" s="26" t="s">
        <v>394</v>
      </c>
      <c r="C144" s="26" t="s">
        <v>35</v>
      </c>
      <c r="D144" s="66">
        <v>0</v>
      </c>
      <c r="E144" s="70">
        <v>0</v>
      </c>
      <c r="F144" s="71">
        <v>0</v>
      </c>
      <c r="G144" s="69">
        <v>0</v>
      </c>
      <c r="H144" s="71">
        <v>0</v>
      </c>
      <c r="I144" s="71">
        <f t="shared" si="2"/>
        <v>0</v>
      </c>
    </row>
    <row r="145" spans="1:9" x14ac:dyDescent="0.25">
      <c r="A145" s="26">
        <v>3020401</v>
      </c>
      <c r="B145" s="26" t="s">
        <v>45</v>
      </c>
      <c r="C145" s="26" t="s">
        <v>46</v>
      </c>
      <c r="D145" s="66">
        <v>0</v>
      </c>
      <c r="E145" s="70">
        <v>0</v>
      </c>
      <c r="F145" s="71">
        <v>0</v>
      </c>
      <c r="G145" s="69">
        <v>0</v>
      </c>
      <c r="H145" s="71">
        <v>0</v>
      </c>
      <c r="I145" s="71">
        <f t="shared" si="2"/>
        <v>0</v>
      </c>
    </row>
    <row r="146" spans="1:9" x14ac:dyDescent="0.25">
      <c r="A146" s="26">
        <v>3020456</v>
      </c>
      <c r="B146" s="26" t="s">
        <v>390</v>
      </c>
      <c r="C146" s="26" t="s">
        <v>46</v>
      </c>
      <c r="D146" s="66">
        <v>0</v>
      </c>
      <c r="E146" s="70">
        <v>0</v>
      </c>
      <c r="F146" s="71">
        <v>0</v>
      </c>
      <c r="G146" s="69">
        <v>0</v>
      </c>
      <c r="H146" s="71">
        <v>0</v>
      </c>
      <c r="I146" s="71">
        <f t="shared" si="2"/>
        <v>0</v>
      </c>
    </row>
    <row r="147" spans="1:9" x14ac:dyDescent="0.25">
      <c r="A147" s="26">
        <v>3030030</v>
      </c>
      <c r="B147" s="26" t="s">
        <v>397</v>
      </c>
      <c r="C147" s="26" t="s">
        <v>352</v>
      </c>
      <c r="D147" s="66">
        <v>0</v>
      </c>
      <c r="E147" s="70">
        <v>0</v>
      </c>
      <c r="F147" s="71">
        <v>0</v>
      </c>
      <c r="G147" s="69">
        <v>0</v>
      </c>
      <c r="H147" s="71">
        <v>0</v>
      </c>
      <c r="I147" s="71">
        <f t="shared" si="2"/>
        <v>0</v>
      </c>
    </row>
    <row r="148" spans="1:9" x14ac:dyDescent="0.25">
      <c r="A148" s="26">
        <v>3030060</v>
      </c>
      <c r="B148" s="26" t="s">
        <v>400</v>
      </c>
      <c r="C148" s="26" t="s">
        <v>401</v>
      </c>
      <c r="D148" s="66">
        <v>0</v>
      </c>
      <c r="E148" s="70">
        <v>0</v>
      </c>
      <c r="F148" s="71">
        <v>0</v>
      </c>
      <c r="G148" s="69">
        <v>0</v>
      </c>
      <c r="H148" s="71">
        <v>0</v>
      </c>
      <c r="I148" s="71">
        <f t="shared" si="2"/>
        <v>0</v>
      </c>
    </row>
    <row r="149" spans="1:9" x14ac:dyDescent="0.25">
      <c r="A149" s="26">
        <v>3030143</v>
      </c>
      <c r="B149" s="26" t="s">
        <v>397</v>
      </c>
      <c r="C149" s="26" t="s">
        <v>355</v>
      </c>
      <c r="D149" s="66">
        <v>0</v>
      </c>
      <c r="E149" s="70">
        <v>0</v>
      </c>
      <c r="F149" s="71">
        <v>0</v>
      </c>
      <c r="G149" s="69">
        <v>0</v>
      </c>
      <c r="H149" s="71">
        <v>0</v>
      </c>
      <c r="I149" s="71">
        <f t="shared" si="2"/>
        <v>0</v>
      </c>
    </row>
    <row r="150" spans="1:9" x14ac:dyDescent="0.25">
      <c r="A150" s="26">
        <v>3030157</v>
      </c>
      <c r="B150" s="26" t="s">
        <v>397</v>
      </c>
      <c r="C150" s="26" t="s">
        <v>401</v>
      </c>
      <c r="D150" s="66">
        <v>0</v>
      </c>
      <c r="E150" s="70">
        <v>0</v>
      </c>
      <c r="F150" s="71">
        <v>0</v>
      </c>
      <c r="G150" s="69">
        <v>0</v>
      </c>
      <c r="H150" s="71">
        <v>0</v>
      </c>
      <c r="I150" s="71">
        <f t="shared" si="2"/>
        <v>0</v>
      </c>
    </row>
    <row r="151" spans="1:9" x14ac:dyDescent="0.25">
      <c r="A151" s="26">
        <v>3030167</v>
      </c>
      <c r="B151" s="26" t="s">
        <v>382</v>
      </c>
      <c r="C151" s="26" t="s">
        <v>352</v>
      </c>
      <c r="D151" s="66">
        <v>0</v>
      </c>
      <c r="E151" s="70">
        <v>0</v>
      </c>
      <c r="F151" s="71">
        <v>0</v>
      </c>
      <c r="G151" s="69">
        <v>0</v>
      </c>
      <c r="H151" s="71">
        <v>0</v>
      </c>
      <c r="I151" s="71">
        <f t="shared" si="2"/>
        <v>0</v>
      </c>
    </row>
    <row r="152" spans="1:9" x14ac:dyDescent="0.25">
      <c r="A152" s="26">
        <v>3030211</v>
      </c>
      <c r="B152" s="26" t="s">
        <v>397</v>
      </c>
      <c r="C152" s="26" t="s">
        <v>361</v>
      </c>
      <c r="D152" s="66">
        <v>0</v>
      </c>
      <c r="E152" s="70">
        <v>0</v>
      </c>
      <c r="F152" s="71">
        <v>0</v>
      </c>
      <c r="G152" s="69">
        <v>0</v>
      </c>
      <c r="H152" s="71">
        <v>0</v>
      </c>
      <c r="I152" s="71">
        <f t="shared" si="2"/>
        <v>0</v>
      </c>
    </row>
    <row r="153" spans="1:9" x14ac:dyDescent="0.25">
      <c r="A153" s="26">
        <v>3510010</v>
      </c>
      <c r="B153" s="26" t="s">
        <v>407</v>
      </c>
      <c r="C153" s="26" t="s">
        <v>35</v>
      </c>
      <c r="D153" s="66">
        <v>0</v>
      </c>
      <c r="E153" s="70">
        <v>0</v>
      </c>
      <c r="F153" s="71">
        <v>0</v>
      </c>
      <c r="G153" s="69">
        <v>0</v>
      </c>
      <c r="H153" s="71">
        <v>0</v>
      </c>
      <c r="I153" s="71">
        <f t="shared" si="2"/>
        <v>0</v>
      </c>
    </row>
    <row r="154" spans="1:9" x14ac:dyDescent="0.25">
      <c r="A154" s="26">
        <v>3510020</v>
      </c>
      <c r="B154" s="26" t="s">
        <v>410</v>
      </c>
      <c r="C154" s="26" t="s">
        <v>35</v>
      </c>
      <c r="D154" s="66">
        <v>0</v>
      </c>
      <c r="E154" s="70">
        <v>0</v>
      </c>
      <c r="F154" s="71">
        <v>0</v>
      </c>
      <c r="G154" s="69">
        <v>0</v>
      </c>
      <c r="H154" s="71">
        <v>0</v>
      </c>
      <c r="I154" s="71">
        <f t="shared" si="2"/>
        <v>0</v>
      </c>
    </row>
    <row r="155" spans="1:9" x14ac:dyDescent="0.25">
      <c r="A155" s="26">
        <v>3510035</v>
      </c>
      <c r="B155" s="26" t="s">
        <v>412</v>
      </c>
      <c r="C155" s="26" t="s">
        <v>35</v>
      </c>
      <c r="D155" s="66">
        <v>0</v>
      </c>
      <c r="E155" s="70">
        <v>0</v>
      </c>
      <c r="F155" s="71">
        <v>0</v>
      </c>
      <c r="G155" s="69">
        <v>0</v>
      </c>
      <c r="H155" s="71">
        <v>0</v>
      </c>
      <c r="I155" s="71">
        <f t="shared" si="2"/>
        <v>0</v>
      </c>
    </row>
    <row r="156" spans="1:9" x14ac:dyDescent="0.25">
      <c r="A156" s="26">
        <v>3510060</v>
      </c>
      <c r="B156" s="26" t="s">
        <v>414</v>
      </c>
      <c r="C156" s="26" t="s">
        <v>415</v>
      </c>
      <c r="D156" s="66">
        <v>0</v>
      </c>
      <c r="E156" s="70">
        <v>0</v>
      </c>
      <c r="F156" s="71">
        <v>0</v>
      </c>
      <c r="G156" s="69">
        <v>0</v>
      </c>
      <c r="H156" s="71">
        <v>0</v>
      </c>
      <c r="I156" s="71">
        <f t="shared" si="2"/>
        <v>0</v>
      </c>
    </row>
    <row r="157" spans="1:9" x14ac:dyDescent="0.25">
      <c r="A157" s="26">
        <v>3510070</v>
      </c>
      <c r="B157" s="26" t="s">
        <v>417</v>
      </c>
      <c r="C157" s="26" t="s">
        <v>415</v>
      </c>
      <c r="D157" s="66">
        <v>0</v>
      </c>
      <c r="E157" s="70">
        <v>0</v>
      </c>
      <c r="F157" s="71">
        <v>0</v>
      </c>
      <c r="G157" s="69">
        <v>0</v>
      </c>
      <c r="H157" s="71">
        <v>0</v>
      </c>
      <c r="I157" s="71">
        <f t="shared" si="2"/>
        <v>0</v>
      </c>
    </row>
    <row r="158" spans="1:9" x14ac:dyDescent="0.25">
      <c r="A158" s="26">
        <v>3510086</v>
      </c>
      <c r="B158" s="26" t="s">
        <v>419</v>
      </c>
      <c r="C158" s="26" t="s">
        <v>35</v>
      </c>
      <c r="D158" s="66">
        <v>0</v>
      </c>
      <c r="E158" s="70">
        <v>0</v>
      </c>
      <c r="F158" s="71">
        <v>0</v>
      </c>
      <c r="G158" s="69">
        <v>0</v>
      </c>
      <c r="H158" s="71">
        <v>0</v>
      </c>
      <c r="I158" s="71">
        <f t="shared" si="2"/>
        <v>0</v>
      </c>
    </row>
    <row r="159" spans="1:9" x14ac:dyDescent="0.25">
      <c r="A159" s="26">
        <v>35101510</v>
      </c>
      <c r="B159" s="26" t="s">
        <v>421</v>
      </c>
      <c r="C159" s="26" t="s">
        <v>314</v>
      </c>
      <c r="D159" s="66">
        <v>0</v>
      </c>
      <c r="E159" s="70">
        <v>0</v>
      </c>
      <c r="F159" s="71">
        <v>0</v>
      </c>
      <c r="G159" s="69">
        <v>0</v>
      </c>
      <c r="H159" s="71">
        <v>0</v>
      </c>
      <c r="I159" s="71">
        <f t="shared" si="2"/>
        <v>0</v>
      </c>
    </row>
    <row r="160" spans="1:9" x14ac:dyDescent="0.25">
      <c r="A160" s="26">
        <v>3520020</v>
      </c>
      <c r="B160" s="26" t="s">
        <v>423</v>
      </c>
      <c r="C160" s="26" t="s">
        <v>35</v>
      </c>
      <c r="D160" s="66">
        <v>0</v>
      </c>
      <c r="E160" s="70">
        <v>0</v>
      </c>
      <c r="F160" s="71">
        <v>0</v>
      </c>
      <c r="G160" s="69">
        <v>0</v>
      </c>
      <c r="H160" s="71">
        <v>0</v>
      </c>
      <c r="I160" s="71">
        <f t="shared" si="2"/>
        <v>0</v>
      </c>
    </row>
    <row r="161" spans="1:9" x14ac:dyDescent="0.25">
      <c r="A161" s="26">
        <v>3520060</v>
      </c>
      <c r="B161" s="26" t="s">
        <v>426</v>
      </c>
      <c r="C161" s="26" t="s">
        <v>35</v>
      </c>
      <c r="D161" s="66">
        <v>0</v>
      </c>
      <c r="E161" s="70">
        <v>0</v>
      </c>
      <c r="F161" s="71">
        <v>0</v>
      </c>
      <c r="G161" s="69">
        <v>0</v>
      </c>
      <c r="H161" s="71">
        <v>0</v>
      </c>
      <c r="I161" s="71">
        <f t="shared" si="2"/>
        <v>0</v>
      </c>
    </row>
    <row r="162" spans="1:9" x14ac:dyDescent="0.25">
      <c r="A162" s="26">
        <v>3520080</v>
      </c>
      <c r="B162" s="26" t="s">
        <v>428</v>
      </c>
      <c r="C162" s="26" t="s">
        <v>35</v>
      </c>
      <c r="D162" s="66">
        <v>0</v>
      </c>
      <c r="E162" s="70">
        <v>0</v>
      </c>
      <c r="F162" s="71">
        <v>0</v>
      </c>
      <c r="G162" s="69">
        <v>0</v>
      </c>
      <c r="H162" s="71">
        <v>0</v>
      </c>
      <c r="I162" s="71">
        <f t="shared" si="2"/>
        <v>0</v>
      </c>
    </row>
    <row r="163" spans="1:9" x14ac:dyDescent="0.25">
      <c r="A163" s="26">
        <v>3530010</v>
      </c>
      <c r="B163" s="26" t="s">
        <v>430</v>
      </c>
      <c r="C163" s="26" t="s">
        <v>35</v>
      </c>
      <c r="D163" s="66">
        <v>0</v>
      </c>
      <c r="E163" s="70">
        <v>0</v>
      </c>
      <c r="F163" s="71">
        <v>0</v>
      </c>
      <c r="G163" s="69">
        <v>0</v>
      </c>
      <c r="H163" s="71">
        <v>0</v>
      </c>
      <c r="I163" s="71">
        <f t="shared" si="2"/>
        <v>0</v>
      </c>
    </row>
    <row r="164" spans="1:9" x14ac:dyDescent="0.25">
      <c r="A164" s="26">
        <v>3530040</v>
      </c>
      <c r="B164" s="26" t="s">
        <v>433</v>
      </c>
      <c r="C164" s="26" t="s">
        <v>415</v>
      </c>
      <c r="D164" s="66">
        <v>0</v>
      </c>
      <c r="E164" s="70">
        <v>0</v>
      </c>
      <c r="F164" s="71">
        <v>0</v>
      </c>
      <c r="G164" s="69">
        <v>0</v>
      </c>
      <c r="H164" s="71">
        <v>0</v>
      </c>
      <c r="I164" s="71">
        <f t="shared" si="2"/>
        <v>0</v>
      </c>
    </row>
    <row r="165" spans="1:9" x14ac:dyDescent="0.25">
      <c r="A165" s="26">
        <v>3530080</v>
      </c>
      <c r="B165" s="26" t="s">
        <v>435</v>
      </c>
      <c r="C165" s="26" t="s">
        <v>35</v>
      </c>
      <c r="D165" s="66">
        <v>0</v>
      </c>
      <c r="E165" s="70">
        <v>0</v>
      </c>
      <c r="F165" s="71">
        <v>0</v>
      </c>
      <c r="G165" s="69">
        <v>0</v>
      </c>
      <c r="H165" s="71">
        <v>0</v>
      </c>
      <c r="I165" s="71">
        <f t="shared" si="2"/>
        <v>0</v>
      </c>
    </row>
    <row r="166" spans="1:9" x14ac:dyDescent="0.25">
      <c r="A166" s="26">
        <v>3540035</v>
      </c>
      <c r="B166" s="26" t="s">
        <v>437</v>
      </c>
      <c r="C166" s="26" t="s">
        <v>35</v>
      </c>
      <c r="D166" s="66">
        <v>0</v>
      </c>
      <c r="E166" s="70">
        <v>0</v>
      </c>
      <c r="F166" s="71">
        <v>0</v>
      </c>
      <c r="G166" s="69">
        <v>0</v>
      </c>
      <c r="H166" s="71">
        <v>0</v>
      </c>
      <c r="I166" s="71">
        <f t="shared" si="2"/>
        <v>0</v>
      </c>
    </row>
    <row r="167" spans="1:9" x14ac:dyDescent="0.25">
      <c r="A167" s="26">
        <v>35401152</v>
      </c>
      <c r="B167" s="26" t="s">
        <v>440</v>
      </c>
      <c r="C167" s="26" t="s">
        <v>441</v>
      </c>
      <c r="D167" s="66">
        <v>0</v>
      </c>
      <c r="E167" s="70">
        <v>0</v>
      </c>
      <c r="F167" s="71">
        <v>0</v>
      </c>
      <c r="G167" s="69">
        <v>0</v>
      </c>
      <c r="H167" s="71">
        <v>0</v>
      </c>
      <c r="I167" s="71">
        <f t="shared" si="2"/>
        <v>0</v>
      </c>
    </row>
    <row r="168" spans="1:9" x14ac:dyDescent="0.25">
      <c r="A168" s="26">
        <v>3540150</v>
      </c>
      <c r="B168" s="26" t="s">
        <v>57</v>
      </c>
      <c r="C168" s="26" t="s">
        <v>58</v>
      </c>
      <c r="D168" s="66">
        <v>0</v>
      </c>
      <c r="E168" s="70">
        <v>0</v>
      </c>
      <c r="F168" s="71">
        <v>0</v>
      </c>
      <c r="G168" s="69">
        <v>0</v>
      </c>
      <c r="H168" s="71">
        <v>0</v>
      </c>
      <c r="I168" s="71">
        <f t="shared" si="2"/>
        <v>0</v>
      </c>
    </row>
    <row r="169" spans="1:9" x14ac:dyDescent="0.25">
      <c r="A169" s="26">
        <v>3540167</v>
      </c>
      <c r="B169" s="26" t="s">
        <v>443</v>
      </c>
      <c r="C169" s="26" t="s">
        <v>415</v>
      </c>
      <c r="D169" s="66">
        <v>0</v>
      </c>
      <c r="E169" s="70">
        <v>0</v>
      </c>
      <c r="F169" s="71">
        <v>0</v>
      </c>
      <c r="G169" s="69">
        <v>0</v>
      </c>
      <c r="H169" s="71">
        <v>0</v>
      </c>
      <c r="I169" s="71">
        <f t="shared" si="2"/>
        <v>0</v>
      </c>
    </row>
    <row r="170" spans="1:9" x14ac:dyDescent="0.25">
      <c r="A170" s="26">
        <v>35403934</v>
      </c>
      <c r="B170" s="26" t="s">
        <v>445</v>
      </c>
      <c r="C170" s="26" t="s">
        <v>446</v>
      </c>
      <c r="D170" s="66">
        <v>0</v>
      </c>
      <c r="E170" s="70">
        <v>0</v>
      </c>
      <c r="F170" s="71">
        <v>0</v>
      </c>
      <c r="G170" s="69">
        <v>0</v>
      </c>
      <c r="H170" s="71">
        <v>0</v>
      </c>
      <c r="I170" s="71">
        <f t="shared" si="2"/>
        <v>0</v>
      </c>
    </row>
    <row r="171" spans="1:9" x14ac:dyDescent="0.25">
      <c r="A171" s="26">
        <v>3540704</v>
      </c>
      <c r="B171" s="26" t="s">
        <v>448</v>
      </c>
      <c r="C171" s="26" t="s">
        <v>314</v>
      </c>
      <c r="D171" s="66">
        <v>0</v>
      </c>
      <c r="E171" s="70">
        <v>0</v>
      </c>
      <c r="F171" s="71">
        <v>0</v>
      </c>
      <c r="G171" s="69">
        <v>0</v>
      </c>
      <c r="H171" s="71">
        <v>0</v>
      </c>
      <c r="I171" s="71">
        <f t="shared" si="2"/>
        <v>0</v>
      </c>
    </row>
    <row r="172" spans="1:9" x14ac:dyDescent="0.25">
      <c r="A172" s="26">
        <v>3541020</v>
      </c>
      <c r="B172" s="26" t="s">
        <v>450</v>
      </c>
      <c r="C172" s="26" t="s">
        <v>441</v>
      </c>
      <c r="D172" s="66">
        <v>0</v>
      </c>
      <c r="E172" s="70">
        <v>0</v>
      </c>
      <c r="F172" s="71">
        <v>0</v>
      </c>
      <c r="G172" s="69">
        <v>0</v>
      </c>
      <c r="H172" s="71">
        <v>0</v>
      </c>
      <c r="I172" s="71">
        <f t="shared" si="2"/>
        <v>0</v>
      </c>
    </row>
    <row r="173" spans="1:9" x14ac:dyDescent="0.25">
      <c r="A173" s="26">
        <v>3550030</v>
      </c>
      <c r="B173" s="26" t="s">
        <v>452</v>
      </c>
      <c r="C173" s="26" t="s">
        <v>415</v>
      </c>
      <c r="D173" s="66">
        <v>0</v>
      </c>
      <c r="E173" s="70">
        <v>0</v>
      </c>
      <c r="F173" s="71">
        <v>0</v>
      </c>
      <c r="G173" s="69">
        <v>0</v>
      </c>
      <c r="H173" s="71">
        <v>0</v>
      </c>
      <c r="I173" s="71">
        <f t="shared" si="2"/>
        <v>0</v>
      </c>
    </row>
    <row r="174" spans="1:9" x14ac:dyDescent="0.25">
      <c r="A174" s="26">
        <v>3550172</v>
      </c>
      <c r="B174" s="26" t="s">
        <v>455</v>
      </c>
      <c r="C174" s="26" t="s">
        <v>314</v>
      </c>
      <c r="D174" s="66">
        <v>0</v>
      </c>
      <c r="E174" s="70">
        <v>0</v>
      </c>
      <c r="F174" s="71">
        <v>0</v>
      </c>
      <c r="G174" s="69">
        <v>0</v>
      </c>
      <c r="H174" s="71">
        <v>0</v>
      </c>
      <c r="I174" s="71">
        <f t="shared" si="2"/>
        <v>0</v>
      </c>
    </row>
    <row r="175" spans="1:9" x14ac:dyDescent="0.25">
      <c r="A175" s="26">
        <v>3550241</v>
      </c>
      <c r="B175" s="26" t="s">
        <v>457</v>
      </c>
      <c r="C175" s="26" t="s">
        <v>458</v>
      </c>
      <c r="D175" s="66">
        <v>0</v>
      </c>
      <c r="E175" s="70">
        <v>0</v>
      </c>
      <c r="F175" s="71">
        <v>0</v>
      </c>
      <c r="G175" s="69">
        <v>0</v>
      </c>
      <c r="H175" s="71">
        <v>0</v>
      </c>
      <c r="I175" s="71">
        <f t="shared" si="2"/>
        <v>0</v>
      </c>
    </row>
    <row r="176" spans="1:9" x14ac:dyDescent="0.25">
      <c r="A176" s="26">
        <v>3550355</v>
      </c>
      <c r="B176" s="26" t="s">
        <v>460</v>
      </c>
      <c r="C176" s="26" t="s">
        <v>314</v>
      </c>
      <c r="D176" s="66">
        <v>0</v>
      </c>
      <c r="E176" s="70">
        <v>0</v>
      </c>
      <c r="F176" s="71">
        <v>0</v>
      </c>
      <c r="G176" s="69">
        <v>0</v>
      </c>
      <c r="H176" s="71">
        <v>0</v>
      </c>
      <c r="I176" s="71">
        <f t="shared" si="2"/>
        <v>0</v>
      </c>
    </row>
    <row r="177" spans="1:9" x14ac:dyDescent="0.25">
      <c r="A177" s="26">
        <v>3560036</v>
      </c>
      <c r="B177" s="26" t="s">
        <v>462</v>
      </c>
      <c r="C177" s="26" t="s">
        <v>464</v>
      </c>
      <c r="D177" s="66">
        <v>0</v>
      </c>
      <c r="E177" s="70">
        <v>0</v>
      </c>
      <c r="F177" s="71">
        <v>0</v>
      </c>
      <c r="G177" s="69">
        <v>0</v>
      </c>
      <c r="H177" s="71">
        <v>0</v>
      </c>
      <c r="I177" s="71">
        <f t="shared" si="2"/>
        <v>0</v>
      </c>
    </row>
    <row r="178" spans="1:9" x14ac:dyDescent="0.25">
      <c r="A178" s="26">
        <v>3560051</v>
      </c>
      <c r="B178" s="26" t="s">
        <v>466</v>
      </c>
      <c r="C178" s="26" t="s">
        <v>464</v>
      </c>
      <c r="D178" s="66">
        <v>0</v>
      </c>
      <c r="E178" s="70">
        <v>0</v>
      </c>
      <c r="F178" s="71">
        <v>0</v>
      </c>
      <c r="G178" s="69">
        <v>0</v>
      </c>
      <c r="H178" s="71">
        <v>0</v>
      </c>
      <c r="I178" s="71">
        <f t="shared" si="2"/>
        <v>0</v>
      </c>
    </row>
    <row r="179" spans="1:9" x14ac:dyDescent="0.25">
      <c r="A179" s="26">
        <v>3560060</v>
      </c>
      <c r="B179" s="26" t="s">
        <v>468</v>
      </c>
      <c r="C179" s="26" t="s">
        <v>46</v>
      </c>
      <c r="D179" s="66">
        <v>0</v>
      </c>
      <c r="E179" s="70">
        <v>0</v>
      </c>
      <c r="F179" s="71">
        <v>0</v>
      </c>
      <c r="G179" s="69">
        <v>0</v>
      </c>
      <c r="H179" s="71">
        <v>0</v>
      </c>
      <c r="I179" s="71">
        <f t="shared" si="2"/>
        <v>0</v>
      </c>
    </row>
    <row r="180" spans="1:9" x14ac:dyDescent="0.25">
      <c r="A180" s="26">
        <v>35602721</v>
      </c>
      <c r="B180" s="26" t="s">
        <v>470</v>
      </c>
      <c r="C180" s="26" t="s">
        <v>471</v>
      </c>
      <c r="D180" s="66">
        <v>0</v>
      </c>
      <c r="E180" s="70">
        <v>0</v>
      </c>
      <c r="F180" s="71">
        <v>0</v>
      </c>
      <c r="G180" s="69">
        <v>0</v>
      </c>
      <c r="H180" s="71">
        <v>0</v>
      </c>
      <c r="I180" s="71">
        <f t="shared" si="2"/>
        <v>0</v>
      </c>
    </row>
    <row r="181" spans="1:9" x14ac:dyDescent="0.25">
      <c r="A181" s="26">
        <v>3560478</v>
      </c>
      <c r="B181" s="26" t="s">
        <v>473</v>
      </c>
      <c r="C181" s="26" t="s">
        <v>474</v>
      </c>
      <c r="D181" s="66">
        <v>0</v>
      </c>
      <c r="E181" s="70">
        <v>0</v>
      </c>
      <c r="F181" s="71">
        <v>0</v>
      </c>
      <c r="G181" s="69">
        <v>0</v>
      </c>
      <c r="H181" s="71">
        <v>0</v>
      </c>
      <c r="I181" s="71">
        <f t="shared" si="2"/>
        <v>0</v>
      </c>
    </row>
    <row r="182" spans="1:9" x14ac:dyDescent="0.25">
      <c r="A182" s="26">
        <v>3560491</v>
      </c>
      <c r="B182" s="26" t="s">
        <v>476</v>
      </c>
      <c r="C182" s="26" t="s">
        <v>458</v>
      </c>
      <c r="D182" s="66">
        <v>0</v>
      </c>
      <c r="E182" s="70">
        <v>0</v>
      </c>
      <c r="F182" s="71">
        <v>0</v>
      </c>
      <c r="G182" s="69">
        <v>0</v>
      </c>
      <c r="H182" s="71">
        <v>0</v>
      </c>
      <c r="I182" s="71">
        <f t="shared" si="2"/>
        <v>0</v>
      </c>
    </row>
    <row r="183" spans="1:9" x14ac:dyDescent="0.25">
      <c r="A183" s="26">
        <v>3560492</v>
      </c>
      <c r="B183" s="26" t="s">
        <v>478</v>
      </c>
      <c r="C183" s="26" t="s">
        <v>479</v>
      </c>
      <c r="D183" s="66">
        <v>0</v>
      </c>
      <c r="E183" s="70">
        <v>0</v>
      </c>
      <c r="F183" s="71">
        <v>0</v>
      </c>
      <c r="G183" s="69">
        <v>0</v>
      </c>
      <c r="H183" s="71">
        <v>0</v>
      </c>
      <c r="I183" s="71">
        <f t="shared" si="2"/>
        <v>0</v>
      </c>
    </row>
    <row r="184" spans="1:9" x14ac:dyDescent="0.25">
      <c r="A184" s="26">
        <v>3560493</v>
      </c>
      <c r="B184" s="26" t="s">
        <v>470</v>
      </c>
      <c r="C184" s="26" t="s">
        <v>464</v>
      </c>
      <c r="D184" s="66">
        <v>0</v>
      </c>
      <c r="E184" s="70">
        <v>0</v>
      </c>
      <c r="F184" s="71">
        <v>0</v>
      </c>
      <c r="G184" s="69">
        <v>0</v>
      </c>
      <c r="H184" s="71">
        <v>0</v>
      </c>
      <c r="I184" s="71">
        <f t="shared" si="2"/>
        <v>0</v>
      </c>
    </row>
    <row r="185" spans="1:9" x14ac:dyDescent="0.25">
      <c r="A185" s="26">
        <v>3560505</v>
      </c>
      <c r="B185" s="26" t="s">
        <v>478</v>
      </c>
      <c r="C185" s="26" t="s">
        <v>464</v>
      </c>
      <c r="D185" s="66">
        <v>0</v>
      </c>
      <c r="E185" s="70">
        <v>0</v>
      </c>
      <c r="F185" s="71">
        <v>0</v>
      </c>
      <c r="G185" s="69">
        <v>0</v>
      </c>
      <c r="H185" s="71">
        <v>0</v>
      </c>
      <c r="I185" s="71">
        <f t="shared" si="2"/>
        <v>0</v>
      </c>
    </row>
    <row r="186" spans="1:9" x14ac:dyDescent="0.25">
      <c r="A186" s="26">
        <v>3560555</v>
      </c>
      <c r="B186" s="26" t="s">
        <v>483</v>
      </c>
      <c r="C186" s="26" t="s">
        <v>479</v>
      </c>
      <c r="D186" s="66">
        <v>0</v>
      </c>
      <c r="E186" s="70">
        <v>0</v>
      </c>
      <c r="F186" s="71">
        <v>0</v>
      </c>
      <c r="G186" s="69">
        <v>0</v>
      </c>
      <c r="H186" s="71">
        <v>0</v>
      </c>
      <c r="I186" s="71">
        <f t="shared" si="2"/>
        <v>0</v>
      </c>
    </row>
    <row r="187" spans="1:9" x14ac:dyDescent="0.25">
      <c r="A187" s="26">
        <v>3560599</v>
      </c>
      <c r="B187" s="26" t="s">
        <v>485</v>
      </c>
      <c r="C187" s="26" t="s">
        <v>46</v>
      </c>
      <c r="D187" s="66">
        <v>0</v>
      </c>
      <c r="E187" s="70">
        <v>0</v>
      </c>
      <c r="F187" s="71">
        <v>0</v>
      </c>
      <c r="G187" s="69">
        <v>0</v>
      </c>
      <c r="H187" s="71">
        <v>0</v>
      </c>
      <c r="I187" s="71">
        <f t="shared" si="2"/>
        <v>0</v>
      </c>
    </row>
    <row r="188" spans="1:9" x14ac:dyDescent="0.25">
      <c r="A188" s="26">
        <v>3560674</v>
      </c>
      <c r="B188" s="26" t="s">
        <v>468</v>
      </c>
      <c r="C188" s="26" t="s">
        <v>474</v>
      </c>
      <c r="D188" s="66">
        <v>0</v>
      </c>
      <c r="E188" s="70">
        <v>0</v>
      </c>
      <c r="F188" s="71">
        <v>0</v>
      </c>
      <c r="G188" s="69">
        <v>0</v>
      </c>
      <c r="H188" s="71">
        <v>0</v>
      </c>
      <c r="I188" s="71">
        <f t="shared" si="2"/>
        <v>0</v>
      </c>
    </row>
    <row r="189" spans="1:9" x14ac:dyDescent="0.25">
      <c r="A189" s="26">
        <v>3570010</v>
      </c>
      <c r="B189" s="26" t="s">
        <v>488</v>
      </c>
      <c r="C189" s="26" t="s">
        <v>490</v>
      </c>
      <c r="D189" s="66">
        <v>0</v>
      </c>
      <c r="E189" s="70">
        <v>0</v>
      </c>
      <c r="F189" s="71">
        <v>0</v>
      </c>
      <c r="G189" s="69">
        <v>0</v>
      </c>
      <c r="H189" s="71">
        <v>0</v>
      </c>
      <c r="I189" s="71">
        <f t="shared" si="2"/>
        <v>0</v>
      </c>
    </row>
    <row r="190" spans="1:9" x14ac:dyDescent="0.25">
      <c r="A190" s="26">
        <v>3570020</v>
      </c>
      <c r="B190" s="26" t="s">
        <v>492</v>
      </c>
      <c r="C190" s="26" t="s">
        <v>493</v>
      </c>
      <c r="D190" s="66">
        <v>0</v>
      </c>
      <c r="E190" s="70">
        <v>0</v>
      </c>
      <c r="F190" s="71">
        <v>0</v>
      </c>
      <c r="G190" s="69">
        <v>0</v>
      </c>
      <c r="H190" s="71">
        <v>0</v>
      </c>
      <c r="I190" s="71">
        <f t="shared" si="2"/>
        <v>0</v>
      </c>
    </row>
    <row r="191" spans="1:9" x14ac:dyDescent="0.25">
      <c r="A191" s="26">
        <v>3570035</v>
      </c>
      <c r="B191" s="26" t="s">
        <v>495</v>
      </c>
      <c r="C191" s="26" t="s">
        <v>194</v>
      </c>
      <c r="D191" s="66">
        <v>0</v>
      </c>
      <c r="E191" s="70">
        <v>0</v>
      </c>
      <c r="F191" s="71">
        <v>0</v>
      </c>
      <c r="G191" s="69">
        <v>0</v>
      </c>
      <c r="H191" s="71">
        <v>0</v>
      </c>
      <c r="I191" s="71">
        <f t="shared" si="2"/>
        <v>0</v>
      </c>
    </row>
    <row r="192" spans="1:9" x14ac:dyDescent="0.25">
      <c r="A192" s="26">
        <v>3570050</v>
      </c>
      <c r="B192" s="26" t="s">
        <v>497</v>
      </c>
      <c r="C192" s="26" t="s">
        <v>490</v>
      </c>
      <c r="D192" s="66">
        <v>0</v>
      </c>
      <c r="E192" s="70">
        <v>0</v>
      </c>
      <c r="F192" s="71">
        <v>0</v>
      </c>
      <c r="G192" s="69">
        <v>0</v>
      </c>
      <c r="H192" s="71">
        <v>0</v>
      </c>
      <c r="I192" s="71">
        <f t="shared" si="2"/>
        <v>0</v>
      </c>
    </row>
    <row r="193" spans="1:9" x14ac:dyDescent="0.25">
      <c r="A193" s="26">
        <v>3570070</v>
      </c>
      <c r="B193" s="26" t="s">
        <v>499</v>
      </c>
      <c r="C193" s="26" t="s">
        <v>194</v>
      </c>
      <c r="D193" s="66">
        <v>0</v>
      </c>
      <c r="E193" s="70">
        <v>0</v>
      </c>
      <c r="F193" s="71">
        <v>0</v>
      </c>
      <c r="G193" s="69">
        <v>0</v>
      </c>
      <c r="H193" s="71">
        <v>0</v>
      </c>
      <c r="I193" s="71">
        <f t="shared" si="2"/>
        <v>0</v>
      </c>
    </row>
    <row r="194" spans="1:9" x14ac:dyDescent="0.25">
      <c r="A194" s="26">
        <v>3570103</v>
      </c>
      <c r="B194" s="26" t="s">
        <v>501</v>
      </c>
      <c r="C194" s="26" t="s">
        <v>314</v>
      </c>
      <c r="D194" s="66">
        <v>0</v>
      </c>
      <c r="E194" s="70">
        <v>0</v>
      </c>
      <c r="F194" s="71">
        <v>0</v>
      </c>
      <c r="G194" s="69">
        <v>0</v>
      </c>
      <c r="H194" s="71">
        <v>0</v>
      </c>
      <c r="I194" s="71">
        <f t="shared" si="2"/>
        <v>0</v>
      </c>
    </row>
    <row r="195" spans="1:9" x14ac:dyDescent="0.25">
      <c r="A195" s="26">
        <v>3570106</v>
      </c>
      <c r="B195" s="26" t="s">
        <v>501</v>
      </c>
      <c r="C195" s="26" t="s">
        <v>415</v>
      </c>
      <c r="D195" s="66">
        <v>0</v>
      </c>
      <c r="E195" s="70">
        <v>0</v>
      </c>
      <c r="F195" s="71">
        <v>0</v>
      </c>
      <c r="G195" s="69">
        <v>0</v>
      </c>
      <c r="H195" s="71">
        <v>0</v>
      </c>
      <c r="I195" s="71">
        <f t="shared" si="2"/>
        <v>0</v>
      </c>
    </row>
    <row r="196" spans="1:9" x14ac:dyDescent="0.25">
      <c r="A196" s="26">
        <v>35701060</v>
      </c>
      <c r="B196" s="26" t="s">
        <v>504</v>
      </c>
      <c r="C196" s="26" t="s">
        <v>505</v>
      </c>
      <c r="D196" s="66">
        <v>0</v>
      </c>
      <c r="E196" s="70">
        <v>0</v>
      </c>
      <c r="F196" s="71">
        <v>0</v>
      </c>
      <c r="G196" s="69">
        <v>0</v>
      </c>
      <c r="H196" s="71">
        <v>0</v>
      </c>
      <c r="I196" s="71">
        <f t="shared" si="2"/>
        <v>0</v>
      </c>
    </row>
    <row r="197" spans="1:9" x14ac:dyDescent="0.25">
      <c r="A197" s="26">
        <v>35701918</v>
      </c>
      <c r="B197" s="26" t="s">
        <v>499</v>
      </c>
      <c r="C197" s="26" t="s">
        <v>507</v>
      </c>
      <c r="D197" s="66">
        <v>0</v>
      </c>
      <c r="E197" s="70">
        <v>0</v>
      </c>
      <c r="F197" s="71">
        <v>0</v>
      </c>
      <c r="G197" s="69">
        <v>0</v>
      </c>
      <c r="H197" s="71">
        <v>0</v>
      </c>
      <c r="I197" s="71">
        <f t="shared" ref="I197:I260" si="3">IF(ISNUMBER(H197),F197-H197,"")</f>
        <v>0</v>
      </c>
    </row>
    <row r="198" spans="1:9" x14ac:dyDescent="0.25">
      <c r="A198" s="26">
        <v>35702285</v>
      </c>
      <c r="B198" s="26" t="s">
        <v>509</v>
      </c>
      <c r="C198" s="26" t="s">
        <v>510</v>
      </c>
      <c r="D198" s="66">
        <v>0</v>
      </c>
      <c r="E198" s="70">
        <v>0</v>
      </c>
      <c r="F198" s="71">
        <v>0</v>
      </c>
      <c r="G198" s="69">
        <v>0</v>
      </c>
      <c r="H198" s="71">
        <v>0</v>
      </c>
      <c r="I198" s="71">
        <f t="shared" si="3"/>
        <v>0</v>
      </c>
    </row>
    <row r="199" spans="1:9" x14ac:dyDescent="0.25">
      <c r="A199" s="26">
        <v>3570289</v>
      </c>
      <c r="B199" s="26" t="s">
        <v>492</v>
      </c>
      <c r="C199" s="26" t="s">
        <v>512</v>
      </c>
      <c r="D199" s="66">
        <v>0</v>
      </c>
      <c r="E199" s="70">
        <v>0</v>
      </c>
      <c r="F199" s="71">
        <v>0</v>
      </c>
      <c r="G199" s="69">
        <v>0</v>
      </c>
      <c r="H199" s="71">
        <v>0</v>
      </c>
      <c r="I199" s="71">
        <f t="shared" si="3"/>
        <v>0</v>
      </c>
    </row>
    <row r="200" spans="1:9" x14ac:dyDescent="0.25">
      <c r="A200" s="26">
        <v>3570305</v>
      </c>
      <c r="B200" s="26" t="s">
        <v>488</v>
      </c>
      <c r="C200" s="26" t="s">
        <v>514</v>
      </c>
      <c r="D200" s="66">
        <v>0</v>
      </c>
      <c r="E200" s="70">
        <v>0</v>
      </c>
      <c r="F200" s="71">
        <v>0</v>
      </c>
      <c r="G200" s="69">
        <v>0</v>
      </c>
      <c r="H200" s="71">
        <v>0</v>
      </c>
      <c r="I200" s="71">
        <f t="shared" si="3"/>
        <v>0</v>
      </c>
    </row>
    <row r="201" spans="1:9" x14ac:dyDescent="0.25">
      <c r="A201" s="26">
        <v>3570308</v>
      </c>
      <c r="B201" s="26" t="s">
        <v>497</v>
      </c>
      <c r="C201" s="26" t="s">
        <v>514</v>
      </c>
      <c r="D201" s="66">
        <v>0</v>
      </c>
      <c r="E201" s="70">
        <v>0</v>
      </c>
      <c r="F201" s="71">
        <v>0</v>
      </c>
      <c r="G201" s="69">
        <v>0</v>
      </c>
      <c r="H201" s="71">
        <v>0</v>
      </c>
      <c r="I201" s="71">
        <f t="shared" si="3"/>
        <v>0</v>
      </c>
    </row>
    <row r="202" spans="1:9" x14ac:dyDescent="0.25">
      <c r="A202" s="26">
        <v>3570324</v>
      </c>
      <c r="B202" s="26" t="s">
        <v>517</v>
      </c>
      <c r="C202" s="26" t="s">
        <v>518</v>
      </c>
      <c r="D202" s="66">
        <v>0</v>
      </c>
      <c r="E202" s="70">
        <v>0</v>
      </c>
      <c r="F202" s="71">
        <v>0</v>
      </c>
      <c r="G202" s="69">
        <v>0</v>
      </c>
      <c r="H202" s="71">
        <v>0</v>
      </c>
      <c r="I202" s="71">
        <f t="shared" si="3"/>
        <v>0</v>
      </c>
    </row>
    <row r="203" spans="1:9" x14ac:dyDescent="0.25">
      <c r="A203" s="26">
        <v>3570343</v>
      </c>
      <c r="B203" s="26" t="s">
        <v>492</v>
      </c>
      <c r="C203" s="26" t="s">
        <v>520</v>
      </c>
      <c r="D203" s="66">
        <v>0</v>
      </c>
      <c r="E203" s="70">
        <v>0</v>
      </c>
      <c r="F203" s="71">
        <v>0</v>
      </c>
      <c r="G203" s="69">
        <v>0</v>
      </c>
      <c r="H203" s="71">
        <v>0</v>
      </c>
      <c r="I203" s="71">
        <f t="shared" si="3"/>
        <v>0</v>
      </c>
    </row>
    <row r="204" spans="1:9" x14ac:dyDescent="0.25">
      <c r="A204" s="26">
        <v>3570593</v>
      </c>
      <c r="B204" s="26" t="s">
        <v>509</v>
      </c>
      <c r="C204" s="26" t="s">
        <v>194</v>
      </c>
      <c r="D204" s="66">
        <v>0</v>
      </c>
      <c r="E204" s="70">
        <v>0</v>
      </c>
      <c r="F204" s="71">
        <v>0</v>
      </c>
      <c r="G204" s="69">
        <v>0</v>
      </c>
      <c r="H204" s="71">
        <v>0</v>
      </c>
      <c r="I204" s="71">
        <f t="shared" si="3"/>
        <v>0</v>
      </c>
    </row>
    <row r="205" spans="1:9" x14ac:dyDescent="0.25">
      <c r="A205" s="26">
        <v>4010010</v>
      </c>
      <c r="B205" s="26" t="s">
        <v>523</v>
      </c>
      <c r="C205" s="26" t="s">
        <v>525</v>
      </c>
      <c r="D205" s="66">
        <v>0</v>
      </c>
      <c r="E205" s="70">
        <v>0</v>
      </c>
      <c r="F205" s="71">
        <v>0</v>
      </c>
      <c r="G205" s="69">
        <v>0</v>
      </c>
      <c r="H205" s="71">
        <v>0</v>
      </c>
      <c r="I205" s="71">
        <f t="shared" si="3"/>
        <v>0</v>
      </c>
    </row>
    <row r="206" spans="1:9" x14ac:dyDescent="0.25">
      <c r="A206" s="26">
        <v>4010208</v>
      </c>
      <c r="B206" s="26" t="s">
        <v>527</v>
      </c>
      <c r="C206" s="26" t="s">
        <v>190</v>
      </c>
      <c r="D206" s="66">
        <v>0</v>
      </c>
      <c r="E206" s="70">
        <v>0</v>
      </c>
      <c r="F206" s="71">
        <v>0</v>
      </c>
      <c r="G206" s="69">
        <v>0</v>
      </c>
      <c r="H206" s="71">
        <v>0</v>
      </c>
      <c r="I206" s="71">
        <f t="shared" si="3"/>
        <v>0</v>
      </c>
    </row>
    <row r="207" spans="1:9" x14ac:dyDescent="0.25">
      <c r="A207" s="26">
        <v>4020050</v>
      </c>
      <c r="B207" s="26" t="s">
        <v>529</v>
      </c>
      <c r="C207" s="26" t="s">
        <v>531</v>
      </c>
      <c r="D207" s="66">
        <v>0</v>
      </c>
      <c r="E207" s="70">
        <v>0</v>
      </c>
      <c r="F207" s="71">
        <v>0</v>
      </c>
      <c r="G207" s="69">
        <v>0</v>
      </c>
      <c r="H207" s="71">
        <v>0</v>
      </c>
      <c r="I207" s="71">
        <f t="shared" si="3"/>
        <v>0</v>
      </c>
    </row>
    <row r="208" spans="1:9" x14ac:dyDescent="0.25">
      <c r="A208" s="26">
        <v>4030010</v>
      </c>
      <c r="B208" s="26" t="s">
        <v>533</v>
      </c>
      <c r="C208" s="26" t="s">
        <v>531</v>
      </c>
      <c r="D208" s="66">
        <v>0</v>
      </c>
      <c r="E208" s="70">
        <v>0</v>
      </c>
      <c r="F208" s="71">
        <v>0</v>
      </c>
      <c r="G208" s="69">
        <v>0</v>
      </c>
      <c r="H208" s="71">
        <v>0</v>
      </c>
      <c r="I208" s="71">
        <f t="shared" si="3"/>
        <v>0</v>
      </c>
    </row>
    <row r="209" spans="1:9" x14ac:dyDescent="0.25">
      <c r="A209" s="26">
        <v>4030020</v>
      </c>
      <c r="B209" s="26" t="s">
        <v>536</v>
      </c>
      <c r="C209" s="26" t="s">
        <v>531</v>
      </c>
      <c r="D209" s="66">
        <v>0</v>
      </c>
      <c r="E209" s="70">
        <v>0</v>
      </c>
      <c r="F209" s="71">
        <v>0</v>
      </c>
      <c r="G209" s="69">
        <v>0</v>
      </c>
      <c r="H209" s="71">
        <v>0</v>
      </c>
      <c r="I209" s="71">
        <f t="shared" si="3"/>
        <v>0</v>
      </c>
    </row>
    <row r="210" spans="1:9" x14ac:dyDescent="0.25">
      <c r="A210" s="26">
        <v>4030025</v>
      </c>
      <c r="B210" s="26" t="s">
        <v>538</v>
      </c>
      <c r="C210" s="26" t="s">
        <v>531</v>
      </c>
      <c r="D210" s="66">
        <v>0</v>
      </c>
      <c r="E210" s="70">
        <v>0</v>
      </c>
      <c r="F210" s="71">
        <v>0</v>
      </c>
      <c r="G210" s="69">
        <v>0</v>
      </c>
      <c r="H210" s="71">
        <v>0</v>
      </c>
      <c r="I210" s="71">
        <f t="shared" si="3"/>
        <v>0</v>
      </c>
    </row>
    <row r="211" spans="1:9" x14ac:dyDescent="0.25">
      <c r="A211" s="26">
        <v>4040010</v>
      </c>
      <c r="B211" s="26" t="s">
        <v>540</v>
      </c>
      <c r="C211" s="26" t="s">
        <v>542</v>
      </c>
      <c r="D211" s="66">
        <v>0</v>
      </c>
      <c r="E211" s="70">
        <v>0</v>
      </c>
      <c r="F211" s="71">
        <v>0</v>
      </c>
      <c r="G211" s="69">
        <v>0</v>
      </c>
      <c r="H211" s="71">
        <v>0</v>
      </c>
      <c r="I211" s="71">
        <f t="shared" si="3"/>
        <v>0</v>
      </c>
    </row>
    <row r="212" spans="1:9" x14ac:dyDescent="0.25">
      <c r="A212" s="26">
        <v>4040030</v>
      </c>
      <c r="B212" s="26" t="s">
        <v>544</v>
      </c>
      <c r="C212" s="26" t="s">
        <v>542</v>
      </c>
      <c r="D212" s="66">
        <v>0</v>
      </c>
      <c r="E212" s="70">
        <v>0</v>
      </c>
      <c r="F212" s="71">
        <v>0</v>
      </c>
      <c r="G212" s="69">
        <v>0</v>
      </c>
      <c r="H212" s="71">
        <v>0</v>
      </c>
      <c r="I212" s="71">
        <f t="shared" si="3"/>
        <v>0</v>
      </c>
    </row>
    <row r="213" spans="1:9" x14ac:dyDescent="0.25">
      <c r="A213" s="26">
        <v>4050100</v>
      </c>
      <c r="B213" s="26" t="s">
        <v>546</v>
      </c>
      <c r="C213" s="26" t="s">
        <v>35</v>
      </c>
      <c r="D213" s="66">
        <v>0</v>
      </c>
      <c r="E213" s="70">
        <v>0</v>
      </c>
      <c r="F213" s="71">
        <v>0</v>
      </c>
      <c r="G213" s="69">
        <v>0</v>
      </c>
      <c r="H213" s="71">
        <v>0</v>
      </c>
      <c r="I213" s="71">
        <f t="shared" si="3"/>
        <v>0</v>
      </c>
    </row>
    <row r="214" spans="1:9" x14ac:dyDescent="0.25">
      <c r="A214" s="26">
        <v>4050150</v>
      </c>
      <c r="B214" s="26" t="s">
        <v>549</v>
      </c>
      <c r="C214" s="26" t="s">
        <v>35</v>
      </c>
      <c r="D214" s="66">
        <v>0</v>
      </c>
      <c r="E214" s="70">
        <v>0</v>
      </c>
      <c r="F214" s="71">
        <v>0</v>
      </c>
      <c r="G214" s="69">
        <v>0</v>
      </c>
      <c r="H214" s="71">
        <v>0</v>
      </c>
      <c r="I214" s="71">
        <f t="shared" si="3"/>
        <v>0</v>
      </c>
    </row>
    <row r="215" spans="1:9" x14ac:dyDescent="0.25">
      <c r="A215" s="26">
        <v>4050180</v>
      </c>
      <c r="B215" s="26" t="s">
        <v>551</v>
      </c>
      <c r="C215" s="26" t="s">
        <v>35</v>
      </c>
      <c r="D215" s="66">
        <v>0</v>
      </c>
      <c r="E215" s="70">
        <v>0</v>
      </c>
      <c r="F215" s="71">
        <v>0</v>
      </c>
      <c r="G215" s="69">
        <v>0</v>
      </c>
      <c r="H215" s="71">
        <v>0</v>
      </c>
      <c r="I215" s="71">
        <f t="shared" si="3"/>
        <v>0</v>
      </c>
    </row>
    <row r="216" spans="1:9" x14ac:dyDescent="0.25">
      <c r="A216" s="26">
        <v>4050230</v>
      </c>
      <c r="B216" s="26" t="s">
        <v>553</v>
      </c>
      <c r="C216" s="26" t="s">
        <v>35</v>
      </c>
      <c r="D216" s="66">
        <v>0</v>
      </c>
      <c r="E216" s="70">
        <v>0</v>
      </c>
      <c r="F216" s="71">
        <v>0</v>
      </c>
      <c r="G216" s="69">
        <v>0</v>
      </c>
      <c r="H216" s="71">
        <v>0</v>
      </c>
      <c r="I216" s="71">
        <f t="shared" si="3"/>
        <v>0</v>
      </c>
    </row>
    <row r="217" spans="1:9" x14ac:dyDescent="0.25">
      <c r="A217" s="26">
        <v>4050470</v>
      </c>
      <c r="B217" s="26" t="s">
        <v>60</v>
      </c>
      <c r="C217" s="26" t="s">
        <v>61</v>
      </c>
      <c r="D217" s="66">
        <v>0</v>
      </c>
      <c r="E217" s="70">
        <v>0</v>
      </c>
      <c r="F217" s="71">
        <v>0</v>
      </c>
      <c r="G217" s="69">
        <v>0</v>
      </c>
      <c r="H217" s="71">
        <v>0</v>
      </c>
      <c r="I217" s="71">
        <f t="shared" si="3"/>
        <v>0</v>
      </c>
    </row>
    <row r="218" spans="1:9" x14ac:dyDescent="0.25">
      <c r="A218" s="26">
        <v>4050827</v>
      </c>
      <c r="B218" s="26" t="s">
        <v>555</v>
      </c>
      <c r="C218" s="26" t="s">
        <v>464</v>
      </c>
      <c r="D218" s="66">
        <v>0</v>
      </c>
      <c r="E218" s="70">
        <v>0</v>
      </c>
      <c r="F218" s="71">
        <v>0</v>
      </c>
      <c r="G218" s="69">
        <v>0</v>
      </c>
      <c r="H218" s="71">
        <v>0</v>
      </c>
      <c r="I218" s="71">
        <f t="shared" si="3"/>
        <v>0</v>
      </c>
    </row>
    <row r="219" spans="1:9" x14ac:dyDescent="0.25">
      <c r="A219" s="26">
        <v>4050848</v>
      </c>
      <c r="B219" s="26" t="s">
        <v>553</v>
      </c>
      <c r="C219" s="26" t="s">
        <v>61</v>
      </c>
      <c r="D219" s="66">
        <v>0</v>
      </c>
      <c r="E219" s="70">
        <v>0</v>
      </c>
      <c r="F219" s="71">
        <v>0</v>
      </c>
      <c r="G219" s="69">
        <v>0</v>
      </c>
      <c r="H219" s="71">
        <v>0</v>
      </c>
      <c r="I219" s="71">
        <f t="shared" si="3"/>
        <v>0</v>
      </c>
    </row>
    <row r="220" spans="1:9" x14ac:dyDescent="0.25">
      <c r="A220" s="26">
        <v>4060030</v>
      </c>
      <c r="B220" s="26" t="s">
        <v>558</v>
      </c>
      <c r="C220" s="26" t="s">
        <v>531</v>
      </c>
      <c r="D220" s="66">
        <v>0</v>
      </c>
      <c r="E220" s="70">
        <v>0</v>
      </c>
      <c r="F220" s="71">
        <v>0</v>
      </c>
      <c r="G220" s="69">
        <v>0</v>
      </c>
      <c r="H220" s="71">
        <v>0</v>
      </c>
      <c r="I220" s="71">
        <f t="shared" si="3"/>
        <v>0</v>
      </c>
    </row>
    <row r="221" spans="1:9" x14ac:dyDescent="0.25">
      <c r="A221" s="26">
        <v>4060040</v>
      </c>
      <c r="B221" s="26" t="s">
        <v>561</v>
      </c>
      <c r="C221" s="26" t="s">
        <v>531</v>
      </c>
      <c r="D221" s="66">
        <v>0</v>
      </c>
      <c r="E221" s="70">
        <v>0</v>
      </c>
      <c r="F221" s="71">
        <v>0</v>
      </c>
      <c r="G221" s="69">
        <v>0</v>
      </c>
      <c r="H221" s="71">
        <v>0</v>
      </c>
      <c r="I221" s="71">
        <f t="shared" si="3"/>
        <v>0</v>
      </c>
    </row>
    <row r="222" spans="1:9" x14ac:dyDescent="0.25">
      <c r="A222" s="26">
        <v>4060050</v>
      </c>
      <c r="B222" s="26" t="s">
        <v>563</v>
      </c>
      <c r="C222" s="26" t="s">
        <v>531</v>
      </c>
      <c r="D222" s="66">
        <v>0</v>
      </c>
      <c r="E222" s="70">
        <v>0</v>
      </c>
      <c r="F222" s="71">
        <v>0</v>
      </c>
      <c r="G222" s="69">
        <v>0</v>
      </c>
      <c r="H222" s="71">
        <v>0</v>
      </c>
      <c r="I222" s="71">
        <f t="shared" si="3"/>
        <v>0</v>
      </c>
    </row>
    <row r="223" spans="1:9" x14ac:dyDescent="0.25">
      <c r="A223" s="26">
        <v>40601941</v>
      </c>
      <c r="B223" s="26" t="s">
        <v>558</v>
      </c>
      <c r="C223" s="26" t="s">
        <v>565</v>
      </c>
      <c r="D223" s="66">
        <v>0</v>
      </c>
      <c r="E223" s="70">
        <v>0</v>
      </c>
      <c r="F223" s="71">
        <v>0</v>
      </c>
      <c r="G223" s="69">
        <v>0</v>
      </c>
      <c r="H223" s="71">
        <v>0</v>
      </c>
      <c r="I223" s="71">
        <f t="shared" si="3"/>
        <v>0</v>
      </c>
    </row>
    <row r="224" spans="1:9" x14ac:dyDescent="0.25">
      <c r="A224" s="26">
        <v>40701322</v>
      </c>
      <c r="B224" s="26" t="s">
        <v>567</v>
      </c>
      <c r="C224" s="26" t="s">
        <v>569</v>
      </c>
      <c r="D224" s="66">
        <v>0</v>
      </c>
      <c r="E224" s="70">
        <v>0</v>
      </c>
      <c r="F224" s="71">
        <v>0</v>
      </c>
      <c r="G224" s="69">
        <v>0</v>
      </c>
      <c r="H224" s="71">
        <v>0</v>
      </c>
      <c r="I224" s="71">
        <f t="shared" si="3"/>
        <v>0</v>
      </c>
    </row>
    <row r="225" spans="1:9" x14ac:dyDescent="0.25">
      <c r="A225" s="26">
        <v>40702200</v>
      </c>
      <c r="B225" s="26" t="s">
        <v>571</v>
      </c>
      <c r="C225" s="26" t="s">
        <v>572</v>
      </c>
      <c r="D225" s="66">
        <v>0</v>
      </c>
      <c r="E225" s="70">
        <v>0</v>
      </c>
      <c r="F225" s="71">
        <v>0</v>
      </c>
      <c r="G225" s="69">
        <v>0</v>
      </c>
      <c r="H225" s="71">
        <v>0</v>
      </c>
      <c r="I225" s="71">
        <f t="shared" si="3"/>
        <v>0</v>
      </c>
    </row>
    <row r="226" spans="1:9" x14ac:dyDescent="0.25">
      <c r="A226" s="26">
        <v>4080030</v>
      </c>
      <c r="B226" s="26" t="s">
        <v>574</v>
      </c>
      <c r="C226" s="26" t="s">
        <v>58</v>
      </c>
      <c r="D226" s="66">
        <v>0</v>
      </c>
      <c r="E226" s="70">
        <v>0</v>
      </c>
      <c r="F226" s="71">
        <v>0</v>
      </c>
      <c r="G226" s="69">
        <v>0</v>
      </c>
      <c r="H226" s="71">
        <v>0</v>
      </c>
      <c r="I226" s="71">
        <f t="shared" si="3"/>
        <v>0</v>
      </c>
    </row>
    <row r="227" spans="1:9" x14ac:dyDescent="0.25">
      <c r="A227" s="26">
        <v>4080040</v>
      </c>
      <c r="B227" s="26" t="s">
        <v>577</v>
      </c>
      <c r="C227" s="26" t="s">
        <v>58</v>
      </c>
      <c r="D227" s="66">
        <v>0</v>
      </c>
      <c r="E227" s="70">
        <v>0</v>
      </c>
      <c r="F227" s="71">
        <v>0</v>
      </c>
      <c r="G227" s="69">
        <v>0</v>
      </c>
      <c r="H227" s="71">
        <v>0</v>
      </c>
      <c r="I227" s="71">
        <f t="shared" si="3"/>
        <v>0</v>
      </c>
    </row>
    <row r="228" spans="1:9" x14ac:dyDescent="0.25">
      <c r="A228" s="26">
        <v>4080117</v>
      </c>
      <c r="B228" s="26" t="s">
        <v>544</v>
      </c>
      <c r="C228" s="26" t="s">
        <v>579</v>
      </c>
      <c r="D228" s="66">
        <v>0</v>
      </c>
      <c r="E228" s="70">
        <v>0</v>
      </c>
      <c r="F228" s="71">
        <v>0</v>
      </c>
      <c r="G228" s="69">
        <v>0</v>
      </c>
      <c r="H228" s="71">
        <v>0</v>
      </c>
      <c r="I228" s="71">
        <f t="shared" si="3"/>
        <v>0</v>
      </c>
    </row>
    <row r="229" spans="1:9" x14ac:dyDescent="0.25">
      <c r="A229" s="26">
        <v>4080121</v>
      </c>
      <c r="B229" s="26" t="s">
        <v>540</v>
      </c>
      <c r="C229" s="26" t="s">
        <v>579</v>
      </c>
      <c r="D229" s="66">
        <v>0</v>
      </c>
      <c r="E229" s="70">
        <v>0</v>
      </c>
      <c r="F229" s="71">
        <v>0</v>
      </c>
      <c r="G229" s="69">
        <v>0</v>
      </c>
      <c r="H229" s="71">
        <v>0</v>
      </c>
      <c r="I229" s="71">
        <f t="shared" si="3"/>
        <v>0</v>
      </c>
    </row>
    <row r="230" spans="1:9" x14ac:dyDescent="0.25">
      <c r="A230" s="26">
        <v>4090010</v>
      </c>
      <c r="B230" s="26" t="s">
        <v>582</v>
      </c>
      <c r="C230" s="26" t="s">
        <v>531</v>
      </c>
      <c r="D230" s="66">
        <v>0</v>
      </c>
      <c r="E230" s="70">
        <v>0</v>
      </c>
      <c r="F230" s="71">
        <v>0</v>
      </c>
      <c r="G230" s="69">
        <v>0</v>
      </c>
      <c r="H230" s="71">
        <v>0</v>
      </c>
      <c r="I230" s="71">
        <f t="shared" si="3"/>
        <v>0</v>
      </c>
    </row>
    <row r="231" spans="1:9" x14ac:dyDescent="0.25">
      <c r="A231" s="26">
        <v>4090040</v>
      </c>
      <c r="B231" s="26" t="s">
        <v>585</v>
      </c>
      <c r="C231" s="26" t="s">
        <v>531</v>
      </c>
      <c r="D231" s="66">
        <v>0</v>
      </c>
      <c r="E231" s="70">
        <v>0</v>
      </c>
      <c r="F231" s="71">
        <v>0</v>
      </c>
      <c r="G231" s="69">
        <v>0</v>
      </c>
      <c r="H231" s="71">
        <v>0</v>
      </c>
      <c r="I231" s="71">
        <f t="shared" si="3"/>
        <v>0</v>
      </c>
    </row>
    <row r="232" spans="1:9" x14ac:dyDescent="0.25">
      <c r="A232" s="26">
        <v>4090080</v>
      </c>
      <c r="B232" s="26" t="s">
        <v>587</v>
      </c>
      <c r="C232" s="26" t="s">
        <v>531</v>
      </c>
      <c r="D232" s="66">
        <v>0</v>
      </c>
      <c r="E232" s="70">
        <v>0</v>
      </c>
      <c r="F232" s="71">
        <v>0</v>
      </c>
      <c r="G232" s="69">
        <v>0</v>
      </c>
      <c r="H232" s="71">
        <v>0</v>
      </c>
      <c r="I232" s="71">
        <f t="shared" si="3"/>
        <v>0</v>
      </c>
    </row>
    <row r="233" spans="1:9" x14ac:dyDescent="0.25">
      <c r="A233" s="26">
        <v>4090138</v>
      </c>
      <c r="B233" s="26" t="s">
        <v>589</v>
      </c>
      <c r="C233" s="26" t="s">
        <v>590</v>
      </c>
      <c r="D233" s="66">
        <v>0</v>
      </c>
      <c r="E233" s="70">
        <v>0</v>
      </c>
      <c r="F233" s="71">
        <v>0</v>
      </c>
      <c r="G233" s="69">
        <v>0</v>
      </c>
      <c r="H233" s="71">
        <v>0</v>
      </c>
      <c r="I233" s="71">
        <f t="shared" si="3"/>
        <v>0</v>
      </c>
    </row>
    <row r="234" spans="1:9" x14ac:dyDescent="0.25">
      <c r="A234" s="26">
        <v>4090234</v>
      </c>
      <c r="B234" s="26" t="s">
        <v>589</v>
      </c>
      <c r="C234" s="26" t="s">
        <v>592</v>
      </c>
      <c r="D234" s="66">
        <v>0</v>
      </c>
      <c r="E234" s="70">
        <v>0</v>
      </c>
      <c r="F234" s="71">
        <v>0</v>
      </c>
      <c r="G234" s="69">
        <v>0</v>
      </c>
      <c r="H234" s="71">
        <v>0</v>
      </c>
      <c r="I234" s="71">
        <f t="shared" si="3"/>
        <v>0</v>
      </c>
    </row>
    <row r="235" spans="1:9" x14ac:dyDescent="0.25">
      <c r="A235" s="26">
        <v>4510050</v>
      </c>
      <c r="B235" s="26" t="s">
        <v>594</v>
      </c>
      <c r="C235" s="26" t="s">
        <v>596</v>
      </c>
      <c r="D235" s="66">
        <v>0</v>
      </c>
      <c r="E235" s="70">
        <v>0</v>
      </c>
      <c r="F235" s="71">
        <v>0</v>
      </c>
      <c r="G235" s="69">
        <v>0</v>
      </c>
      <c r="H235" s="71">
        <v>0</v>
      </c>
      <c r="I235" s="71">
        <f t="shared" si="3"/>
        <v>0</v>
      </c>
    </row>
    <row r="236" spans="1:9" x14ac:dyDescent="0.25">
      <c r="A236" s="26">
        <v>45101665</v>
      </c>
      <c r="B236" s="26" t="s">
        <v>598</v>
      </c>
      <c r="C236" s="26" t="s">
        <v>599</v>
      </c>
      <c r="D236" s="66">
        <v>0</v>
      </c>
      <c r="E236" s="70">
        <v>0</v>
      </c>
      <c r="F236" s="71">
        <v>0</v>
      </c>
      <c r="G236" s="69">
        <v>0</v>
      </c>
      <c r="H236" s="71">
        <v>0</v>
      </c>
      <c r="I236" s="71">
        <f t="shared" si="3"/>
        <v>0</v>
      </c>
    </row>
    <row r="237" spans="1:9" x14ac:dyDescent="0.25">
      <c r="A237" s="26">
        <v>45102410</v>
      </c>
      <c r="B237" s="26" t="s">
        <v>601</v>
      </c>
      <c r="C237" s="26" t="s">
        <v>602</v>
      </c>
      <c r="D237" s="66">
        <v>0</v>
      </c>
      <c r="E237" s="70">
        <v>0</v>
      </c>
      <c r="F237" s="71">
        <v>0</v>
      </c>
      <c r="G237" s="69">
        <v>0</v>
      </c>
      <c r="H237" s="71">
        <v>0</v>
      </c>
      <c r="I237" s="71">
        <f t="shared" si="3"/>
        <v>0</v>
      </c>
    </row>
    <row r="238" spans="1:9" x14ac:dyDescent="0.25">
      <c r="A238" s="26">
        <v>4520010</v>
      </c>
      <c r="B238" s="26" t="s">
        <v>604</v>
      </c>
      <c r="C238" s="26" t="s">
        <v>606</v>
      </c>
      <c r="D238" s="66">
        <v>0</v>
      </c>
      <c r="E238" s="70">
        <v>0</v>
      </c>
      <c r="F238" s="71">
        <v>0</v>
      </c>
      <c r="G238" s="69">
        <v>0</v>
      </c>
      <c r="H238" s="71">
        <v>0</v>
      </c>
      <c r="I238" s="71">
        <f t="shared" si="3"/>
        <v>0</v>
      </c>
    </row>
    <row r="239" spans="1:9" x14ac:dyDescent="0.25">
      <c r="A239" s="26">
        <v>4520030</v>
      </c>
      <c r="B239" s="26" t="s">
        <v>608</v>
      </c>
      <c r="C239" s="26" t="s">
        <v>609</v>
      </c>
      <c r="D239" s="66">
        <v>0</v>
      </c>
      <c r="E239" s="70">
        <v>0</v>
      </c>
      <c r="F239" s="71">
        <v>0</v>
      </c>
      <c r="G239" s="69">
        <v>0</v>
      </c>
      <c r="H239" s="71">
        <v>0</v>
      </c>
      <c r="I239" s="71">
        <f t="shared" si="3"/>
        <v>0</v>
      </c>
    </row>
    <row r="240" spans="1:9" x14ac:dyDescent="0.25">
      <c r="A240" s="26">
        <v>4520042</v>
      </c>
      <c r="B240" s="26" t="s">
        <v>611</v>
      </c>
      <c r="C240" s="26" t="s">
        <v>609</v>
      </c>
      <c r="D240" s="66">
        <v>0</v>
      </c>
      <c r="E240" s="70">
        <v>0</v>
      </c>
      <c r="F240" s="71">
        <v>0</v>
      </c>
      <c r="G240" s="69">
        <v>0</v>
      </c>
      <c r="H240" s="71">
        <v>0</v>
      </c>
      <c r="I240" s="71">
        <f t="shared" si="3"/>
        <v>0</v>
      </c>
    </row>
    <row r="241" spans="1:9" x14ac:dyDescent="0.25">
      <c r="A241" s="26">
        <v>45201079</v>
      </c>
      <c r="B241" s="26" t="s">
        <v>613</v>
      </c>
      <c r="C241" s="26" t="s">
        <v>67</v>
      </c>
      <c r="D241" s="66">
        <v>0</v>
      </c>
      <c r="E241" s="70">
        <v>0</v>
      </c>
      <c r="F241" s="71">
        <v>0</v>
      </c>
      <c r="G241" s="69">
        <v>0</v>
      </c>
      <c r="H241" s="71">
        <v>0</v>
      </c>
      <c r="I241" s="71">
        <f t="shared" si="3"/>
        <v>0</v>
      </c>
    </row>
    <row r="242" spans="1:9" x14ac:dyDescent="0.25">
      <c r="A242" s="26">
        <v>4520128</v>
      </c>
      <c r="B242" s="26" t="s">
        <v>594</v>
      </c>
      <c r="C242" s="26" t="s">
        <v>615</v>
      </c>
      <c r="D242" s="66">
        <v>0</v>
      </c>
      <c r="E242" s="70">
        <v>0</v>
      </c>
      <c r="F242" s="71">
        <v>0</v>
      </c>
      <c r="G242" s="69">
        <v>0</v>
      </c>
      <c r="H242" s="71">
        <v>0</v>
      </c>
      <c r="I242" s="71">
        <f t="shared" si="3"/>
        <v>0</v>
      </c>
    </row>
    <row r="243" spans="1:9" x14ac:dyDescent="0.25">
      <c r="A243" s="26">
        <v>4520186</v>
      </c>
      <c r="B243" s="26" t="s">
        <v>617</v>
      </c>
      <c r="C243" s="26" t="s">
        <v>618</v>
      </c>
      <c r="D243" s="66">
        <v>0</v>
      </c>
      <c r="E243" s="70">
        <v>0</v>
      </c>
      <c r="F243" s="71">
        <v>0</v>
      </c>
      <c r="G243" s="69">
        <v>0</v>
      </c>
      <c r="H243" s="71">
        <v>0</v>
      </c>
      <c r="I243" s="71">
        <f t="shared" si="3"/>
        <v>0</v>
      </c>
    </row>
    <row r="244" spans="1:9" x14ac:dyDescent="0.25">
      <c r="A244" s="26">
        <v>4520252</v>
      </c>
      <c r="B244" s="26" t="s">
        <v>620</v>
      </c>
      <c r="C244" s="26" t="s">
        <v>621</v>
      </c>
      <c r="D244" s="66">
        <v>0</v>
      </c>
      <c r="E244" s="70">
        <v>0</v>
      </c>
      <c r="F244" s="71">
        <v>0</v>
      </c>
      <c r="G244" s="69">
        <v>0</v>
      </c>
      <c r="H244" s="71">
        <v>0</v>
      </c>
      <c r="I244" s="71">
        <f t="shared" si="3"/>
        <v>0</v>
      </c>
    </row>
    <row r="245" spans="1:9" x14ac:dyDescent="0.25">
      <c r="A245" s="26">
        <v>4520511</v>
      </c>
      <c r="B245" s="26" t="s">
        <v>620</v>
      </c>
      <c r="C245" s="26" t="s">
        <v>623</v>
      </c>
      <c r="D245" s="66">
        <v>0</v>
      </c>
      <c r="E245" s="70">
        <v>0</v>
      </c>
      <c r="F245" s="71">
        <v>0</v>
      </c>
      <c r="G245" s="69">
        <v>0</v>
      </c>
      <c r="H245" s="71">
        <v>0</v>
      </c>
      <c r="I245" s="71">
        <f t="shared" si="3"/>
        <v>0</v>
      </c>
    </row>
    <row r="246" spans="1:9" x14ac:dyDescent="0.25">
      <c r="A246" s="26">
        <v>4520705</v>
      </c>
      <c r="B246" s="26" t="s">
        <v>598</v>
      </c>
      <c r="C246" s="26" t="s">
        <v>625</v>
      </c>
      <c r="D246" s="66">
        <v>0</v>
      </c>
      <c r="E246" s="70">
        <v>0</v>
      </c>
      <c r="F246" s="71">
        <v>0</v>
      </c>
      <c r="G246" s="69">
        <v>0</v>
      </c>
      <c r="H246" s="71">
        <v>0</v>
      </c>
      <c r="I246" s="71">
        <f t="shared" si="3"/>
        <v>0</v>
      </c>
    </row>
    <row r="247" spans="1:9" x14ac:dyDescent="0.25">
      <c r="A247" s="26">
        <v>5010010</v>
      </c>
      <c r="B247" s="26" t="s">
        <v>627</v>
      </c>
      <c r="C247" s="26" t="s">
        <v>629</v>
      </c>
      <c r="D247" s="66">
        <v>0</v>
      </c>
      <c r="E247" s="70">
        <v>0</v>
      </c>
      <c r="F247" s="71">
        <v>0</v>
      </c>
      <c r="G247" s="69">
        <v>0</v>
      </c>
      <c r="H247" s="71">
        <v>0</v>
      </c>
      <c r="I247" s="71">
        <f t="shared" si="3"/>
        <v>0</v>
      </c>
    </row>
    <row r="248" spans="1:9" x14ac:dyDescent="0.25">
      <c r="A248" s="26">
        <v>5010020</v>
      </c>
      <c r="B248" s="26" t="s">
        <v>631</v>
      </c>
      <c r="C248" s="26" t="s">
        <v>632</v>
      </c>
      <c r="D248" s="66">
        <v>0</v>
      </c>
      <c r="E248" s="70">
        <v>0</v>
      </c>
      <c r="F248" s="71">
        <v>0</v>
      </c>
      <c r="G248" s="69">
        <v>0</v>
      </c>
      <c r="H248" s="71">
        <v>0</v>
      </c>
      <c r="I248" s="71">
        <f t="shared" si="3"/>
        <v>0</v>
      </c>
    </row>
    <row r="249" spans="1:9" x14ac:dyDescent="0.25">
      <c r="A249" s="26">
        <v>5010061</v>
      </c>
      <c r="B249" s="26" t="s">
        <v>627</v>
      </c>
      <c r="C249" s="26" t="s">
        <v>632</v>
      </c>
      <c r="D249" s="66">
        <v>0</v>
      </c>
      <c r="E249" s="70">
        <v>0</v>
      </c>
      <c r="F249" s="71">
        <v>0</v>
      </c>
      <c r="G249" s="69">
        <v>0</v>
      </c>
      <c r="H249" s="71">
        <v>0</v>
      </c>
      <c r="I249" s="71">
        <f t="shared" si="3"/>
        <v>0</v>
      </c>
    </row>
    <row r="250" spans="1:9" x14ac:dyDescent="0.25">
      <c r="A250" s="26">
        <v>5020030</v>
      </c>
      <c r="B250" s="26" t="s">
        <v>635</v>
      </c>
      <c r="C250" s="26" t="s">
        <v>637</v>
      </c>
      <c r="D250" s="66">
        <v>0</v>
      </c>
      <c r="E250" s="70">
        <v>0</v>
      </c>
      <c r="F250" s="71">
        <v>0</v>
      </c>
      <c r="G250" s="69">
        <v>0</v>
      </c>
      <c r="H250" s="71">
        <v>0</v>
      </c>
      <c r="I250" s="71">
        <f t="shared" si="3"/>
        <v>0</v>
      </c>
    </row>
    <row r="251" spans="1:9" x14ac:dyDescent="0.25">
      <c r="A251" s="26">
        <v>5020070</v>
      </c>
      <c r="B251" s="26" t="s">
        <v>63</v>
      </c>
      <c r="C251" s="26" t="s">
        <v>64</v>
      </c>
      <c r="D251" s="66">
        <v>0</v>
      </c>
      <c r="E251" s="70">
        <v>0</v>
      </c>
      <c r="F251" s="71">
        <v>0</v>
      </c>
      <c r="G251" s="69">
        <v>0</v>
      </c>
      <c r="H251" s="71">
        <v>0</v>
      </c>
      <c r="I251" s="71">
        <f t="shared" si="3"/>
        <v>0</v>
      </c>
    </row>
    <row r="252" spans="1:9" x14ac:dyDescent="0.25">
      <c r="A252" s="26">
        <v>5020091</v>
      </c>
      <c r="B252" s="26" t="s">
        <v>639</v>
      </c>
      <c r="C252" s="26" t="s">
        <v>64</v>
      </c>
      <c r="D252" s="66">
        <v>0</v>
      </c>
      <c r="E252" s="70">
        <v>0</v>
      </c>
      <c r="F252" s="71">
        <v>0</v>
      </c>
      <c r="G252" s="69">
        <v>0</v>
      </c>
      <c r="H252" s="71">
        <v>0</v>
      </c>
      <c r="I252" s="71">
        <f t="shared" si="3"/>
        <v>0</v>
      </c>
    </row>
    <row r="253" spans="1:9" x14ac:dyDescent="0.25">
      <c r="A253" s="26">
        <v>5020100</v>
      </c>
      <c r="B253" s="26" t="s">
        <v>641</v>
      </c>
      <c r="C253" s="26" t="s">
        <v>642</v>
      </c>
      <c r="D253" s="66">
        <v>0</v>
      </c>
      <c r="E253" s="70">
        <v>0</v>
      </c>
      <c r="F253" s="71">
        <v>0</v>
      </c>
      <c r="G253" s="69">
        <v>0</v>
      </c>
      <c r="H253" s="71">
        <v>0</v>
      </c>
      <c r="I253" s="71">
        <f t="shared" si="3"/>
        <v>0</v>
      </c>
    </row>
    <row r="254" spans="1:9" x14ac:dyDescent="0.25">
      <c r="A254" s="26">
        <v>502010859</v>
      </c>
      <c r="B254" s="26" t="s">
        <v>644</v>
      </c>
      <c r="C254" s="26" t="s">
        <v>645</v>
      </c>
      <c r="D254" s="66">
        <v>0</v>
      </c>
      <c r="E254" s="70">
        <v>0</v>
      </c>
      <c r="F254" s="71">
        <v>0</v>
      </c>
      <c r="G254" s="69">
        <v>0</v>
      </c>
      <c r="H254" s="71">
        <v>0</v>
      </c>
      <c r="I254" s="71">
        <f t="shared" si="3"/>
        <v>0</v>
      </c>
    </row>
    <row r="255" spans="1:9" x14ac:dyDescent="0.25">
      <c r="A255" s="26">
        <v>5020125</v>
      </c>
      <c r="B255" s="26" t="s">
        <v>647</v>
      </c>
      <c r="C255" s="26" t="s">
        <v>637</v>
      </c>
      <c r="D255" s="66">
        <v>0</v>
      </c>
      <c r="E255" s="70">
        <v>0</v>
      </c>
      <c r="F255" s="71">
        <v>0</v>
      </c>
      <c r="G255" s="69">
        <v>0</v>
      </c>
      <c r="H255" s="71">
        <v>0</v>
      </c>
      <c r="I255" s="71">
        <f t="shared" si="3"/>
        <v>0</v>
      </c>
    </row>
    <row r="256" spans="1:9" x14ac:dyDescent="0.25">
      <c r="A256" s="26">
        <v>5020150</v>
      </c>
      <c r="B256" s="26" t="s">
        <v>649</v>
      </c>
      <c r="C256" s="26" t="s">
        <v>609</v>
      </c>
      <c r="D256" s="66">
        <v>0</v>
      </c>
      <c r="E256" s="70">
        <v>0</v>
      </c>
      <c r="F256" s="71">
        <v>0</v>
      </c>
      <c r="G256" s="69">
        <v>0</v>
      </c>
      <c r="H256" s="71">
        <v>0</v>
      </c>
      <c r="I256" s="71">
        <f t="shared" si="3"/>
        <v>0</v>
      </c>
    </row>
    <row r="257" spans="1:9" x14ac:dyDescent="0.25">
      <c r="A257" s="26">
        <v>5020240</v>
      </c>
      <c r="B257" s="26" t="s">
        <v>651</v>
      </c>
      <c r="C257" s="26" t="s">
        <v>652</v>
      </c>
      <c r="D257" s="66">
        <v>0</v>
      </c>
      <c r="E257" s="70">
        <v>0</v>
      </c>
      <c r="F257" s="71">
        <v>0</v>
      </c>
      <c r="G257" s="69">
        <v>0</v>
      </c>
      <c r="H257" s="71">
        <v>0</v>
      </c>
      <c r="I257" s="71">
        <f t="shared" si="3"/>
        <v>0</v>
      </c>
    </row>
    <row r="258" spans="1:9" x14ac:dyDescent="0.25">
      <c r="A258" s="26">
        <v>50203416</v>
      </c>
      <c r="B258" s="26" t="s">
        <v>654</v>
      </c>
      <c r="C258" s="26" t="s">
        <v>655</v>
      </c>
      <c r="D258" s="66">
        <v>0</v>
      </c>
      <c r="E258" s="70">
        <v>0</v>
      </c>
      <c r="F258" s="71">
        <v>0</v>
      </c>
      <c r="G258" s="69">
        <v>0</v>
      </c>
      <c r="H258" s="71">
        <v>0</v>
      </c>
      <c r="I258" s="71">
        <f t="shared" si="3"/>
        <v>0</v>
      </c>
    </row>
    <row r="259" spans="1:9" x14ac:dyDescent="0.25">
      <c r="A259" s="26">
        <v>50203931</v>
      </c>
      <c r="B259" s="26" t="s">
        <v>657</v>
      </c>
      <c r="C259" s="26" t="s">
        <v>415</v>
      </c>
      <c r="D259" s="66">
        <v>0</v>
      </c>
      <c r="E259" s="70">
        <v>0</v>
      </c>
      <c r="F259" s="71">
        <v>0</v>
      </c>
      <c r="G259" s="69">
        <v>0</v>
      </c>
      <c r="H259" s="71">
        <v>0</v>
      </c>
      <c r="I259" s="71">
        <f t="shared" si="3"/>
        <v>0</v>
      </c>
    </row>
    <row r="260" spans="1:9" x14ac:dyDescent="0.25">
      <c r="A260" s="26">
        <v>50205931</v>
      </c>
      <c r="B260" s="26" t="s">
        <v>66</v>
      </c>
      <c r="C260" s="26" t="s">
        <v>67</v>
      </c>
      <c r="D260" s="66">
        <v>0</v>
      </c>
      <c r="E260" s="70">
        <v>0</v>
      </c>
      <c r="F260" s="71">
        <v>0</v>
      </c>
      <c r="G260" s="69">
        <v>0</v>
      </c>
      <c r="H260" s="71">
        <v>0</v>
      </c>
      <c r="I260" s="71">
        <f t="shared" si="3"/>
        <v>0</v>
      </c>
    </row>
    <row r="261" spans="1:9" x14ac:dyDescent="0.25">
      <c r="A261" s="26">
        <v>5020700</v>
      </c>
      <c r="B261" s="26" t="s">
        <v>659</v>
      </c>
      <c r="C261" s="26" t="s">
        <v>660</v>
      </c>
      <c r="D261" s="66">
        <v>0</v>
      </c>
      <c r="E261" s="70">
        <v>0</v>
      </c>
      <c r="F261" s="71">
        <v>0</v>
      </c>
      <c r="G261" s="69">
        <v>0</v>
      </c>
      <c r="H261" s="71">
        <v>0</v>
      </c>
      <c r="I261" s="71">
        <f t="shared" ref="I261:I324" si="4">IF(ISNUMBER(H261),F261-H261,"")</f>
        <v>0</v>
      </c>
    </row>
    <row r="262" spans="1:9" x14ac:dyDescent="0.25">
      <c r="A262" s="26">
        <v>5020702</v>
      </c>
      <c r="B262" s="26" t="s">
        <v>662</v>
      </c>
      <c r="C262" s="26" t="s">
        <v>632</v>
      </c>
      <c r="D262" s="66">
        <v>0</v>
      </c>
      <c r="E262" s="70">
        <v>0</v>
      </c>
      <c r="F262" s="71">
        <v>0</v>
      </c>
      <c r="G262" s="69">
        <v>0</v>
      </c>
      <c r="H262" s="71">
        <v>0</v>
      </c>
      <c r="I262" s="71">
        <f t="shared" si="4"/>
        <v>0</v>
      </c>
    </row>
    <row r="263" spans="1:9" x14ac:dyDescent="0.25">
      <c r="A263" s="26">
        <v>5020717</v>
      </c>
      <c r="B263" s="26" t="s">
        <v>664</v>
      </c>
      <c r="C263" s="26" t="s">
        <v>665</v>
      </c>
      <c r="D263" s="66">
        <v>0</v>
      </c>
      <c r="E263" s="70">
        <v>0</v>
      </c>
      <c r="F263" s="71">
        <v>0</v>
      </c>
      <c r="G263" s="69">
        <v>0</v>
      </c>
      <c r="H263" s="71">
        <v>0</v>
      </c>
      <c r="I263" s="71">
        <f t="shared" si="4"/>
        <v>0</v>
      </c>
    </row>
    <row r="264" spans="1:9" x14ac:dyDescent="0.25">
      <c r="A264" s="26">
        <v>5020740</v>
      </c>
      <c r="B264" s="26" t="s">
        <v>667</v>
      </c>
      <c r="C264" s="26" t="s">
        <v>668</v>
      </c>
      <c r="D264" s="66">
        <v>0</v>
      </c>
      <c r="E264" s="70">
        <v>0</v>
      </c>
      <c r="F264" s="71">
        <v>0</v>
      </c>
      <c r="G264" s="69">
        <v>0</v>
      </c>
      <c r="H264" s="71">
        <v>0</v>
      </c>
      <c r="I264" s="71">
        <f t="shared" si="4"/>
        <v>0</v>
      </c>
    </row>
    <row r="265" spans="1:9" x14ac:dyDescent="0.25">
      <c r="A265" s="26">
        <v>5020765</v>
      </c>
      <c r="B265" s="26" t="s">
        <v>670</v>
      </c>
      <c r="C265" s="26" t="s">
        <v>652</v>
      </c>
      <c r="D265" s="66">
        <v>0</v>
      </c>
      <c r="E265" s="70">
        <v>0</v>
      </c>
      <c r="F265" s="71">
        <v>0</v>
      </c>
      <c r="G265" s="69">
        <v>0</v>
      </c>
      <c r="H265" s="71">
        <v>0</v>
      </c>
      <c r="I265" s="71">
        <f t="shared" si="4"/>
        <v>0</v>
      </c>
    </row>
    <row r="266" spans="1:9" x14ac:dyDescent="0.25">
      <c r="A266" s="26">
        <v>5020783</v>
      </c>
      <c r="B266" s="26" t="s">
        <v>670</v>
      </c>
      <c r="C266" s="26" t="s">
        <v>609</v>
      </c>
      <c r="D266" s="66">
        <v>0</v>
      </c>
      <c r="E266" s="70">
        <v>0</v>
      </c>
      <c r="F266" s="71">
        <v>0</v>
      </c>
      <c r="G266" s="69">
        <v>0</v>
      </c>
      <c r="H266" s="71">
        <v>0</v>
      </c>
      <c r="I266" s="71">
        <f t="shared" si="4"/>
        <v>0</v>
      </c>
    </row>
    <row r="267" spans="1:9" x14ac:dyDescent="0.25">
      <c r="A267" s="26">
        <v>5020800</v>
      </c>
      <c r="B267" s="26" t="s">
        <v>673</v>
      </c>
      <c r="C267" s="26" t="s">
        <v>674</v>
      </c>
      <c r="D267" s="66">
        <v>0</v>
      </c>
      <c r="E267" s="70">
        <v>0</v>
      </c>
      <c r="F267" s="71">
        <v>0</v>
      </c>
      <c r="G267" s="69">
        <v>0</v>
      </c>
      <c r="H267" s="71">
        <v>0</v>
      </c>
      <c r="I267" s="71">
        <f t="shared" si="4"/>
        <v>0</v>
      </c>
    </row>
    <row r="268" spans="1:9" x14ac:dyDescent="0.25">
      <c r="A268" s="26">
        <v>50208280</v>
      </c>
      <c r="B268" s="26" t="s">
        <v>676</v>
      </c>
      <c r="C268" s="26" t="s">
        <v>677</v>
      </c>
      <c r="D268" s="66">
        <v>0</v>
      </c>
      <c r="E268" s="70">
        <v>0</v>
      </c>
      <c r="F268" s="71">
        <v>0</v>
      </c>
      <c r="G268" s="69">
        <v>0</v>
      </c>
      <c r="H268" s="71">
        <v>0</v>
      </c>
      <c r="I268" s="71">
        <f t="shared" si="4"/>
        <v>0</v>
      </c>
    </row>
    <row r="269" spans="1:9" x14ac:dyDescent="0.25">
      <c r="A269" s="26">
        <v>5020833</v>
      </c>
      <c r="B269" s="26" t="s">
        <v>679</v>
      </c>
      <c r="C269" s="26" t="s">
        <v>680</v>
      </c>
      <c r="D269" s="66">
        <v>0</v>
      </c>
      <c r="E269" s="70">
        <v>0</v>
      </c>
      <c r="F269" s="71">
        <v>0</v>
      </c>
      <c r="G269" s="69">
        <v>0</v>
      </c>
      <c r="H269" s="71">
        <v>0</v>
      </c>
      <c r="I269" s="71">
        <f t="shared" si="4"/>
        <v>0</v>
      </c>
    </row>
    <row r="270" spans="1:9" x14ac:dyDescent="0.25">
      <c r="A270" s="26">
        <v>5020924</v>
      </c>
      <c r="B270" s="26" t="s">
        <v>682</v>
      </c>
      <c r="C270" s="26" t="s">
        <v>683</v>
      </c>
      <c r="D270" s="66">
        <v>0</v>
      </c>
      <c r="E270" s="70">
        <v>0</v>
      </c>
      <c r="F270" s="71">
        <v>0</v>
      </c>
      <c r="G270" s="69">
        <v>0</v>
      </c>
      <c r="H270" s="71">
        <v>0</v>
      </c>
      <c r="I270" s="71">
        <f t="shared" si="4"/>
        <v>0</v>
      </c>
    </row>
    <row r="271" spans="1:9" x14ac:dyDescent="0.25">
      <c r="A271" s="26">
        <v>50209892</v>
      </c>
      <c r="B271" s="26" t="s">
        <v>685</v>
      </c>
      <c r="C271" s="26" t="s">
        <v>686</v>
      </c>
      <c r="D271" s="66">
        <v>0</v>
      </c>
      <c r="E271" s="70">
        <v>0</v>
      </c>
      <c r="F271" s="71">
        <v>0</v>
      </c>
      <c r="G271" s="69">
        <v>0</v>
      </c>
      <c r="H271" s="71">
        <v>0</v>
      </c>
      <c r="I271" s="71">
        <f t="shared" si="4"/>
        <v>0</v>
      </c>
    </row>
    <row r="272" spans="1:9" x14ac:dyDescent="0.25">
      <c r="A272" s="26">
        <v>5021004</v>
      </c>
      <c r="B272" s="26" t="s">
        <v>635</v>
      </c>
      <c r="C272" s="26" t="s">
        <v>645</v>
      </c>
      <c r="D272" s="66">
        <v>0</v>
      </c>
      <c r="E272" s="70">
        <v>0</v>
      </c>
      <c r="F272" s="71">
        <v>0</v>
      </c>
      <c r="G272" s="69">
        <v>0</v>
      </c>
      <c r="H272" s="71">
        <v>0</v>
      </c>
      <c r="I272" s="71">
        <f t="shared" si="4"/>
        <v>0</v>
      </c>
    </row>
    <row r="273" spans="1:9" x14ac:dyDescent="0.25">
      <c r="A273" s="26">
        <v>5021721</v>
      </c>
      <c r="B273" s="26" t="s">
        <v>689</v>
      </c>
      <c r="C273" s="26" t="s">
        <v>690</v>
      </c>
      <c r="D273" s="66">
        <v>0</v>
      </c>
      <c r="E273" s="70">
        <v>0</v>
      </c>
      <c r="F273" s="71">
        <v>0</v>
      </c>
      <c r="G273" s="69">
        <v>0</v>
      </c>
      <c r="H273" s="71">
        <v>0</v>
      </c>
      <c r="I273" s="71">
        <f t="shared" si="4"/>
        <v>0</v>
      </c>
    </row>
    <row r="274" spans="1:9" x14ac:dyDescent="0.25">
      <c r="A274" s="26">
        <v>5021864</v>
      </c>
      <c r="B274" s="26" t="s">
        <v>635</v>
      </c>
      <c r="C274" s="26" t="s">
        <v>692</v>
      </c>
      <c r="D274" s="66">
        <v>0</v>
      </c>
      <c r="E274" s="70">
        <v>0</v>
      </c>
      <c r="F274" s="71">
        <v>0</v>
      </c>
      <c r="G274" s="69">
        <v>0</v>
      </c>
      <c r="H274" s="71">
        <v>0</v>
      </c>
      <c r="I274" s="71">
        <f t="shared" si="4"/>
        <v>0</v>
      </c>
    </row>
    <row r="275" spans="1:9" x14ac:dyDescent="0.25">
      <c r="A275" s="26">
        <v>5030010</v>
      </c>
      <c r="B275" s="26" t="s">
        <v>694</v>
      </c>
      <c r="C275" s="26" t="s">
        <v>479</v>
      </c>
      <c r="D275" s="66">
        <v>0</v>
      </c>
      <c r="E275" s="70">
        <v>0</v>
      </c>
      <c r="F275" s="71">
        <v>0</v>
      </c>
      <c r="G275" s="69">
        <v>0</v>
      </c>
      <c r="H275" s="71">
        <v>0</v>
      </c>
      <c r="I275" s="71">
        <f t="shared" si="4"/>
        <v>0</v>
      </c>
    </row>
    <row r="276" spans="1:9" x14ac:dyDescent="0.25">
      <c r="A276" s="26">
        <v>5030020</v>
      </c>
      <c r="B276" s="26" t="s">
        <v>697</v>
      </c>
      <c r="C276" s="26" t="s">
        <v>479</v>
      </c>
      <c r="D276" s="66">
        <v>0</v>
      </c>
      <c r="E276" s="70">
        <v>0</v>
      </c>
      <c r="F276" s="71">
        <v>0</v>
      </c>
      <c r="G276" s="69">
        <v>0</v>
      </c>
      <c r="H276" s="71">
        <v>0</v>
      </c>
      <c r="I276" s="71">
        <f t="shared" si="4"/>
        <v>0</v>
      </c>
    </row>
    <row r="277" spans="1:9" x14ac:dyDescent="0.25">
      <c r="A277" s="26">
        <v>5030122</v>
      </c>
      <c r="B277" s="26" t="s">
        <v>694</v>
      </c>
      <c r="C277" s="26" t="s">
        <v>333</v>
      </c>
      <c r="D277" s="66">
        <v>0</v>
      </c>
      <c r="E277" s="70">
        <v>0</v>
      </c>
      <c r="F277" s="71">
        <v>0</v>
      </c>
      <c r="G277" s="69">
        <v>0</v>
      </c>
      <c r="H277" s="71">
        <v>0</v>
      </c>
      <c r="I277" s="71">
        <f t="shared" si="4"/>
        <v>0</v>
      </c>
    </row>
    <row r="278" spans="1:9" x14ac:dyDescent="0.25">
      <c r="A278" s="26">
        <v>5031232</v>
      </c>
      <c r="B278" s="26" t="s">
        <v>697</v>
      </c>
      <c r="C278" s="26" t="s">
        <v>700</v>
      </c>
      <c r="D278" s="66">
        <v>0</v>
      </c>
      <c r="E278" s="70">
        <v>0</v>
      </c>
      <c r="F278" s="71">
        <v>0</v>
      </c>
      <c r="G278" s="69">
        <v>0</v>
      </c>
      <c r="H278" s="71">
        <v>0</v>
      </c>
      <c r="I278" s="71">
        <f t="shared" si="4"/>
        <v>0</v>
      </c>
    </row>
    <row r="279" spans="1:9" x14ac:dyDescent="0.25">
      <c r="A279" s="26">
        <v>5040067</v>
      </c>
      <c r="B279" s="26" t="s">
        <v>702</v>
      </c>
      <c r="C279" s="26" t="s">
        <v>314</v>
      </c>
      <c r="D279" s="66">
        <v>0</v>
      </c>
      <c r="E279" s="70">
        <v>0</v>
      </c>
      <c r="F279" s="71">
        <v>0</v>
      </c>
      <c r="G279" s="69">
        <v>0</v>
      </c>
      <c r="H279" s="71">
        <v>0</v>
      </c>
      <c r="I279" s="71">
        <f t="shared" si="4"/>
        <v>0</v>
      </c>
    </row>
    <row r="280" spans="1:9" x14ac:dyDescent="0.25">
      <c r="A280" s="26">
        <v>5040082</v>
      </c>
      <c r="B280" s="26" t="s">
        <v>705</v>
      </c>
      <c r="C280" s="26" t="s">
        <v>314</v>
      </c>
      <c r="D280" s="66">
        <v>0</v>
      </c>
      <c r="E280" s="70">
        <v>0</v>
      </c>
      <c r="F280" s="71">
        <v>0</v>
      </c>
      <c r="G280" s="69">
        <v>0</v>
      </c>
      <c r="H280" s="71">
        <v>0</v>
      </c>
      <c r="I280" s="71">
        <f t="shared" si="4"/>
        <v>0</v>
      </c>
    </row>
    <row r="281" spans="1:9" x14ac:dyDescent="0.25">
      <c r="A281" s="26">
        <v>5040102</v>
      </c>
      <c r="B281" s="26" t="s">
        <v>707</v>
      </c>
      <c r="C281" s="26" t="s">
        <v>708</v>
      </c>
      <c r="D281" s="66">
        <v>0</v>
      </c>
      <c r="E281" s="70">
        <v>0</v>
      </c>
      <c r="F281" s="71">
        <v>0</v>
      </c>
      <c r="G281" s="69">
        <v>0</v>
      </c>
      <c r="H281" s="71">
        <v>0</v>
      </c>
      <c r="I281" s="71">
        <f t="shared" si="4"/>
        <v>0</v>
      </c>
    </row>
    <row r="282" spans="1:9" x14ac:dyDescent="0.25">
      <c r="A282" s="26">
        <v>5510030</v>
      </c>
      <c r="B282" s="26" t="s">
        <v>710</v>
      </c>
      <c r="C282" s="26" t="s">
        <v>479</v>
      </c>
      <c r="D282" s="66">
        <v>0</v>
      </c>
      <c r="E282" s="70">
        <v>0</v>
      </c>
      <c r="F282" s="71">
        <v>0</v>
      </c>
      <c r="G282" s="69">
        <v>0</v>
      </c>
      <c r="H282" s="71">
        <v>0</v>
      </c>
      <c r="I282" s="71">
        <f t="shared" si="4"/>
        <v>0</v>
      </c>
    </row>
    <row r="283" spans="1:9" x14ac:dyDescent="0.25">
      <c r="A283" s="26">
        <v>551011013</v>
      </c>
      <c r="B283" s="26" t="s">
        <v>713</v>
      </c>
      <c r="C283" s="26" t="s">
        <v>333</v>
      </c>
      <c r="D283" s="66">
        <v>0</v>
      </c>
      <c r="E283" s="70">
        <v>0</v>
      </c>
      <c r="F283" s="71">
        <v>0</v>
      </c>
      <c r="G283" s="69">
        <v>0</v>
      </c>
      <c r="H283" s="71">
        <v>0</v>
      </c>
      <c r="I283" s="71">
        <f t="shared" si="4"/>
        <v>0</v>
      </c>
    </row>
    <row r="284" spans="1:9" x14ac:dyDescent="0.25">
      <c r="A284" s="26">
        <v>551011806</v>
      </c>
      <c r="B284" s="26" t="s">
        <v>715</v>
      </c>
      <c r="C284" s="26" t="s">
        <v>716</v>
      </c>
      <c r="D284" s="66">
        <v>0</v>
      </c>
      <c r="E284" s="70">
        <v>0</v>
      </c>
      <c r="F284" s="71">
        <v>0</v>
      </c>
      <c r="G284" s="69">
        <v>0</v>
      </c>
      <c r="H284" s="71">
        <v>0</v>
      </c>
      <c r="I284" s="71">
        <f t="shared" si="4"/>
        <v>0</v>
      </c>
    </row>
    <row r="285" spans="1:9" x14ac:dyDescent="0.25">
      <c r="A285" s="26">
        <v>551011807</v>
      </c>
      <c r="B285" s="26" t="s">
        <v>718</v>
      </c>
      <c r="C285" s="26" t="s">
        <v>719</v>
      </c>
      <c r="D285" s="66">
        <v>0</v>
      </c>
      <c r="E285" s="70">
        <v>0</v>
      </c>
      <c r="F285" s="71">
        <v>0</v>
      </c>
      <c r="G285" s="69">
        <v>0</v>
      </c>
      <c r="H285" s="71">
        <v>0</v>
      </c>
      <c r="I285" s="71">
        <f t="shared" si="4"/>
        <v>0</v>
      </c>
    </row>
    <row r="286" spans="1:9" x14ac:dyDescent="0.25">
      <c r="A286" s="26">
        <v>551011928</v>
      </c>
      <c r="B286" s="26" t="s">
        <v>721</v>
      </c>
      <c r="C286" s="26" t="s">
        <v>722</v>
      </c>
      <c r="D286" s="66">
        <v>0</v>
      </c>
      <c r="E286" s="70">
        <v>0</v>
      </c>
      <c r="F286" s="71">
        <v>0</v>
      </c>
      <c r="G286" s="69">
        <v>0</v>
      </c>
      <c r="H286" s="71">
        <v>0</v>
      </c>
      <c r="I286" s="71">
        <f t="shared" si="4"/>
        <v>0</v>
      </c>
    </row>
    <row r="287" spans="1:9" x14ac:dyDescent="0.25">
      <c r="A287" s="26">
        <v>551011963</v>
      </c>
      <c r="B287" s="26" t="s">
        <v>724</v>
      </c>
      <c r="C287" s="26" t="s">
        <v>725</v>
      </c>
      <c r="D287" s="66">
        <v>0</v>
      </c>
      <c r="E287" s="70">
        <v>0</v>
      </c>
      <c r="F287" s="71">
        <v>0</v>
      </c>
      <c r="G287" s="69">
        <v>0</v>
      </c>
      <c r="H287" s="71">
        <v>0</v>
      </c>
      <c r="I287" s="71">
        <f t="shared" si="4"/>
        <v>0</v>
      </c>
    </row>
    <row r="288" spans="1:9" x14ac:dyDescent="0.25">
      <c r="A288" s="26">
        <v>551012017</v>
      </c>
      <c r="B288" s="26" t="s">
        <v>727</v>
      </c>
      <c r="C288" s="26" t="s">
        <v>61</v>
      </c>
      <c r="D288" s="66">
        <v>0</v>
      </c>
      <c r="E288" s="70">
        <v>0</v>
      </c>
      <c r="F288" s="71">
        <v>0</v>
      </c>
      <c r="G288" s="69">
        <v>0</v>
      </c>
      <c r="H288" s="71">
        <v>0</v>
      </c>
      <c r="I288" s="71">
        <f t="shared" si="4"/>
        <v>0</v>
      </c>
    </row>
    <row r="289" spans="1:9" x14ac:dyDescent="0.25">
      <c r="A289" s="26">
        <v>551012603</v>
      </c>
      <c r="B289" s="26" t="s">
        <v>710</v>
      </c>
      <c r="C289" s="26" t="s">
        <v>722</v>
      </c>
      <c r="D289" s="66">
        <v>0</v>
      </c>
      <c r="E289" s="70">
        <v>0</v>
      </c>
      <c r="F289" s="71">
        <v>0</v>
      </c>
      <c r="G289" s="69">
        <v>0</v>
      </c>
      <c r="H289" s="71">
        <v>0</v>
      </c>
      <c r="I289" s="71">
        <f t="shared" si="4"/>
        <v>0</v>
      </c>
    </row>
    <row r="290" spans="1:9" x14ac:dyDescent="0.25">
      <c r="A290" s="26">
        <v>5510240</v>
      </c>
      <c r="B290" s="26" t="s">
        <v>730</v>
      </c>
      <c r="C290" s="26" t="s">
        <v>415</v>
      </c>
      <c r="D290" s="66">
        <v>0</v>
      </c>
      <c r="E290" s="70">
        <v>0</v>
      </c>
      <c r="F290" s="71">
        <v>0</v>
      </c>
      <c r="G290" s="69">
        <v>0</v>
      </c>
      <c r="H290" s="71">
        <v>0</v>
      </c>
      <c r="I290" s="71">
        <f t="shared" si="4"/>
        <v>0</v>
      </c>
    </row>
    <row r="291" spans="1:9" x14ac:dyDescent="0.25">
      <c r="A291" s="26">
        <v>5510270</v>
      </c>
      <c r="B291" s="26" t="s">
        <v>727</v>
      </c>
      <c r="C291" s="26" t="s">
        <v>35</v>
      </c>
      <c r="D291" s="66">
        <v>0</v>
      </c>
      <c r="E291" s="70">
        <v>0</v>
      </c>
      <c r="F291" s="71">
        <v>0</v>
      </c>
      <c r="G291" s="69">
        <v>0</v>
      </c>
      <c r="H291" s="71">
        <v>0</v>
      </c>
      <c r="I291" s="71">
        <f t="shared" si="4"/>
        <v>0</v>
      </c>
    </row>
    <row r="292" spans="1:9" x14ac:dyDescent="0.25">
      <c r="A292" s="26">
        <v>55109645</v>
      </c>
      <c r="B292" s="26" t="s">
        <v>715</v>
      </c>
      <c r="C292" s="26" t="s">
        <v>733</v>
      </c>
      <c r="D292" s="66">
        <v>0</v>
      </c>
      <c r="E292" s="70">
        <v>0</v>
      </c>
      <c r="F292" s="71">
        <v>0</v>
      </c>
      <c r="G292" s="69">
        <v>0</v>
      </c>
      <c r="H292" s="71">
        <v>0</v>
      </c>
      <c r="I292" s="71">
        <f t="shared" si="4"/>
        <v>0</v>
      </c>
    </row>
    <row r="293" spans="1:9" x14ac:dyDescent="0.25">
      <c r="A293" s="26">
        <v>55109692</v>
      </c>
      <c r="B293" s="26" t="s">
        <v>735</v>
      </c>
      <c r="C293" s="26" t="s">
        <v>458</v>
      </c>
      <c r="D293" s="66">
        <v>0</v>
      </c>
      <c r="E293" s="70">
        <v>0</v>
      </c>
      <c r="F293" s="71">
        <v>0</v>
      </c>
      <c r="G293" s="69">
        <v>0</v>
      </c>
      <c r="H293" s="71">
        <v>0</v>
      </c>
      <c r="I293" s="71">
        <f t="shared" si="4"/>
        <v>0</v>
      </c>
    </row>
    <row r="294" spans="1:9" x14ac:dyDescent="0.25">
      <c r="A294" s="26">
        <v>5520313</v>
      </c>
      <c r="B294" s="26" t="s">
        <v>737</v>
      </c>
      <c r="C294" s="26" t="s">
        <v>35</v>
      </c>
      <c r="D294" s="66">
        <v>0</v>
      </c>
      <c r="E294" s="70">
        <v>0</v>
      </c>
      <c r="F294" s="71">
        <v>0</v>
      </c>
      <c r="G294" s="69">
        <v>0</v>
      </c>
      <c r="H294" s="71">
        <v>0</v>
      </c>
      <c r="I294" s="71">
        <f t="shared" si="4"/>
        <v>0</v>
      </c>
    </row>
    <row r="295" spans="1:9" x14ac:dyDescent="0.25">
      <c r="A295" s="26">
        <v>6010010</v>
      </c>
      <c r="B295" s="26" t="s">
        <v>740</v>
      </c>
      <c r="C295" s="26" t="s">
        <v>415</v>
      </c>
      <c r="D295" s="66">
        <v>0</v>
      </c>
      <c r="E295" s="70">
        <v>0</v>
      </c>
      <c r="F295" s="71">
        <v>0</v>
      </c>
      <c r="G295" s="69">
        <v>0</v>
      </c>
      <c r="H295" s="71">
        <v>0</v>
      </c>
      <c r="I295" s="71">
        <f t="shared" si="4"/>
        <v>0</v>
      </c>
    </row>
    <row r="296" spans="1:9" x14ac:dyDescent="0.25">
      <c r="A296" s="26">
        <v>6010049</v>
      </c>
      <c r="B296" s="26" t="s">
        <v>743</v>
      </c>
      <c r="C296" s="26" t="s">
        <v>415</v>
      </c>
      <c r="D296" s="66">
        <v>0</v>
      </c>
      <c r="E296" s="70">
        <v>0</v>
      </c>
      <c r="F296" s="71">
        <v>0</v>
      </c>
      <c r="G296" s="69">
        <v>0</v>
      </c>
      <c r="H296" s="71">
        <v>0</v>
      </c>
      <c r="I296" s="71">
        <f t="shared" si="4"/>
        <v>0</v>
      </c>
    </row>
    <row r="297" spans="1:9" x14ac:dyDescent="0.25">
      <c r="A297" s="26">
        <v>60100917</v>
      </c>
      <c r="B297" s="26" t="s">
        <v>745</v>
      </c>
      <c r="C297" s="26" t="s">
        <v>680</v>
      </c>
      <c r="D297" s="66">
        <v>0</v>
      </c>
      <c r="E297" s="70">
        <v>0</v>
      </c>
      <c r="F297" s="71">
        <v>0</v>
      </c>
      <c r="G297" s="69">
        <v>0</v>
      </c>
      <c r="H297" s="71">
        <v>0</v>
      </c>
      <c r="I297" s="71">
        <f t="shared" si="4"/>
        <v>0</v>
      </c>
    </row>
    <row r="298" spans="1:9" x14ac:dyDescent="0.25">
      <c r="A298" s="26">
        <v>60101053</v>
      </c>
      <c r="B298" s="26" t="s">
        <v>747</v>
      </c>
      <c r="C298" s="26" t="s">
        <v>314</v>
      </c>
      <c r="D298" s="66">
        <v>0</v>
      </c>
      <c r="E298" s="70">
        <v>0</v>
      </c>
      <c r="F298" s="71">
        <v>0</v>
      </c>
      <c r="G298" s="69">
        <v>0</v>
      </c>
      <c r="H298" s="71">
        <v>0</v>
      </c>
      <c r="I298" s="71">
        <f t="shared" si="4"/>
        <v>0</v>
      </c>
    </row>
    <row r="299" spans="1:9" x14ac:dyDescent="0.25">
      <c r="A299" s="26">
        <v>6010230</v>
      </c>
      <c r="B299" s="26" t="s">
        <v>749</v>
      </c>
      <c r="C299" s="26" t="s">
        <v>35</v>
      </c>
      <c r="D299" s="66">
        <v>0</v>
      </c>
      <c r="E299" s="70">
        <v>0</v>
      </c>
      <c r="F299" s="71">
        <v>0</v>
      </c>
      <c r="G299" s="69">
        <v>0</v>
      </c>
      <c r="H299" s="71">
        <v>0</v>
      </c>
      <c r="I299" s="71">
        <f t="shared" si="4"/>
        <v>0</v>
      </c>
    </row>
    <row r="300" spans="1:9" x14ac:dyDescent="0.25">
      <c r="A300" s="26">
        <v>6010270</v>
      </c>
      <c r="B300" s="26" t="s">
        <v>751</v>
      </c>
      <c r="C300" s="26" t="s">
        <v>415</v>
      </c>
      <c r="D300" s="66">
        <v>0</v>
      </c>
      <c r="E300" s="70">
        <v>0</v>
      </c>
      <c r="F300" s="71">
        <v>0</v>
      </c>
      <c r="G300" s="69">
        <v>0</v>
      </c>
      <c r="H300" s="71">
        <v>0</v>
      </c>
      <c r="I300" s="71">
        <f t="shared" si="4"/>
        <v>0</v>
      </c>
    </row>
    <row r="301" spans="1:9" x14ac:dyDescent="0.25">
      <c r="A301" s="26">
        <v>601043075</v>
      </c>
      <c r="B301" s="26" t="s">
        <v>753</v>
      </c>
      <c r="C301" s="26" t="s">
        <v>754</v>
      </c>
      <c r="D301" s="66">
        <v>0</v>
      </c>
      <c r="E301" s="70">
        <v>0</v>
      </c>
      <c r="F301" s="71">
        <v>0</v>
      </c>
      <c r="G301" s="69">
        <v>0</v>
      </c>
      <c r="H301" s="71">
        <v>0</v>
      </c>
      <c r="I301" s="71">
        <f t="shared" si="4"/>
        <v>0</v>
      </c>
    </row>
    <row r="302" spans="1:9" x14ac:dyDescent="0.25">
      <c r="A302" s="26">
        <v>6011029</v>
      </c>
      <c r="B302" s="26" t="s">
        <v>753</v>
      </c>
      <c r="C302" s="26" t="s">
        <v>464</v>
      </c>
      <c r="D302" s="66">
        <v>0</v>
      </c>
      <c r="E302" s="70">
        <v>0</v>
      </c>
      <c r="F302" s="71">
        <v>0</v>
      </c>
      <c r="G302" s="69">
        <v>0</v>
      </c>
      <c r="H302" s="71">
        <v>0</v>
      </c>
      <c r="I302" s="71">
        <f t="shared" si="4"/>
        <v>0</v>
      </c>
    </row>
    <row r="303" spans="1:9" x14ac:dyDescent="0.25">
      <c r="A303" s="26">
        <v>6011114</v>
      </c>
      <c r="B303" s="26" t="s">
        <v>757</v>
      </c>
      <c r="C303" s="26" t="s">
        <v>314</v>
      </c>
      <c r="D303" s="66">
        <v>0</v>
      </c>
      <c r="E303" s="70">
        <v>0</v>
      </c>
      <c r="F303" s="71">
        <v>0</v>
      </c>
      <c r="G303" s="69">
        <v>0</v>
      </c>
      <c r="H303" s="71">
        <v>0</v>
      </c>
      <c r="I303" s="71">
        <f t="shared" si="4"/>
        <v>0</v>
      </c>
    </row>
    <row r="304" spans="1:9" x14ac:dyDescent="0.25">
      <c r="A304" s="26">
        <v>6011427</v>
      </c>
      <c r="B304" s="26" t="s">
        <v>759</v>
      </c>
      <c r="C304" s="26" t="s">
        <v>314</v>
      </c>
      <c r="D304" s="66">
        <v>0</v>
      </c>
      <c r="E304" s="70">
        <v>0</v>
      </c>
      <c r="F304" s="71">
        <v>0</v>
      </c>
      <c r="G304" s="69">
        <v>0</v>
      </c>
      <c r="H304" s="71">
        <v>0</v>
      </c>
      <c r="I304" s="71">
        <f t="shared" si="4"/>
        <v>0</v>
      </c>
    </row>
    <row r="305" spans="1:9" x14ac:dyDescent="0.25">
      <c r="A305" s="26">
        <v>6011557</v>
      </c>
      <c r="B305" s="26" t="s">
        <v>740</v>
      </c>
      <c r="C305" s="26" t="s">
        <v>761</v>
      </c>
      <c r="D305" s="66">
        <v>0</v>
      </c>
      <c r="E305" s="70">
        <v>0</v>
      </c>
      <c r="F305" s="71">
        <v>0</v>
      </c>
      <c r="G305" s="69">
        <v>0</v>
      </c>
      <c r="H305" s="71">
        <v>0</v>
      </c>
      <c r="I305" s="71">
        <f t="shared" si="4"/>
        <v>0</v>
      </c>
    </row>
    <row r="306" spans="1:9" x14ac:dyDescent="0.25">
      <c r="A306" s="26">
        <v>6020010</v>
      </c>
      <c r="B306" s="26" t="s">
        <v>763</v>
      </c>
      <c r="C306" s="26" t="s">
        <v>70</v>
      </c>
      <c r="D306" s="66">
        <v>0</v>
      </c>
      <c r="E306" s="70">
        <v>0</v>
      </c>
      <c r="F306" s="71">
        <v>0</v>
      </c>
      <c r="G306" s="69">
        <v>0</v>
      </c>
      <c r="H306" s="71">
        <v>0</v>
      </c>
      <c r="I306" s="71">
        <f t="shared" si="4"/>
        <v>0</v>
      </c>
    </row>
    <row r="307" spans="1:9" x14ac:dyDescent="0.25">
      <c r="A307" s="26">
        <v>6020021</v>
      </c>
      <c r="B307" s="26" t="s">
        <v>766</v>
      </c>
      <c r="C307" s="26" t="s">
        <v>767</v>
      </c>
      <c r="D307" s="66">
        <v>0</v>
      </c>
      <c r="E307" s="70">
        <v>0</v>
      </c>
      <c r="F307" s="71">
        <v>0</v>
      </c>
      <c r="G307" s="69">
        <v>0</v>
      </c>
      <c r="H307" s="71">
        <v>0</v>
      </c>
      <c r="I307" s="71">
        <f t="shared" si="4"/>
        <v>0</v>
      </c>
    </row>
    <row r="308" spans="1:9" x14ac:dyDescent="0.25">
      <c r="A308" s="26">
        <v>6020024</v>
      </c>
      <c r="B308" s="26" t="s">
        <v>769</v>
      </c>
      <c r="C308" s="26" t="s">
        <v>767</v>
      </c>
      <c r="D308" s="66">
        <v>0</v>
      </c>
      <c r="E308" s="70">
        <v>0</v>
      </c>
      <c r="F308" s="71">
        <v>0</v>
      </c>
      <c r="G308" s="69">
        <v>0</v>
      </c>
      <c r="H308" s="71">
        <v>0</v>
      </c>
      <c r="I308" s="71">
        <f t="shared" si="4"/>
        <v>0</v>
      </c>
    </row>
    <row r="309" spans="1:9" x14ac:dyDescent="0.25">
      <c r="A309" s="26">
        <v>6020030</v>
      </c>
      <c r="B309" s="26" t="s">
        <v>771</v>
      </c>
      <c r="C309" s="26" t="s">
        <v>767</v>
      </c>
      <c r="D309" s="66">
        <v>0</v>
      </c>
      <c r="E309" s="70">
        <v>0</v>
      </c>
      <c r="F309" s="71">
        <v>0</v>
      </c>
      <c r="G309" s="69">
        <v>0</v>
      </c>
      <c r="H309" s="71">
        <v>0</v>
      </c>
      <c r="I309" s="71">
        <f t="shared" si="4"/>
        <v>0</v>
      </c>
    </row>
    <row r="310" spans="1:9" x14ac:dyDescent="0.25">
      <c r="A310" s="26">
        <v>60201071</v>
      </c>
      <c r="B310" s="26" t="s">
        <v>769</v>
      </c>
      <c r="C310" s="26" t="s">
        <v>773</v>
      </c>
      <c r="D310" s="66">
        <v>0</v>
      </c>
      <c r="E310" s="70">
        <v>0</v>
      </c>
      <c r="F310" s="71">
        <v>0</v>
      </c>
      <c r="G310" s="69">
        <v>0</v>
      </c>
      <c r="H310" s="71">
        <v>0</v>
      </c>
      <c r="I310" s="71">
        <f t="shared" si="4"/>
        <v>0</v>
      </c>
    </row>
    <row r="311" spans="1:9" x14ac:dyDescent="0.25">
      <c r="A311" s="26">
        <v>60201119</v>
      </c>
      <c r="B311" s="26" t="s">
        <v>775</v>
      </c>
      <c r="C311" s="26" t="s">
        <v>623</v>
      </c>
      <c r="D311" s="66">
        <v>0</v>
      </c>
      <c r="E311" s="70">
        <v>0</v>
      </c>
      <c r="F311" s="71">
        <v>0</v>
      </c>
      <c r="G311" s="69">
        <v>0</v>
      </c>
      <c r="H311" s="71">
        <v>0</v>
      </c>
      <c r="I311" s="71">
        <f t="shared" si="4"/>
        <v>0</v>
      </c>
    </row>
    <row r="312" spans="1:9" x14ac:dyDescent="0.25">
      <c r="A312" s="26">
        <v>60201573</v>
      </c>
      <c r="B312" s="26" t="s">
        <v>763</v>
      </c>
      <c r="C312" s="26" t="s">
        <v>777</v>
      </c>
      <c r="D312" s="66">
        <v>0</v>
      </c>
      <c r="E312" s="70">
        <v>0</v>
      </c>
      <c r="F312" s="71">
        <v>0</v>
      </c>
      <c r="G312" s="69">
        <v>0</v>
      </c>
      <c r="H312" s="71">
        <v>0</v>
      </c>
      <c r="I312" s="71">
        <f t="shared" si="4"/>
        <v>0</v>
      </c>
    </row>
    <row r="313" spans="1:9" x14ac:dyDescent="0.25">
      <c r="A313" s="26">
        <v>6020232</v>
      </c>
      <c r="B313" s="26" t="s">
        <v>779</v>
      </c>
      <c r="C313" s="26" t="s">
        <v>780</v>
      </c>
      <c r="D313" s="66">
        <v>0</v>
      </c>
      <c r="E313" s="70">
        <v>0</v>
      </c>
      <c r="F313" s="71">
        <v>0</v>
      </c>
      <c r="G313" s="69">
        <v>0</v>
      </c>
      <c r="H313" s="71">
        <v>0</v>
      </c>
      <c r="I313" s="71">
        <f t="shared" si="4"/>
        <v>0</v>
      </c>
    </row>
    <row r="314" spans="1:9" x14ac:dyDescent="0.25">
      <c r="A314" s="26">
        <v>6020235</v>
      </c>
      <c r="B314" s="26" t="s">
        <v>69</v>
      </c>
      <c r="C314" s="26" t="s">
        <v>70</v>
      </c>
      <c r="D314" s="66">
        <v>0</v>
      </c>
      <c r="E314" s="70">
        <v>0</v>
      </c>
      <c r="F314" s="71">
        <v>0</v>
      </c>
      <c r="G314" s="69">
        <v>0</v>
      </c>
      <c r="H314" s="71">
        <v>0</v>
      </c>
      <c r="I314" s="71">
        <f t="shared" si="4"/>
        <v>0</v>
      </c>
    </row>
    <row r="315" spans="1:9" x14ac:dyDescent="0.25">
      <c r="A315" s="26">
        <v>6020249</v>
      </c>
      <c r="B315" s="26" t="s">
        <v>782</v>
      </c>
      <c r="C315" s="26" t="s">
        <v>780</v>
      </c>
      <c r="D315" s="66">
        <v>0</v>
      </c>
      <c r="E315" s="70">
        <v>0</v>
      </c>
      <c r="F315" s="71">
        <v>0</v>
      </c>
      <c r="G315" s="69">
        <v>0</v>
      </c>
      <c r="H315" s="71">
        <v>0</v>
      </c>
      <c r="I315" s="71">
        <f t="shared" si="4"/>
        <v>0</v>
      </c>
    </row>
    <row r="316" spans="1:9" x14ac:dyDescent="0.25">
      <c r="A316" s="26">
        <v>60202495</v>
      </c>
      <c r="B316" s="26" t="s">
        <v>779</v>
      </c>
      <c r="C316" s="26" t="s">
        <v>623</v>
      </c>
      <c r="D316" s="66">
        <v>0</v>
      </c>
      <c r="E316" s="70">
        <v>0</v>
      </c>
      <c r="F316" s="71">
        <v>0</v>
      </c>
      <c r="G316" s="69">
        <v>0</v>
      </c>
      <c r="H316" s="71">
        <v>0</v>
      </c>
      <c r="I316" s="71">
        <f t="shared" si="4"/>
        <v>0</v>
      </c>
    </row>
    <row r="317" spans="1:9" x14ac:dyDescent="0.25">
      <c r="A317" s="26">
        <v>6020276</v>
      </c>
      <c r="B317" s="26" t="s">
        <v>69</v>
      </c>
      <c r="C317" s="26" t="s">
        <v>785</v>
      </c>
      <c r="D317" s="66">
        <v>0</v>
      </c>
      <c r="E317" s="70">
        <v>0</v>
      </c>
      <c r="F317" s="71">
        <v>0</v>
      </c>
      <c r="G317" s="69">
        <v>0</v>
      </c>
      <c r="H317" s="71">
        <v>0</v>
      </c>
      <c r="I317" s="71">
        <f t="shared" si="4"/>
        <v>0</v>
      </c>
    </row>
    <row r="318" spans="1:9" x14ac:dyDescent="0.25">
      <c r="A318" s="26">
        <v>6020658</v>
      </c>
      <c r="B318" s="26" t="s">
        <v>782</v>
      </c>
      <c r="C318" s="26" t="s">
        <v>787</v>
      </c>
      <c r="D318" s="66">
        <v>0</v>
      </c>
      <c r="E318" s="70">
        <v>0</v>
      </c>
      <c r="F318" s="71">
        <v>0</v>
      </c>
      <c r="G318" s="69">
        <v>0</v>
      </c>
      <c r="H318" s="71">
        <v>0</v>
      </c>
      <c r="I318" s="71">
        <f t="shared" si="4"/>
        <v>0</v>
      </c>
    </row>
    <row r="319" spans="1:9" x14ac:dyDescent="0.25">
      <c r="A319" s="26">
        <v>6030012</v>
      </c>
      <c r="B319" s="26" t="s">
        <v>789</v>
      </c>
      <c r="C319" s="26" t="s">
        <v>35</v>
      </c>
      <c r="D319" s="66">
        <v>0</v>
      </c>
      <c r="E319" s="70">
        <v>0</v>
      </c>
      <c r="F319" s="71">
        <v>0</v>
      </c>
      <c r="G319" s="69">
        <v>0</v>
      </c>
      <c r="H319" s="71">
        <v>0</v>
      </c>
      <c r="I319" s="71">
        <f t="shared" si="4"/>
        <v>0</v>
      </c>
    </row>
    <row r="320" spans="1:9" x14ac:dyDescent="0.25">
      <c r="A320" s="26">
        <v>6030020</v>
      </c>
      <c r="B320" s="26" t="s">
        <v>792</v>
      </c>
      <c r="C320" s="26" t="s">
        <v>35</v>
      </c>
      <c r="D320" s="66">
        <v>0</v>
      </c>
      <c r="E320" s="70">
        <v>0</v>
      </c>
      <c r="F320" s="71">
        <v>0</v>
      </c>
      <c r="G320" s="69">
        <v>0</v>
      </c>
      <c r="H320" s="71">
        <v>0</v>
      </c>
      <c r="I320" s="71">
        <f t="shared" si="4"/>
        <v>0</v>
      </c>
    </row>
    <row r="321" spans="1:9" x14ac:dyDescent="0.25">
      <c r="A321" s="26">
        <v>6030030</v>
      </c>
      <c r="B321" s="26" t="s">
        <v>794</v>
      </c>
      <c r="C321" s="26" t="s">
        <v>35</v>
      </c>
      <c r="D321" s="66">
        <v>0</v>
      </c>
      <c r="E321" s="70">
        <v>0</v>
      </c>
      <c r="F321" s="71">
        <v>0</v>
      </c>
      <c r="G321" s="69">
        <v>0</v>
      </c>
      <c r="H321" s="71">
        <v>0</v>
      </c>
      <c r="I321" s="71">
        <f t="shared" si="4"/>
        <v>0</v>
      </c>
    </row>
    <row r="322" spans="1:9" x14ac:dyDescent="0.25">
      <c r="A322" s="26">
        <v>6040085</v>
      </c>
      <c r="B322" s="26" t="s">
        <v>796</v>
      </c>
      <c r="C322" s="26" t="s">
        <v>609</v>
      </c>
      <c r="D322" s="66">
        <v>0</v>
      </c>
      <c r="E322" s="70">
        <v>0</v>
      </c>
      <c r="F322" s="71">
        <v>0</v>
      </c>
      <c r="G322" s="69">
        <v>0</v>
      </c>
      <c r="H322" s="71">
        <v>0</v>
      </c>
      <c r="I322" s="71">
        <f t="shared" si="4"/>
        <v>0</v>
      </c>
    </row>
    <row r="323" spans="1:9" x14ac:dyDescent="0.25">
      <c r="A323" s="26">
        <v>6040088</v>
      </c>
      <c r="B323" s="26" t="s">
        <v>799</v>
      </c>
      <c r="C323" s="26" t="s">
        <v>609</v>
      </c>
      <c r="D323" s="66">
        <v>0</v>
      </c>
      <c r="E323" s="70">
        <v>0</v>
      </c>
      <c r="F323" s="71">
        <v>0</v>
      </c>
      <c r="G323" s="69">
        <v>0</v>
      </c>
      <c r="H323" s="71">
        <v>0</v>
      </c>
      <c r="I323" s="71">
        <f t="shared" si="4"/>
        <v>0</v>
      </c>
    </row>
    <row r="324" spans="1:9" x14ac:dyDescent="0.25">
      <c r="A324" s="26">
        <v>6111955</v>
      </c>
      <c r="B324" s="26" t="s">
        <v>801</v>
      </c>
      <c r="C324" s="26" t="s">
        <v>803</v>
      </c>
      <c r="D324" s="66">
        <v>0</v>
      </c>
      <c r="E324" s="70">
        <v>0</v>
      </c>
      <c r="F324" s="71">
        <v>0</v>
      </c>
      <c r="G324" s="69">
        <v>0</v>
      </c>
      <c r="H324" s="71">
        <v>0</v>
      </c>
      <c r="I324" s="71">
        <f t="shared" si="4"/>
        <v>0</v>
      </c>
    </row>
    <row r="325" spans="1:9" x14ac:dyDescent="0.25">
      <c r="A325" s="26">
        <v>6510110</v>
      </c>
      <c r="B325" s="26" t="s">
        <v>805</v>
      </c>
      <c r="C325" s="26" t="s">
        <v>531</v>
      </c>
      <c r="D325" s="66">
        <v>0</v>
      </c>
      <c r="E325" s="70">
        <v>0</v>
      </c>
      <c r="F325" s="71">
        <v>0</v>
      </c>
      <c r="G325" s="69">
        <v>0</v>
      </c>
      <c r="H325" s="71">
        <v>0</v>
      </c>
      <c r="I325" s="71">
        <f t="shared" ref="I325:I388" si="5">IF(ISNUMBER(H325),F325-H325,"")</f>
        <v>0</v>
      </c>
    </row>
    <row r="326" spans="1:9" x14ac:dyDescent="0.25">
      <c r="A326" s="26">
        <v>6510130</v>
      </c>
      <c r="B326" s="26" t="s">
        <v>808</v>
      </c>
      <c r="C326" s="26" t="s">
        <v>531</v>
      </c>
      <c r="D326" s="66">
        <v>0</v>
      </c>
      <c r="E326" s="70">
        <v>0</v>
      </c>
      <c r="F326" s="71">
        <v>0</v>
      </c>
      <c r="G326" s="69">
        <v>0</v>
      </c>
      <c r="H326" s="71">
        <v>0</v>
      </c>
      <c r="I326" s="71">
        <f t="shared" si="5"/>
        <v>0</v>
      </c>
    </row>
    <row r="327" spans="1:9" x14ac:dyDescent="0.25">
      <c r="A327" s="26">
        <v>6510140</v>
      </c>
      <c r="B327" s="26" t="s">
        <v>810</v>
      </c>
      <c r="C327" s="26" t="s">
        <v>531</v>
      </c>
      <c r="D327" s="66">
        <v>0</v>
      </c>
      <c r="E327" s="70">
        <v>0</v>
      </c>
      <c r="F327" s="71">
        <v>0</v>
      </c>
      <c r="G327" s="69">
        <v>0</v>
      </c>
      <c r="H327" s="71">
        <v>0</v>
      </c>
      <c r="I327" s="71">
        <f t="shared" si="5"/>
        <v>0</v>
      </c>
    </row>
    <row r="328" spans="1:9" x14ac:dyDescent="0.25">
      <c r="A328" s="26">
        <v>6510150</v>
      </c>
      <c r="B328" s="26" t="s">
        <v>812</v>
      </c>
      <c r="C328" s="26" t="s">
        <v>531</v>
      </c>
      <c r="D328" s="66">
        <v>0</v>
      </c>
      <c r="E328" s="70">
        <v>0</v>
      </c>
      <c r="F328" s="71">
        <v>0</v>
      </c>
      <c r="G328" s="69">
        <v>0</v>
      </c>
      <c r="H328" s="71">
        <v>0</v>
      </c>
      <c r="I328" s="71">
        <f t="shared" si="5"/>
        <v>0</v>
      </c>
    </row>
    <row r="329" spans="1:9" x14ac:dyDescent="0.25">
      <c r="A329" s="26">
        <v>6510160</v>
      </c>
      <c r="B329" s="26" t="s">
        <v>47</v>
      </c>
      <c r="C329" s="26" t="s">
        <v>531</v>
      </c>
      <c r="D329" s="66">
        <v>0</v>
      </c>
      <c r="E329" s="70">
        <v>0</v>
      </c>
      <c r="F329" s="71">
        <v>0</v>
      </c>
      <c r="G329" s="69">
        <v>0</v>
      </c>
      <c r="H329" s="71">
        <v>0</v>
      </c>
      <c r="I329" s="71">
        <f t="shared" si="5"/>
        <v>0</v>
      </c>
    </row>
    <row r="330" spans="1:9" x14ac:dyDescent="0.25">
      <c r="A330" s="26">
        <v>6510170</v>
      </c>
      <c r="B330" s="26" t="s">
        <v>815</v>
      </c>
      <c r="C330" s="26" t="s">
        <v>531</v>
      </c>
      <c r="D330" s="66">
        <v>0</v>
      </c>
      <c r="E330" s="70">
        <v>0</v>
      </c>
      <c r="F330" s="71">
        <v>0</v>
      </c>
      <c r="G330" s="69">
        <v>0</v>
      </c>
      <c r="H330" s="71">
        <v>0</v>
      </c>
      <c r="I330" s="71">
        <f t="shared" si="5"/>
        <v>0</v>
      </c>
    </row>
    <row r="331" spans="1:9" x14ac:dyDescent="0.25">
      <c r="A331" s="26">
        <v>6510200</v>
      </c>
      <c r="B331" s="26" t="s">
        <v>817</v>
      </c>
      <c r="C331" s="26" t="s">
        <v>531</v>
      </c>
      <c r="D331" s="66">
        <v>0</v>
      </c>
      <c r="E331" s="70">
        <v>0</v>
      </c>
      <c r="F331" s="71">
        <v>0</v>
      </c>
      <c r="G331" s="69">
        <v>0</v>
      </c>
      <c r="H331" s="71">
        <v>0</v>
      </c>
      <c r="I331" s="71">
        <f t="shared" si="5"/>
        <v>0</v>
      </c>
    </row>
    <row r="332" spans="1:9" x14ac:dyDescent="0.25">
      <c r="A332" s="26">
        <v>6530030</v>
      </c>
      <c r="B332" s="26" t="s">
        <v>819</v>
      </c>
      <c r="C332" s="26" t="s">
        <v>505</v>
      </c>
      <c r="D332" s="66">
        <v>0</v>
      </c>
      <c r="E332" s="70">
        <v>0</v>
      </c>
      <c r="F332" s="71">
        <v>0</v>
      </c>
      <c r="G332" s="69">
        <v>0</v>
      </c>
      <c r="H332" s="71">
        <v>0</v>
      </c>
      <c r="I332" s="71">
        <f t="shared" si="5"/>
        <v>0</v>
      </c>
    </row>
    <row r="333" spans="1:9" x14ac:dyDescent="0.25">
      <c r="A333" s="26">
        <v>6530050</v>
      </c>
      <c r="B333" s="26" t="s">
        <v>822</v>
      </c>
      <c r="C333" s="26" t="s">
        <v>505</v>
      </c>
      <c r="D333" s="66">
        <v>0</v>
      </c>
      <c r="E333" s="70">
        <v>0</v>
      </c>
      <c r="F333" s="71">
        <v>0</v>
      </c>
      <c r="G333" s="69">
        <v>0</v>
      </c>
      <c r="H333" s="71">
        <v>0</v>
      </c>
      <c r="I333" s="71">
        <f t="shared" si="5"/>
        <v>0</v>
      </c>
    </row>
    <row r="334" spans="1:9" x14ac:dyDescent="0.25">
      <c r="A334" s="26">
        <v>6530070</v>
      </c>
      <c r="B334" s="26" t="s">
        <v>824</v>
      </c>
      <c r="C334" s="26" t="s">
        <v>825</v>
      </c>
      <c r="D334" s="66">
        <v>0</v>
      </c>
      <c r="E334" s="70">
        <v>0</v>
      </c>
      <c r="F334" s="71">
        <v>0</v>
      </c>
      <c r="G334" s="69">
        <v>0</v>
      </c>
      <c r="H334" s="71">
        <v>0</v>
      </c>
      <c r="I334" s="71">
        <f t="shared" si="5"/>
        <v>0</v>
      </c>
    </row>
    <row r="335" spans="1:9" x14ac:dyDescent="0.25">
      <c r="A335" s="26">
        <v>6530236</v>
      </c>
      <c r="B335" s="26" t="s">
        <v>819</v>
      </c>
      <c r="C335" s="26" t="s">
        <v>827</v>
      </c>
      <c r="D335" s="66">
        <v>0</v>
      </c>
      <c r="E335" s="70">
        <v>0</v>
      </c>
      <c r="F335" s="71">
        <v>0</v>
      </c>
      <c r="G335" s="69">
        <v>0</v>
      </c>
      <c r="H335" s="71">
        <v>0</v>
      </c>
      <c r="I335" s="71">
        <f t="shared" si="5"/>
        <v>0</v>
      </c>
    </row>
    <row r="336" spans="1:9" x14ac:dyDescent="0.25">
      <c r="A336" s="26">
        <v>6530279</v>
      </c>
      <c r="B336" s="26" t="s">
        <v>829</v>
      </c>
      <c r="C336" s="26" t="s">
        <v>830</v>
      </c>
      <c r="D336" s="66">
        <v>0</v>
      </c>
      <c r="E336" s="70">
        <v>0</v>
      </c>
      <c r="F336" s="71">
        <v>0</v>
      </c>
      <c r="G336" s="69">
        <v>0</v>
      </c>
      <c r="H336" s="71">
        <v>0</v>
      </c>
      <c r="I336" s="71">
        <f t="shared" si="5"/>
        <v>0</v>
      </c>
    </row>
    <row r="337" spans="1:9" x14ac:dyDescent="0.25">
      <c r="A337" s="26">
        <v>6530286</v>
      </c>
      <c r="B337" s="26" t="s">
        <v>822</v>
      </c>
      <c r="C337" s="26" t="s">
        <v>827</v>
      </c>
      <c r="D337" s="66">
        <v>0</v>
      </c>
      <c r="E337" s="70">
        <v>0</v>
      </c>
      <c r="F337" s="71">
        <v>0</v>
      </c>
      <c r="G337" s="69">
        <v>0</v>
      </c>
      <c r="H337" s="71">
        <v>0</v>
      </c>
      <c r="I337" s="71">
        <f t="shared" si="5"/>
        <v>0</v>
      </c>
    </row>
    <row r="338" spans="1:9" x14ac:dyDescent="0.25">
      <c r="A338" s="26">
        <v>6540090</v>
      </c>
      <c r="B338" s="26" t="s">
        <v>833</v>
      </c>
      <c r="C338" s="26" t="s">
        <v>53</v>
      </c>
      <c r="D338" s="66">
        <v>0</v>
      </c>
      <c r="E338" s="70">
        <v>0</v>
      </c>
      <c r="F338" s="71">
        <v>0</v>
      </c>
      <c r="G338" s="69">
        <v>0</v>
      </c>
      <c r="H338" s="71">
        <v>0</v>
      </c>
      <c r="I338" s="71">
        <f t="shared" si="5"/>
        <v>0</v>
      </c>
    </row>
    <row r="339" spans="1:9" x14ac:dyDescent="0.25">
      <c r="A339" s="26">
        <v>65401475</v>
      </c>
      <c r="B339" s="26" t="s">
        <v>836</v>
      </c>
      <c r="C339" s="26" t="s">
        <v>837</v>
      </c>
      <c r="D339" s="66">
        <v>0</v>
      </c>
      <c r="E339" s="70">
        <v>0</v>
      </c>
      <c r="F339" s="71">
        <v>0</v>
      </c>
      <c r="G339" s="69">
        <v>0</v>
      </c>
      <c r="H339" s="71">
        <v>0</v>
      </c>
      <c r="I339" s="71">
        <f t="shared" si="5"/>
        <v>0</v>
      </c>
    </row>
    <row r="340" spans="1:9" x14ac:dyDescent="0.25">
      <c r="A340" s="26">
        <v>65401555</v>
      </c>
      <c r="B340" s="26" t="s">
        <v>839</v>
      </c>
      <c r="C340" s="26" t="s">
        <v>840</v>
      </c>
      <c r="D340" s="66">
        <v>0</v>
      </c>
      <c r="E340" s="70">
        <v>0</v>
      </c>
      <c r="F340" s="71">
        <v>0</v>
      </c>
      <c r="G340" s="69">
        <v>0</v>
      </c>
      <c r="H340" s="71">
        <v>0</v>
      </c>
      <c r="I340" s="71">
        <f t="shared" si="5"/>
        <v>0</v>
      </c>
    </row>
    <row r="341" spans="1:9" x14ac:dyDescent="0.25">
      <c r="A341" s="26">
        <v>65401686</v>
      </c>
      <c r="B341" s="26" t="s">
        <v>842</v>
      </c>
      <c r="C341" s="26" t="s">
        <v>415</v>
      </c>
      <c r="D341" s="66">
        <v>0</v>
      </c>
      <c r="E341" s="70">
        <v>0</v>
      </c>
      <c r="F341" s="71">
        <v>0</v>
      </c>
      <c r="G341" s="69">
        <v>0</v>
      </c>
      <c r="H341" s="71">
        <v>0</v>
      </c>
      <c r="I341" s="71">
        <f t="shared" si="5"/>
        <v>0</v>
      </c>
    </row>
    <row r="342" spans="1:9" x14ac:dyDescent="0.25">
      <c r="A342" s="26">
        <v>6540232</v>
      </c>
      <c r="B342" s="26" t="s">
        <v>844</v>
      </c>
      <c r="C342" s="26" t="s">
        <v>53</v>
      </c>
      <c r="D342" s="66">
        <v>0</v>
      </c>
      <c r="E342" s="70">
        <v>0</v>
      </c>
      <c r="F342" s="71">
        <v>0</v>
      </c>
      <c r="G342" s="69">
        <v>0</v>
      </c>
      <c r="H342" s="71">
        <v>0</v>
      </c>
      <c r="I342" s="71">
        <f t="shared" si="5"/>
        <v>0</v>
      </c>
    </row>
    <row r="343" spans="1:9" x14ac:dyDescent="0.25">
      <c r="A343" s="26">
        <v>74101428</v>
      </c>
      <c r="B343" s="26" t="s">
        <v>846</v>
      </c>
      <c r="C343" s="26" t="s">
        <v>847</v>
      </c>
      <c r="D343" s="66">
        <v>0</v>
      </c>
      <c r="E343" s="70">
        <v>0</v>
      </c>
      <c r="F343" s="71">
        <v>0</v>
      </c>
      <c r="G343" s="69">
        <v>0</v>
      </c>
      <c r="H343" s="71">
        <v>0</v>
      </c>
      <c r="I343" s="71">
        <f t="shared" si="5"/>
        <v>0</v>
      </c>
    </row>
    <row r="344" spans="1:9" x14ac:dyDescent="0.25">
      <c r="A344" s="26">
        <v>7417010</v>
      </c>
      <c r="B344" s="26" t="s">
        <v>849</v>
      </c>
      <c r="C344" s="26" t="s">
        <v>850</v>
      </c>
      <c r="D344" s="66">
        <v>0</v>
      </c>
      <c r="E344" s="70">
        <v>0</v>
      </c>
      <c r="F344" s="71">
        <v>0</v>
      </c>
      <c r="G344" s="69">
        <v>0</v>
      </c>
      <c r="H344" s="71">
        <v>0</v>
      </c>
      <c r="I344" s="71">
        <f t="shared" si="5"/>
        <v>0</v>
      </c>
    </row>
    <row r="345" spans="1:9" x14ac:dyDescent="0.25">
      <c r="A345" s="26">
        <v>7417191</v>
      </c>
      <c r="B345" s="26" t="s">
        <v>676</v>
      </c>
      <c r="C345" s="26" t="s">
        <v>660</v>
      </c>
      <c r="D345" s="66">
        <v>0</v>
      </c>
      <c r="E345" s="70">
        <v>0</v>
      </c>
      <c r="F345" s="71">
        <v>0</v>
      </c>
      <c r="G345" s="69">
        <v>0</v>
      </c>
      <c r="H345" s="71">
        <v>0</v>
      </c>
      <c r="I345" s="71">
        <f t="shared" si="5"/>
        <v>0</v>
      </c>
    </row>
    <row r="346" spans="1:9" x14ac:dyDescent="0.25">
      <c r="A346" s="26">
        <v>7417920</v>
      </c>
      <c r="B346" s="26" t="s">
        <v>853</v>
      </c>
      <c r="C346" s="26" t="s">
        <v>854</v>
      </c>
      <c r="D346" s="66">
        <v>0</v>
      </c>
      <c r="E346" s="70">
        <v>0</v>
      </c>
      <c r="F346" s="71">
        <v>0</v>
      </c>
      <c r="G346" s="69">
        <v>0</v>
      </c>
      <c r="H346" s="71">
        <v>0</v>
      </c>
      <c r="I346" s="71">
        <f t="shared" si="5"/>
        <v>0</v>
      </c>
    </row>
    <row r="347" spans="1:9" x14ac:dyDescent="0.25">
      <c r="A347" s="26">
        <v>7492966</v>
      </c>
      <c r="B347" s="26" t="s">
        <v>856</v>
      </c>
      <c r="C347" s="26" t="s">
        <v>803</v>
      </c>
      <c r="D347" s="66">
        <v>0</v>
      </c>
      <c r="E347" s="70">
        <v>0</v>
      </c>
      <c r="F347" s="71">
        <v>0</v>
      </c>
      <c r="G347" s="69">
        <v>0</v>
      </c>
      <c r="H347" s="71">
        <v>0</v>
      </c>
      <c r="I347" s="71">
        <f t="shared" si="5"/>
        <v>0</v>
      </c>
    </row>
    <row r="348" spans="1:9" x14ac:dyDescent="0.25">
      <c r="A348" s="26">
        <v>7510040</v>
      </c>
      <c r="B348" s="26" t="s">
        <v>858</v>
      </c>
      <c r="C348" s="26" t="s">
        <v>35</v>
      </c>
      <c r="D348" s="66">
        <v>0</v>
      </c>
      <c r="E348" s="70">
        <v>0</v>
      </c>
      <c r="F348" s="71">
        <v>0</v>
      </c>
      <c r="G348" s="69">
        <v>0</v>
      </c>
      <c r="H348" s="71">
        <v>0</v>
      </c>
      <c r="I348" s="71">
        <f t="shared" si="5"/>
        <v>0</v>
      </c>
    </row>
    <row r="349" spans="1:9" x14ac:dyDescent="0.25">
      <c r="A349" s="26">
        <v>7510060</v>
      </c>
      <c r="B349" s="26" t="s">
        <v>861</v>
      </c>
      <c r="C349" s="26" t="s">
        <v>35</v>
      </c>
      <c r="D349" s="66">
        <v>0</v>
      </c>
      <c r="E349" s="70">
        <v>0</v>
      </c>
      <c r="F349" s="71">
        <v>0</v>
      </c>
      <c r="G349" s="69">
        <v>0</v>
      </c>
      <c r="H349" s="71">
        <v>0</v>
      </c>
      <c r="I349" s="71">
        <f t="shared" si="5"/>
        <v>0</v>
      </c>
    </row>
    <row r="350" spans="1:9" x14ac:dyDescent="0.25">
      <c r="A350" s="26">
        <v>7520035</v>
      </c>
      <c r="B350" s="26" t="s">
        <v>863</v>
      </c>
      <c r="C350" s="26" t="s">
        <v>194</v>
      </c>
      <c r="D350" s="66">
        <v>0</v>
      </c>
      <c r="E350" s="70">
        <v>0</v>
      </c>
      <c r="F350" s="71">
        <v>0</v>
      </c>
      <c r="G350" s="69">
        <v>0</v>
      </c>
      <c r="H350" s="71">
        <v>0</v>
      </c>
      <c r="I350" s="71">
        <f t="shared" si="5"/>
        <v>0</v>
      </c>
    </row>
    <row r="351" spans="1:9" x14ac:dyDescent="0.25">
      <c r="A351" s="26">
        <v>7530114</v>
      </c>
      <c r="B351" s="26" t="s">
        <v>866</v>
      </c>
      <c r="C351" s="26" t="s">
        <v>464</v>
      </c>
      <c r="D351" s="66">
        <v>0</v>
      </c>
      <c r="E351" s="70">
        <v>0</v>
      </c>
      <c r="F351" s="71">
        <v>0</v>
      </c>
      <c r="G351" s="69">
        <v>0</v>
      </c>
      <c r="H351" s="71">
        <v>0</v>
      </c>
      <c r="I351" s="71">
        <f t="shared" si="5"/>
        <v>0</v>
      </c>
    </row>
    <row r="352" spans="1:9" x14ac:dyDescent="0.25">
      <c r="A352" s="26">
        <v>7540175</v>
      </c>
      <c r="B352" s="26" t="s">
        <v>869</v>
      </c>
      <c r="C352" s="26" t="s">
        <v>479</v>
      </c>
      <c r="D352" s="66">
        <v>0</v>
      </c>
      <c r="E352" s="70">
        <v>0</v>
      </c>
      <c r="F352" s="71">
        <v>0</v>
      </c>
      <c r="G352" s="69">
        <v>0</v>
      </c>
      <c r="H352" s="71">
        <v>0</v>
      </c>
      <c r="I352" s="71">
        <f t="shared" si="5"/>
        <v>0</v>
      </c>
    </row>
    <row r="353" spans="1:9" x14ac:dyDescent="0.25">
      <c r="A353" s="26">
        <v>7550010</v>
      </c>
      <c r="B353" s="26" t="s">
        <v>872</v>
      </c>
      <c r="C353" s="26" t="s">
        <v>780</v>
      </c>
      <c r="D353" s="66">
        <v>0</v>
      </c>
      <c r="E353" s="70">
        <v>0</v>
      </c>
      <c r="F353" s="71">
        <v>0</v>
      </c>
      <c r="G353" s="69">
        <v>0</v>
      </c>
      <c r="H353" s="71">
        <v>0</v>
      </c>
      <c r="I353" s="71">
        <f t="shared" si="5"/>
        <v>0</v>
      </c>
    </row>
    <row r="354" spans="1:9" x14ac:dyDescent="0.25">
      <c r="A354" s="26">
        <v>7550050</v>
      </c>
      <c r="B354" s="26" t="s">
        <v>875</v>
      </c>
      <c r="C354" s="26" t="s">
        <v>780</v>
      </c>
      <c r="D354" s="66">
        <v>0</v>
      </c>
      <c r="E354" s="70">
        <v>0</v>
      </c>
      <c r="F354" s="71">
        <v>0</v>
      </c>
      <c r="G354" s="69">
        <v>0</v>
      </c>
      <c r="H354" s="71">
        <v>0</v>
      </c>
      <c r="I354" s="71">
        <f t="shared" si="5"/>
        <v>0</v>
      </c>
    </row>
    <row r="355" spans="1:9" x14ac:dyDescent="0.25">
      <c r="A355" s="26">
        <v>7550137</v>
      </c>
      <c r="B355" s="26" t="s">
        <v>877</v>
      </c>
      <c r="C355" s="26" t="s">
        <v>665</v>
      </c>
      <c r="D355" s="66">
        <v>0</v>
      </c>
      <c r="E355" s="70">
        <v>0</v>
      </c>
      <c r="F355" s="71">
        <v>0</v>
      </c>
      <c r="G355" s="69">
        <v>0</v>
      </c>
      <c r="H355" s="71">
        <v>0</v>
      </c>
      <c r="I355" s="71">
        <f t="shared" si="5"/>
        <v>0</v>
      </c>
    </row>
    <row r="356" spans="1:9" x14ac:dyDescent="0.25">
      <c r="A356" s="26">
        <v>7550152</v>
      </c>
      <c r="B356" s="26" t="s">
        <v>875</v>
      </c>
      <c r="C356" s="26" t="s">
        <v>879</v>
      </c>
      <c r="D356" s="66">
        <v>0</v>
      </c>
      <c r="E356" s="70">
        <v>0</v>
      </c>
      <c r="F356" s="71">
        <v>0</v>
      </c>
      <c r="G356" s="69">
        <v>0</v>
      </c>
      <c r="H356" s="71">
        <v>0</v>
      </c>
      <c r="I356" s="71">
        <f t="shared" si="5"/>
        <v>0</v>
      </c>
    </row>
    <row r="357" spans="1:9" x14ac:dyDescent="0.25">
      <c r="A357" s="26">
        <v>7560030</v>
      </c>
      <c r="B357" s="26" t="s">
        <v>881</v>
      </c>
      <c r="C357" s="26" t="s">
        <v>35</v>
      </c>
      <c r="D357" s="66">
        <v>0</v>
      </c>
      <c r="E357" s="70">
        <v>0</v>
      </c>
      <c r="F357" s="71">
        <v>0</v>
      </c>
      <c r="G357" s="69">
        <v>0</v>
      </c>
      <c r="H357" s="71">
        <v>0</v>
      </c>
      <c r="I357" s="71">
        <f t="shared" si="5"/>
        <v>0</v>
      </c>
    </row>
    <row r="358" spans="1:9" x14ac:dyDescent="0.25">
      <c r="A358" s="26">
        <v>7560050</v>
      </c>
      <c r="B358" s="26" t="s">
        <v>884</v>
      </c>
      <c r="C358" s="26" t="s">
        <v>35</v>
      </c>
      <c r="D358" s="66">
        <v>0</v>
      </c>
      <c r="E358" s="70">
        <v>0</v>
      </c>
      <c r="F358" s="71">
        <v>0</v>
      </c>
      <c r="G358" s="69">
        <v>0</v>
      </c>
      <c r="H358" s="71">
        <v>0</v>
      </c>
      <c r="I358" s="71">
        <f t="shared" si="5"/>
        <v>0</v>
      </c>
    </row>
    <row r="359" spans="1:9" x14ac:dyDescent="0.25">
      <c r="A359" s="26">
        <v>7560221</v>
      </c>
      <c r="B359" s="26" t="s">
        <v>886</v>
      </c>
      <c r="C359" s="26" t="s">
        <v>35</v>
      </c>
      <c r="D359" s="66">
        <v>0</v>
      </c>
      <c r="E359" s="70">
        <v>0</v>
      </c>
      <c r="F359" s="71">
        <v>0</v>
      </c>
      <c r="G359" s="69">
        <v>0</v>
      </c>
      <c r="H359" s="71">
        <v>0</v>
      </c>
      <c r="I359" s="71">
        <f t="shared" si="5"/>
        <v>0</v>
      </c>
    </row>
    <row r="360" spans="1:9" x14ac:dyDescent="0.25">
      <c r="A360" s="26">
        <v>7561030</v>
      </c>
      <c r="B360" s="26" t="s">
        <v>886</v>
      </c>
      <c r="C360" s="26" t="s">
        <v>314</v>
      </c>
      <c r="D360" s="66">
        <v>0</v>
      </c>
      <c r="E360" s="70">
        <v>0</v>
      </c>
      <c r="F360" s="71">
        <v>0</v>
      </c>
      <c r="G360" s="69">
        <v>0</v>
      </c>
      <c r="H360" s="71">
        <v>0</v>
      </c>
      <c r="I360" s="71">
        <f t="shared" si="5"/>
        <v>0</v>
      </c>
    </row>
    <row r="361" spans="1:9" x14ac:dyDescent="0.25">
      <c r="A361" s="26">
        <v>7561108</v>
      </c>
      <c r="B361" s="26" t="s">
        <v>889</v>
      </c>
      <c r="C361" s="26" t="s">
        <v>733</v>
      </c>
      <c r="D361" s="66">
        <v>0</v>
      </c>
      <c r="E361" s="70">
        <v>0</v>
      </c>
      <c r="F361" s="71">
        <v>0</v>
      </c>
      <c r="G361" s="69">
        <v>0</v>
      </c>
      <c r="H361" s="71">
        <v>0</v>
      </c>
      <c r="I361" s="71">
        <f t="shared" si="5"/>
        <v>0</v>
      </c>
    </row>
    <row r="362" spans="1:9" x14ac:dyDescent="0.25">
      <c r="A362" s="26">
        <v>75701108</v>
      </c>
      <c r="B362" s="26" t="s">
        <v>891</v>
      </c>
      <c r="C362" s="26" t="s">
        <v>893</v>
      </c>
      <c r="D362" s="66">
        <v>0</v>
      </c>
      <c r="E362" s="70">
        <v>0</v>
      </c>
      <c r="F362" s="71">
        <v>0</v>
      </c>
      <c r="G362" s="69">
        <v>0</v>
      </c>
      <c r="H362" s="71">
        <v>0</v>
      </c>
      <c r="I362" s="71">
        <f t="shared" si="5"/>
        <v>0</v>
      </c>
    </row>
    <row r="363" spans="1:9" x14ac:dyDescent="0.25">
      <c r="A363" s="26">
        <v>7570134</v>
      </c>
      <c r="B363" s="26" t="s">
        <v>895</v>
      </c>
      <c r="C363" s="26" t="s">
        <v>479</v>
      </c>
      <c r="D363" s="66">
        <v>0</v>
      </c>
      <c r="E363" s="70">
        <v>0</v>
      </c>
      <c r="F363" s="71">
        <v>0</v>
      </c>
      <c r="G363" s="69">
        <v>0</v>
      </c>
      <c r="H363" s="71">
        <v>0</v>
      </c>
      <c r="I363" s="71">
        <f t="shared" si="5"/>
        <v>0</v>
      </c>
    </row>
    <row r="364" spans="1:9" x14ac:dyDescent="0.25">
      <c r="A364" s="26">
        <v>7570164</v>
      </c>
      <c r="B364" s="26" t="s">
        <v>891</v>
      </c>
      <c r="C364" s="26" t="s">
        <v>479</v>
      </c>
      <c r="D364" s="66">
        <v>0</v>
      </c>
      <c r="E364" s="70">
        <v>0</v>
      </c>
      <c r="F364" s="71">
        <v>0</v>
      </c>
      <c r="G364" s="69">
        <v>0</v>
      </c>
      <c r="H364" s="71">
        <v>0</v>
      </c>
      <c r="I364" s="71">
        <f t="shared" si="5"/>
        <v>0</v>
      </c>
    </row>
    <row r="365" spans="1:9" x14ac:dyDescent="0.25">
      <c r="A365" s="26">
        <v>7570209</v>
      </c>
      <c r="B365" s="26" t="s">
        <v>898</v>
      </c>
      <c r="C365" s="26" t="s">
        <v>899</v>
      </c>
      <c r="D365" s="66">
        <v>0</v>
      </c>
      <c r="E365" s="70">
        <v>0</v>
      </c>
      <c r="F365" s="71">
        <v>0</v>
      </c>
      <c r="G365" s="69">
        <v>0</v>
      </c>
      <c r="H365" s="71">
        <v>0</v>
      </c>
      <c r="I365" s="71">
        <f t="shared" si="5"/>
        <v>0</v>
      </c>
    </row>
    <row r="366" spans="1:9" x14ac:dyDescent="0.25">
      <c r="A366" s="26">
        <v>7571230</v>
      </c>
      <c r="B366" s="26" t="s">
        <v>898</v>
      </c>
      <c r="C366" s="26" t="s">
        <v>901</v>
      </c>
      <c r="D366" s="66">
        <v>0</v>
      </c>
      <c r="E366" s="70">
        <v>0</v>
      </c>
      <c r="F366" s="71">
        <v>0</v>
      </c>
      <c r="G366" s="69">
        <v>0</v>
      </c>
      <c r="H366" s="71">
        <v>0</v>
      </c>
      <c r="I366" s="71">
        <f t="shared" si="5"/>
        <v>0</v>
      </c>
    </row>
    <row r="367" spans="1:9" x14ac:dyDescent="0.25">
      <c r="A367" s="26">
        <v>8510134</v>
      </c>
      <c r="B367" s="26" t="s">
        <v>718</v>
      </c>
      <c r="C367" s="26" t="s">
        <v>458</v>
      </c>
      <c r="D367" s="66">
        <v>0</v>
      </c>
      <c r="E367" s="70">
        <v>0</v>
      </c>
      <c r="F367" s="71">
        <v>0</v>
      </c>
      <c r="G367" s="69">
        <v>0</v>
      </c>
      <c r="H367" s="71">
        <v>0</v>
      </c>
      <c r="I367" s="71">
        <f t="shared" si="5"/>
        <v>0</v>
      </c>
    </row>
    <row r="368" spans="1:9" x14ac:dyDescent="0.25">
      <c r="A368" s="26">
        <v>8510138</v>
      </c>
      <c r="B368" s="26" t="s">
        <v>904</v>
      </c>
      <c r="C368" s="26" t="s">
        <v>415</v>
      </c>
      <c r="D368" s="66">
        <v>0</v>
      </c>
      <c r="E368" s="70">
        <v>0</v>
      </c>
      <c r="F368" s="71">
        <v>0</v>
      </c>
      <c r="G368" s="69">
        <v>0</v>
      </c>
      <c r="H368" s="71">
        <v>0</v>
      </c>
      <c r="I368" s="71">
        <f t="shared" si="5"/>
        <v>0</v>
      </c>
    </row>
    <row r="369" spans="1:9" x14ac:dyDescent="0.25">
      <c r="A369" s="26">
        <v>8510166</v>
      </c>
      <c r="B369" s="26" t="s">
        <v>906</v>
      </c>
      <c r="C369" s="26" t="s">
        <v>314</v>
      </c>
      <c r="D369" s="66">
        <v>0</v>
      </c>
      <c r="E369" s="70">
        <v>0</v>
      </c>
      <c r="F369" s="71">
        <v>0</v>
      </c>
      <c r="G369" s="69">
        <v>0</v>
      </c>
      <c r="H369" s="71">
        <v>0</v>
      </c>
      <c r="I369" s="71">
        <f t="shared" si="5"/>
        <v>0</v>
      </c>
    </row>
    <row r="370" spans="1:9" x14ac:dyDescent="0.25">
      <c r="A370" s="26">
        <v>8510385</v>
      </c>
      <c r="B370" s="26" t="s">
        <v>908</v>
      </c>
      <c r="C370" s="26" t="s">
        <v>314</v>
      </c>
      <c r="D370" s="66">
        <v>0</v>
      </c>
      <c r="E370" s="70">
        <v>0</v>
      </c>
      <c r="F370" s="71">
        <v>0</v>
      </c>
      <c r="G370" s="69">
        <v>0</v>
      </c>
      <c r="H370" s="71">
        <v>0</v>
      </c>
      <c r="I370" s="71">
        <f t="shared" si="5"/>
        <v>0</v>
      </c>
    </row>
    <row r="371" spans="1:9" x14ac:dyDescent="0.25">
      <c r="A371" s="26">
        <v>8510487</v>
      </c>
      <c r="B371" s="26" t="s">
        <v>910</v>
      </c>
      <c r="C371" s="26" t="s">
        <v>314</v>
      </c>
      <c r="D371" s="66">
        <v>0</v>
      </c>
      <c r="E371" s="70">
        <v>0</v>
      </c>
      <c r="F371" s="71">
        <v>0</v>
      </c>
      <c r="G371" s="69">
        <v>0</v>
      </c>
      <c r="H371" s="71">
        <v>0</v>
      </c>
      <c r="I371" s="71">
        <f t="shared" si="5"/>
        <v>0</v>
      </c>
    </row>
    <row r="372" spans="1:9" x14ac:dyDescent="0.25">
      <c r="A372" s="26">
        <v>8510543</v>
      </c>
      <c r="B372" s="26" t="s">
        <v>715</v>
      </c>
      <c r="C372" s="26" t="s">
        <v>474</v>
      </c>
      <c r="D372" s="66">
        <v>0</v>
      </c>
      <c r="E372" s="70">
        <v>0</v>
      </c>
      <c r="F372" s="71">
        <v>0</v>
      </c>
      <c r="G372" s="69">
        <v>0</v>
      </c>
      <c r="H372" s="71">
        <v>0</v>
      </c>
      <c r="I372" s="71">
        <f t="shared" si="5"/>
        <v>0</v>
      </c>
    </row>
    <row r="373" spans="1:9" x14ac:dyDescent="0.25">
      <c r="A373" s="26">
        <v>8510725</v>
      </c>
      <c r="B373" s="26" t="s">
        <v>724</v>
      </c>
      <c r="C373" s="26" t="s">
        <v>474</v>
      </c>
      <c r="D373" s="66">
        <v>0</v>
      </c>
      <c r="E373" s="70">
        <v>0</v>
      </c>
      <c r="F373" s="71">
        <v>0</v>
      </c>
      <c r="G373" s="69">
        <v>0</v>
      </c>
      <c r="H373" s="71">
        <v>0</v>
      </c>
      <c r="I373" s="71">
        <f t="shared" si="5"/>
        <v>0</v>
      </c>
    </row>
    <row r="374" spans="1:9" x14ac:dyDescent="0.25">
      <c r="A374" s="26">
        <v>8510905</v>
      </c>
      <c r="B374" s="26" t="s">
        <v>724</v>
      </c>
      <c r="C374" s="26" t="s">
        <v>719</v>
      </c>
      <c r="D374" s="66">
        <v>0</v>
      </c>
      <c r="E374" s="70">
        <v>0</v>
      </c>
      <c r="F374" s="71">
        <v>0</v>
      </c>
      <c r="G374" s="69">
        <v>0</v>
      </c>
      <c r="H374" s="71">
        <v>0</v>
      </c>
      <c r="I374" s="71">
        <f t="shared" si="5"/>
        <v>0</v>
      </c>
    </row>
    <row r="375" spans="1:9" x14ac:dyDescent="0.25">
      <c r="A375" s="26">
        <v>8511232</v>
      </c>
      <c r="B375" s="26" t="s">
        <v>727</v>
      </c>
      <c r="C375" s="26" t="s">
        <v>46</v>
      </c>
      <c r="D375" s="66">
        <v>0</v>
      </c>
      <c r="E375" s="70">
        <v>0</v>
      </c>
      <c r="F375" s="71">
        <v>0</v>
      </c>
      <c r="G375" s="69">
        <v>0</v>
      </c>
      <c r="H375" s="71">
        <v>0</v>
      </c>
      <c r="I375" s="71">
        <f t="shared" si="5"/>
        <v>0</v>
      </c>
    </row>
    <row r="376" spans="1:9" x14ac:dyDescent="0.25">
      <c r="A376" s="26">
        <v>85116753</v>
      </c>
      <c r="B376" s="26" t="s">
        <v>908</v>
      </c>
      <c r="C376" s="26" t="s">
        <v>916</v>
      </c>
      <c r="D376" s="66">
        <v>0</v>
      </c>
      <c r="E376" s="70">
        <v>0</v>
      </c>
      <c r="F376" s="71">
        <v>0</v>
      </c>
      <c r="G376" s="69">
        <v>0</v>
      </c>
      <c r="H376" s="71">
        <v>0</v>
      </c>
      <c r="I376" s="71">
        <f t="shared" si="5"/>
        <v>0</v>
      </c>
    </row>
    <row r="377" spans="1:9" x14ac:dyDescent="0.25">
      <c r="A377" s="26">
        <v>85116999</v>
      </c>
      <c r="B377" s="26" t="s">
        <v>918</v>
      </c>
      <c r="C377" s="26" t="s">
        <v>847</v>
      </c>
      <c r="D377" s="66">
        <v>0</v>
      </c>
      <c r="E377" s="70">
        <v>0</v>
      </c>
      <c r="F377" s="71">
        <v>0</v>
      </c>
      <c r="G377" s="69">
        <v>0</v>
      </c>
      <c r="H377" s="71">
        <v>0</v>
      </c>
      <c r="I377" s="71">
        <f t="shared" si="5"/>
        <v>0</v>
      </c>
    </row>
    <row r="378" spans="1:9" x14ac:dyDescent="0.25">
      <c r="A378" s="26">
        <v>8512652</v>
      </c>
      <c r="B378" s="26" t="s">
        <v>920</v>
      </c>
      <c r="C378" s="26" t="s">
        <v>921</v>
      </c>
      <c r="D378" s="66">
        <v>0</v>
      </c>
      <c r="E378" s="70">
        <v>0</v>
      </c>
      <c r="F378" s="71">
        <v>0</v>
      </c>
      <c r="G378" s="69">
        <v>0</v>
      </c>
      <c r="H378" s="71">
        <v>0</v>
      </c>
      <c r="I378" s="71">
        <f t="shared" si="5"/>
        <v>0</v>
      </c>
    </row>
    <row r="379" spans="1:9" x14ac:dyDescent="0.25">
      <c r="A379" s="26">
        <v>8530853</v>
      </c>
      <c r="B379" s="26" t="s">
        <v>553</v>
      </c>
      <c r="C379" s="26" t="s">
        <v>923</v>
      </c>
      <c r="D379" s="66">
        <v>0</v>
      </c>
      <c r="E379" s="70">
        <v>0</v>
      </c>
      <c r="F379" s="71">
        <v>0</v>
      </c>
      <c r="G379" s="69">
        <v>0</v>
      </c>
      <c r="H379" s="71">
        <v>0</v>
      </c>
      <c r="I379" s="71">
        <f t="shared" si="5"/>
        <v>0</v>
      </c>
    </row>
    <row r="380" spans="1:9" x14ac:dyDescent="0.25">
      <c r="A380" s="26">
        <v>9711728</v>
      </c>
      <c r="B380" s="26" t="s">
        <v>925</v>
      </c>
      <c r="C380" s="26" t="s">
        <v>926</v>
      </c>
      <c r="D380" s="66">
        <v>0</v>
      </c>
      <c r="E380" s="70">
        <v>0</v>
      </c>
      <c r="F380" s="71">
        <v>0</v>
      </c>
      <c r="G380" s="69">
        <v>0</v>
      </c>
      <c r="H380" s="71">
        <v>0</v>
      </c>
      <c r="I380" s="71">
        <f t="shared" si="5"/>
        <v>0</v>
      </c>
    </row>
    <row r="381" spans="1:9" x14ac:dyDescent="0.25">
      <c r="A381" s="26">
        <v>98111901</v>
      </c>
      <c r="B381" s="26" t="s">
        <v>504</v>
      </c>
      <c r="C381" s="26" t="s">
        <v>928</v>
      </c>
      <c r="D381" s="66">
        <v>0</v>
      </c>
      <c r="E381" s="70">
        <v>0</v>
      </c>
      <c r="F381" s="71">
        <v>0</v>
      </c>
      <c r="G381" s="69">
        <v>0</v>
      </c>
      <c r="H381" s="71">
        <v>0</v>
      </c>
      <c r="I381" s="71">
        <f t="shared" si="5"/>
        <v>0</v>
      </c>
    </row>
    <row r="382" spans="1:9" x14ac:dyDescent="0.25">
      <c r="A382" s="26">
        <v>9816908</v>
      </c>
      <c r="B382" s="26" t="s">
        <v>563</v>
      </c>
      <c r="C382" s="26" t="s">
        <v>565</v>
      </c>
      <c r="D382" s="66">
        <v>0</v>
      </c>
      <c r="E382" s="70">
        <v>0</v>
      </c>
      <c r="F382" s="71">
        <v>0</v>
      </c>
      <c r="G382" s="69">
        <v>0</v>
      </c>
      <c r="H382" s="71">
        <v>0</v>
      </c>
      <c r="I382" s="71">
        <f t="shared" si="5"/>
        <v>0</v>
      </c>
    </row>
    <row r="383" spans="1:9" x14ac:dyDescent="0.25">
      <c r="A383" s="26">
        <v>1010090</v>
      </c>
      <c r="B383" s="26" t="s">
        <v>107</v>
      </c>
      <c r="C383" s="26" t="s">
        <v>35</v>
      </c>
      <c r="D383" s="66">
        <v>0</v>
      </c>
      <c r="E383" s="70">
        <v>0</v>
      </c>
      <c r="F383" s="71">
        <v>0</v>
      </c>
      <c r="G383" s="69">
        <v>0</v>
      </c>
      <c r="H383" s="71">
        <v>0</v>
      </c>
      <c r="I383" s="71">
        <f t="shared" si="5"/>
        <v>0</v>
      </c>
    </row>
    <row r="384" spans="1:9" x14ac:dyDescent="0.25">
      <c r="A384" s="26">
        <v>1030011</v>
      </c>
      <c r="B384" s="26" t="s">
        <v>124</v>
      </c>
      <c r="C384" s="26" t="s">
        <v>35</v>
      </c>
      <c r="D384" s="66">
        <v>0</v>
      </c>
      <c r="E384" s="70">
        <v>0</v>
      </c>
      <c r="F384" s="71">
        <v>0</v>
      </c>
      <c r="G384" s="69">
        <v>0</v>
      </c>
      <c r="H384" s="71">
        <v>0</v>
      </c>
      <c r="I384" s="71">
        <f t="shared" si="5"/>
        <v>0</v>
      </c>
    </row>
    <row r="385" spans="1:9" x14ac:dyDescent="0.25">
      <c r="A385" s="26">
        <v>2030055</v>
      </c>
      <c r="B385" s="26" t="s">
        <v>204</v>
      </c>
      <c r="C385" s="26" t="s">
        <v>35</v>
      </c>
      <c r="D385" s="66">
        <v>0</v>
      </c>
      <c r="E385" s="70">
        <v>0</v>
      </c>
      <c r="F385" s="71">
        <v>0</v>
      </c>
      <c r="G385" s="69">
        <v>0</v>
      </c>
      <c r="H385" s="71">
        <v>0</v>
      </c>
      <c r="I385" s="71">
        <f t="shared" si="5"/>
        <v>0</v>
      </c>
    </row>
    <row r="386" spans="1:9" x14ac:dyDescent="0.25">
      <c r="A386" s="26">
        <v>2050050</v>
      </c>
      <c r="B386" s="26" t="s">
        <v>216</v>
      </c>
      <c r="C386" s="26" t="s">
        <v>35</v>
      </c>
      <c r="D386" s="66">
        <v>0</v>
      </c>
      <c r="E386" s="70">
        <v>0</v>
      </c>
      <c r="F386" s="71">
        <v>0</v>
      </c>
      <c r="G386" s="69">
        <v>0</v>
      </c>
      <c r="H386" s="71">
        <v>0</v>
      </c>
      <c r="I386" s="71">
        <f t="shared" si="5"/>
        <v>0</v>
      </c>
    </row>
    <row r="387" spans="1:9" x14ac:dyDescent="0.25">
      <c r="A387" s="26">
        <v>2510200</v>
      </c>
      <c r="B387" s="26" t="s">
        <v>237</v>
      </c>
      <c r="C387" s="26" t="s">
        <v>35</v>
      </c>
      <c r="D387" s="66">
        <v>0</v>
      </c>
      <c r="E387" s="70">
        <v>0</v>
      </c>
      <c r="F387" s="71">
        <v>0</v>
      </c>
      <c r="G387" s="69">
        <v>0</v>
      </c>
      <c r="H387" s="71">
        <v>0</v>
      </c>
      <c r="I387" s="71">
        <f t="shared" si="5"/>
        <v>0</v>
      </c>
    </row>
    <row r="388" spans="1:9" x14ac:dyDescent="0.25">
      <c r="A388" s="26">
        <v>3010190</v>
      </c>
      <c r="B388" s="26" t="s">
        <v>364</v>
      </c>
      <c r="C388" s="26" t="s">
        <v>35</v>
      </c>
      <c r="D388" s="66">
        <v>0</v>
      </c>
      <c r="E388" s="70">
        <v>0</v>
      </c>
      <c r="F388" s="71">
        <v>0</v>
      </c>
      <c r="G388" s="69">
        <v>0</v>
      </c>
      <c r="H388" s="71">
        <v>0</v>
      </c>
      <c r="I388" s="71">
        <f t="shared" si="5"/>
        <v>0</v>
      </c>
    </row>
    <row r="389" spans="1:9" x14ac:dyDescent="0.25">
      <c r="A389" s="26">
        <v>30201011</v>
      </c>
      <c r="B389" s="26" t="s">
        <v>388</v>
      </c>
      <c r="C389" s="26" t="s">
        <v>474</v>
      </c>
      <c r="D389" s="66">
        <v>0</v>
      </c>
      <c r="E389" s="70">
        <v>0</v>
      </c>
      <c r="F389" s="71">
        <v>0</v>
      </c>
      <c r="G389" s="69">
        <v>0</v>
      </c>
      <c r="H389" s="71">
        <v>0</v>
      </c>
      <c r="I389" s="71">
        <f t="shared" ref="I389:I452" si="6">IF(ISNUMBER(H389),F389-H389,"")</f>
        <v>0</v>
      </c>
    </row>
    <row r="390" spans="1:9" x14ac:dyDescent="0.25">
      <c r="A390" s="26">
        <v>3530130</v>
      </c>
      <c r="B390" s="26" t="s">
        <v>431</v>
      </c>
      <c r="C390" s="26" t="s">
        <v>415</v>
      </c>
      <c r="D390" s="66">
        <v>0</v>
      </c>
      <c r="E390" s="70">
        <v>0</v>
      </c>
      <c r="F390" s="71">
        <v>0</v>
      </c>
      <c r="G390" s="69">
        <v>0</v>
      </c>
      <c r="H390" s="71">
        <v>0</v>
      </c>
      <c r="I390" s="71">
        <f t="shared" si="6"/>
        <v>0</v>
      </c>
    </row>
    <row r="391" spans="1:9" x14ac:dyDescent="0.25">
      <c r="A391" s="26">
        <v>35702282</v>
      </c>
      <c r="B391" s="26" t="s">
        <v>489</v>
      </c>
      <c r="C391" s="26" t="s">
        <v>1018</v>
      </c>
      <c r="D391" s="66">
        <v>0</v>
      </c>
      <c r="E391" s="70">
        <v>0</v>
      </c>
      <c r="F391" s="71">
        <v>0</v>
      </c>
      <c r="G391" s="69">
        <v>0</v>
      </c>
      <c r="H391" s="71">
        <v>0</v>
      </c>
      <c r="I391" s="71">
        <f t="shared" si="6"/>
        <v>0</v>
      </c>
    </row>
    <row r="392" spans="1:9" x14ac:dyDescent="0.25">
      <c r="A392" s="26">
        <v>4020045</v>
      </c>
      <c r="B392" s="26" t="s">
        <v>530</v>
      </c>
      <c r="C392" s="26" t="s">
        <v>35</v>
      </c>
      <c r="D392" s="66">
        <v>0</v>
      </c>
      <c r="E392" s="70">
        <v>0</v>
      </c>
      <c r="F392" s="71">
        <v>0</v>
      </c>
      <c r="G392" s="69">
        <v>0</v>
      </c>
      <c r="H392" s="71">
        <v>0</v>
      </c>
      <c r="I392" s="71">
        <f t="shared" si="6"/>
        <v>0</v>
      </c>
    </row>
    <row r="393" spans="1:9" x14ac:dyDescent="0.25">
      <c r="A393" s="26">
        <v>4020060</v>
      </c>
      <c r="B393" s="26" t="s">
        <v>530</v>
      </c>
      <c r="C393" s="26" t="s">
        <v>531</v>
      </c>
      <c r="D393" s="66">
        <v>0</v>
      </c>
      <c r="E393" s="70">
        <v>0</v>
      </c>
      <c r="F393" s="71">
        <v>0</v>
      </c>
      <c r="G393" s="69">
        <v>0</v>
      </c>
      <c r="H393" s="71">
        <v>0</v>
      </c>
      <c r="I393" s="71">
        <f t="shared" si="6"/>
        <v>0</v>
      </c>
    </row>
    <row r="394" spans="1:9" x14ac:dyDescent="0.25">
      <c r="A394" s="26">
        <v>4040040</v>
      </c>
      <c r="B394" s="26" t="s">
        <v>541</v>
      </c>
      <c r="C394" s="26" t="s">
        <v>542</v>
      </c>
      <c r="D394" s="66">
        <v>0</v>
      </c>
      <c r="E394" s="70">
        <v>0</v>
      </c>
      <c r="F394" s="71">
        <v>0</v>
      </c>
      <c r="G394" s="69">
        <v>0</v>
      </c>
      <c r="H394" s="71">
        <v>0</v>
      </c>
      <c r="I394" s="71">
        <f t="shared" si="6"/>
        <v>0</v>
      </c>
    </row>
    <row r="395" spans="1:9" x14ac:dyDescent="0.25">
      <c r="A395" s="26">
        <v>4040050</v>
      </c>
      <c r="B395" s="26" t="s">
        <v>541</v>
      </c>
      <c r="C395" s="26" t="s">
        <v>531</v>
      </c>
      <c r="D395" s="66">
        <v>0</v>
      </c>
      <c r="E395" s="70">
        <v>0</v>
      </c>
      <c r="F395" s="71">
        <v>0</v>
      </c>
      <c r="G395" s="69">
        <v>0</v>
      </c>
      <c r="H395" s="71">
        <v>0</v>
      </c>
      <c r="I395" s="71">
        <f t="shared" si="6"/>
        <v>0</v>
      </c>
    </row>
    <row r="396" spans="1:9" x14ac:dyDescent="0.25">
      <c r="A396" s="26">
        <v>40901555</v>
      </c>
      <c r="B396" s="26" t="s">
        <v>583</v>
      </c>
      <c r="C396" s="26" t="s">
        <v>1023</v>
      </c>
      <c r="D396" s="66">
        <v>0</v>
      </c>
      <c r="E396" s="70">
        <v>0</v>
      </c>
      <c r="F396" s="71">
        <v>0</v>
      </c>
      <c r="G396" s="69">
        <v>0</v>
      </c>
      <c r="H396" s="71">
        <v>0</v>
      </c>
      <c r="I396" s="71">
        <f t="shared" si="6"/>
        <v>0</v>
      </c>
    </row>
    <row r="397" spans="1:9" x14ac:dyDescent="0.25">
      <c r="A397" s="26">
        <v>4091107</v>
      </c>
      <c r="B397" s="26" t="s">
        <v>583</v>
      </c>
      <c r="C397" s="26" t="s">
        <v>652</v>
      </c>
      <c r="D397" s="66">
        <v>0</v>
      </c>
      <c r="E397" s="70">
        <v>0</v>
      </c>
      <c r="F397" s="71">
        <v>0</v>
      </c>
      <c r="G397" s="69">
        <v>0</v>
      </c>
      <c r="H397" s="71">
        <v>0</v>
      </c>
      <c r="I397" s="71">
        <f t="shared" si="6"/>
        <v>0</v>
      </c>
    </row>
    <row r="398" spans="1:9" x14ac:dyDescent="0.25">
      <c r="A398" s="26">
        <v>5520320</v>
      </c>
      <c r="B398" s="26" t="s">
        <v>738</v>
      </c>
      <c r="C398" s="26" t="s">
        <v>314</v>
      </c>
      <c r="D398" s="66">
        <v>0</v>
      </c>
      <c r="E398" s="70">
        <v>0</v>
      </c>
      <c r="F398" s="71">
        <v>0</v>
      </c>
      <c r="G398" s="69">
        <v>0</v>
      </c>
      <c r="H398" s="71">
        <v>0</v>
      </c>
      <c r="I398" s="71">
        <f t="shared" si="6"/>
        <v>0</v>
      </c>
    </row>
    <row r="399" spans="1:9" x14ac:dyDescent="0.25">
      <c r="A399" s="26">
        <v>6010060</v>
      </c>
      <c r="B399" s="26" t="s">
        <v>741</v>
      </c>
      <c r="C399" s="26" t="s">
        <v>35</v>
      </c>
      <c r="D399" s="66">
        <v>0</v>
      </c>
      <c r="E399" s="70">
        <v>0</v>
      </c>
      <c r="F399" s="71">
        <v>0</v>
      </c>
      <c r="G399" s="69">
        <v>0</v>
      </c>
      <c r="H399" s="71">
        <v>0</v>
      </c>
      <c r="I399" s="71">
        <f t="shared" si="6"/>
        <v>0</v>
      </c>
    </row>
    <row r="400" spans="1:9" x14ac:dyDescent="0.25">
      <c r="A400" s="26">
        <v>60101210</v>
      </c>
      <c r="B400" s="26" t="s">
        <v>741</v>
      </c>
      <c r="C400" s="26" t="s">
        <v>921</v>
      </c>
      <c r="D400" s="66">
        <v>0</v>
      </c>
      <c r="E400" s="70">
        <v>0</v>
      </c>
      <c r="F400" s="71">
        <v>0</v>
      </c>
      <c r="G400" s="69">
        <v>0</v>
      </c>
      <c r="H400" s="71">
        <v>0</v>
      </c>
      <c r="I400" s="71">
        <f t="shared" si="6"/>
        <v>0</v>
      </c>
    </row>
    <row r="401" spans="1:9" x14ac:dyDescent="0.25">
      <c r="A401" s="26">
        <v>6111931</v>
      </c>
      <c r="B401" s="26" t="s">
        <v>802</v>
      </c>
      <c r="C401" s="26" t="s">
        <v>1027</v>
      </c>
      <c r="D401" s="66">
        <v>0</v>
      </c>
      <c r="E401" s="70">
        <v>0</v>
      </c>
      <c r="F401" s="71">
        <v>0</v>
      </c>
      <c r="G401" s="69">
        <v>0</v>
      </c>
      <c r="H401" s="71">
        <v>0</v>
      </c>
      <c r="I401" s="71">
        <f t="shared" si="6"/>
        <v>0</v>
      </c>
    </row>
    <row r="402" spans="1:9" x14ac:dyDescent="0.25">
      <c r="A402" s="26">
        <v>6510120</v>
      </c>
      <c r="B402" s="26" t="s">
        <v>806</v>
      </c>
      <c r="C402" s="26" t="s">
        <v>531</v>
      </c>
      <c r="D402" s="66">
        <v>0</v>
      </c>
      <c r="E402" s="70">
        <v>0</v>
      </c>
      <c r="F402" s="71">
        <v>0</v>
      </c>
      <c r="G402" s="69">
        <v>0</v>
      </c>
      <c r="H402" s="71">
        <v>0</v>
      </c>
      <c r="I402" s="71">
        <f t="shared" si="6"/>
        <v>0</v>
      </c>
    </row>
    <row r="403" spans="1:9" x14ac:dyDescent="0.25">
      <c r="A403" s="26">
        <v>7540030</v>
      </c>
      <c r="B403" s="26" t="s">
        <v>870</v>
      </c>
      <c r="C403" s="26" t="s">
        <v>1030</v>
      </c>
      <c r="D403" s="66">
        <v>0</v>
      </c>
      <c r="E403" s="70">
        <v>0</v>
      </c>
      <c r="F403" s="71">
        <v>0</v>
      </c>
      <c r="G403" s="69">
        <v>0</v>
      </c>
      <c r="H403" s="71">
        <v>0</v>
      </c>
      <c r="I403" s="71">
        <f t="shared" si="6"/>
        <v>0</v>
      </c>
    </row>
    <row r="404" spans="1:9" x14ac:dyDescent="0.25">
      <c r="A404" s="26">
        <v>9811170</v>
      </c>
      <c r="B404" s="26" t="s">
        <v>489</v>
      </c>
      <c r="C404" s="26" t="s">
        <v>194</v>
      </c>
      <c r="D404" s="66">
        <v>0</v>
      </c>
      <c r="E404" s="70">
        <v>0</v>
      </c>
      <c r="F404" s="71">
        <v>0</v>
      </c>
      <c r="G404" s="69">
        <v>0</v>
      </c>
      <c r="H404" s="71">
        <v>0</v>
      </c>
      <c r="I404" s="71">
        <f t="shared" si="6"/>
        <v>0</v>
      </c>
    </row>
    <row r="405" spans="1:9" x14ac:dyDescent="0.25">
      <c r="A405" s="26" t="s">
        <v>1031</v>
      </c>
      <c r="B405" s="26"/>
      <c r="C405" s="26"/>
      <c r="D405" s="66">
        <v>0</v>
      </c>
      <c r="E405" s="70">
        <v>0</v>
      </c>
      <c r="F405" s="71">
        <v>0</v>
      </c>
      <c r="G405" s="69">
        <v>0</v>
      </c>
      <c r="H405" s="71">
        <v>0</v>
      </c>
      <c r="I405" s="71">
        <f t="shared" si="6"/>
        <v>0</v>
      </c>
    </row>
    <row r="406" spans="1:9" x14ac:dyDescent="0.25">
      <c r="A406" s="26"/>
      <c r="B406" s="26"/>
      <c r="C406" s="26"/>
      <c r="D406" s="66"/>
      <c r="E406" s="70"/>
      <c r="F406" s="71"/>
      <c r="G406" s="69"/>
      <c r="H406" s="71"/>
      <c r="I406" s="71"/>
    </row>
    <row r="407" spans="1:9" x14ac:dyDescent="0.25">
      <c r="A407" s="26"/>
      <c r="B407" s="26"/>
      <c r="C407" s="26"/>
      <c r="D407" s="66"/>
      <c r="E407" s="70"/>
      <c r="F407" s="71"/>
      <c r="G407" s="69"/>
      <c r="H407" s="71"/>
      <c r="I407" s="71"/>
    </row>
    <row r="408" spans="1:9" x14ac:dyDescent="0.25">
      <c r="A408" s="26"/>
      <c r="B408" s="26"/>
      <c r="C408" s="26"/>
      <c r="D408" s="66"/>
      <c r="E408" s="70"/>
      <c r="F408" s="71"/>
      <c r="G408" s="69"/>
      <c r="H408" s="71"/>
      <c r="I408" s="71"/>
    </row>
    <row r="409" spans="1:9" x14ac:dyDescent="0.25">
      <c r="A409" s="26"/>
      <c r="B409" s="26"/>
      <c r="C409" s="26"/>
      <c r="D409" s="66"/>
      <c r="E409" s="70"/>
      <c r="F409" s="71"/>
      <c r="G409" s="69"/>
      <c r="H409" s="71"/>
      <c r="I409" s="71"/>
    </row>
    <row r="410" spans="1:9" x14ac:dyDescent="0.25">
      <c r="A410" s="26"/>
      <c r="B410" s="26"/>
      <c r="C410" s="26"/>
      <c r="D410" s="66"/>
      <c r="E410" s="70"/>
      <c r="F410" s="71"/>
      <c r="G410" s="69"/>
      <c r="H410" s="71"/>
      <c r="I410" s="71"/>
    </row>
    <row r="411" spans="1:9" x14ac:dyDescent="0.25">
      <c r="A411" s="26"/>
      <c r="B411" s="26"/>
      <c r="C411" s="26"/>
      <c r="D411" s="66"/>
      <c r="E411" s="70"/>
      <c r="F411" s="71"/>
      <c r="G411" s="69"/>
      <c r="H411" s="71"/>
      <c r="I411" s="71"/>
    </row>
    <row r="412" spans="1:9" x14ac:dyDescent="0.25">
      <c r="A412" s="26"/>
      <c r="B412" s="26"/>
      <c r="C412" s="26"/>
      <c r="D412" s="66"/>
      <c r="E412" s="70"/>
      <c r="F412" s="71"/>
      <c r="G412" s="69"/>
      <c r="H412" s="71"/>
      <c r="I412" s="71"/>
    </row>
    <row r="413" spans="1:9" x14ac:dyDescent="0.25">
      <c r="A413" s="26"/>
      <c r="B413" s="26"/>
      <c r="C413" s="26"/>
      <c r="D413" s="66"/>
      <c r="E413" s="70"/>
      <c r="F413" s="71"/>
      <c r="G413" s="69"/>
      <c r="H413" s="71"/>
      <c r="I413" s="71"/>
    </row>
    <row r="414" spans="1:9" x14ac:dyDescent="0.25">
      <c r="A414" s="26"/>
      <c r="B414" s="26"/>
      <c r="C414" s="26"/>
      <c r="D414" s="66"/>
      <c r="E414" s="70"/>
      <c r="F414" s="71"/>
      <c r="G414" s="69"/>
      <c r="H414" s="71"/>
      <c r="I414" s="71"/>
    </row>
    <row r="415" spans="1:9" x14ac:dyDescent="0.25">
      <c r="A415" s="26"/>
      <c r="B415" s="26"/>
      <c r="C415" s="26"/>
      <c r="D415" s="66"/>
      <c r="E415" s="70"/>
      <c r="F415" s="71"/>
      <c r="G415" s="69"/>
      <c r="H415" s="71"/>
      <c r="I415" s="71"/>
    </row>
    <row r="416" spans="1:9" x14ac:dyDescent="0.25">
      <c r="A416" s="26"/>
      <c r="B416" s="26"/>
      <c r="C416" s="26"/>
      <c r="D416" s="66"/>
      <c r="E416" s="70"/>
      <c r="F416" s="71"/>
      <c r="G416" s="69"/>
      <c r="H416" s="71"/>
      <c r="I416" s="71"/>
    </row>
    <row r="417" spans="1:9" x14ac:dyDescent="0.25">
      <c r="A417" s="26"/>
      <c r="B417" s="26"/>
      <c r="C417" s="26"/>
      <c r="D417" s="66"/>
      <c r="E417" s="70"/>
      <c r="F417" s="71"/>
      <c r="G417" s="69"/>
      <c r="H417" s="71"/>
      <c r="I417" s="71"/>
    </row>
    <row r="418" spans="1:9" x14ac:dyDescent="0.25">
      <c r="A418" s="26"/>
      <c r="B418" s="26"/>
      <c r="C418" s="26"/>
      <c r="D418" s="66"/>
      <c r="E418" s="70"/>
      <c r="F418" s="71"/>
      <c r="G418" s="69"/>
      <c r="H418" s="71"/>
      <c r="I418" s="71"/>
    </row>
    <row r="419" spans="1:9" x14ac:dyDescent="0.25">
      <c r="A419" s="26"/>
      <c r="B419" s="26"/>
      <c r="C419" s="26"/>
      <c r="D419" s="66"/>
      <c r="E419" s="70"/>
      <c r="F419" s="71"/>
      <c r="G419" s="69"/>
      <c r="H419" s="71"/>
      <c r="I419" s="71"/>
    </row>
    <row r="420" spans="1:9" x14ac:dyDescent="0.25">
      <c r="A420" s="26"/>
      <c r="B420" s="26"/>
      <c r="C420" s="26"/>
      <c r="D420" s="66"/>
      <c r="E420" s="70"/>
      <c r="F420" s="71"/>
      <c r="G420" s="69"/>
      <c r="H420" s="71"/>
      <c r="I420" s="71"/>
    </row>
    <row r="421" spans="1:9" x14ac:dyDescent="0.25">
      <c r="A421" s="26"/>
      <c r="B421" s="26"/>
      <c r="C421" s="26"/>
      <c r="D421" s="66"/>
      <c r="E421" s="70"/>
      <c r="F421" s="71"/>
      <c r="G421" s="69"/>
      <c r="H421" s="71"/>
      <c r="I421" s="71"/>
    </row>
    <row r="422" spans="1:9" x14ac:dyDescent="0.25">
      <c r="A422" s="26"/>
      <c r="B422" s="26"/>
      <c r="C422" s="26"/>
      <c r="D422" s="66"/>
      <c r="E422" s="70"/>
      <c r="F422" s="71"/>
      <c r="G422" s="69"/>
      <c r="H422" s="71"/>
      <c r="I422" s="71"/>
    </row>
    <row r="423" spans="1:9" x14ac:dyDescent="0.25">
      <c r="A423" s="26"/>
      <c r="B423" s="26"/>
      <c r="C423" s="26"/>
      <c r="D423" s="66"/>
      <c r="E423" s="70"/>
      <c r="F423" s="71"/>
      <c r="G423" s="69"/>
      <c r="H423" s="71"/>
      <c r="I423" s="71"/>
    </row>
    <row r="424" spans="1:9" x14ac:dyDescent="0.25">
      <c r="A424" s="26"/>
      <c r="B424" s="26"/>
      <c r="C424" s="26"/>
      <c r="D424" s="66"/>
      <c r="E424" s="70"/>
      <c r="F424" s="71"/>
      <c r="G424" s="69"/>
      <c r="H424" s="71"/>
      <c r="I424" s="71"/>
    </row>
    <row r="425" spans="1:9" x14ac:dyDescent="0.25">
      <c r="A425" s="26"/>
      <c r="B425" s="26"/>
      <c r="C425" s="26"/>
      <c r="D425" s="66"/>
      <c r="E425" s="70"/>
      <c r="F425" s="71"/>
      <c r="G425" s="69"/>
      <c r="H425" s="71"/>
      <c r="I425" s="71"/>
    </row>
    <row r="426" spans="1:9" x14ac:dyDescent="0.25">
      <c r="A426" s="26"/>
      <c r="B426" s="26"/>
      <c r="C426" s="26"/>
      <c r="D426" s="66"/>
      <c r="E426" s="70"/>
      <c r="F426" s="71"/>
      <c r="G426" s="69"/>
      <c r="H426" s="71"/>
      <c r="I426" s="71"/>
    </row>
    <row r="427" spans="1:9" x14ac:dyDescent="0.25">
      <c r="A427" s="26"/>
      <c r="B427" s="26"/>
      <c r="C427" s="26"/>
      <c r="D427" s="66"/>
      <c r="E427" s="70"/>
      <c r="F427" s="71"/>
      <c r="G427" s="69"/>
      <c r="H427" s="71"/>
      <c r="I427" s="71"/>
    </row>
    <row r="428" spans="1:9" x14ac:dyDescent="0.25">
      <c r="A428" s="26"/>
      <c r="B428" s="26"/>
      <c r="C428" s="26"/>
      <c r="D428" s="66"/>
      <c r="E428" s="70"/>
      <c r="F428" s="71"/>
      <c r="G428" s="69"/>
      <c r="H428" s="71"/>
      <c r="I428" s="71"/>
    </row>
    <row r="429" spans="1:9" x14ac:dyDescent="0.25">
      <c r="A429" s="26"/>
      <c r="B429" s="26"/>
      <c r="C429" s="26"/>
      <c r="D429" s="66"/>
      <c r="E429" s="70"/>
      <c r="F429" s="71"/>
      <c r="G429" s="69"/>
      <c r="H429" s="71"/>
      <c r="I429" s="71"/>
    </row>
    <row r="430" spans="1:9" x14ac:dyDescent="0.25">
      <c r="A430" s="26"/>
      <c r="B430" s="26"/>
      <c r="C430" s="26"/>
      <c r="D430" s="66"/>
      <c r="E430" s="70"/>
      <c r="F430" s="71"/>
      <c r="G430" s="69"/>
      <c r="H430" s="71"/>
      <c r="I430" s="71"/>
    </row>
    <row r="431" spans="1:9" x14ac:dyDescent="0.25">
      <c r="A431" s="26"/>
      <c r="B431" s="26"/>
      <c r="C431" s="26"/>
      <c r="D431" s="66"/>
      <c r="E431" s="70"/>
      <c r="F431" s="71"/>
      <c r="G431" s="69"/>
      <c r="H431" s="71"/>
      <c r="I431" s="71"/>
    </row>
    <row r="432" spans="1:9" x14ac:dyDescent="0.25">
      <c r="A432" s="26"/>
      <c r="B432" s="26"/>
      <c r="C432" s="26"/>
      <c r="D432" s="66"/>
      <c r="E432" s="70"/>
      <c r="F432" s="71"/>
      <c r="G432" s="69"/>
      <c r="H432" s="71"/>
      <c r="I432" s="71"/>
    </row>
    <row r="433" spans="1:9" x14ac:dyDescent="0.25">
      <c r="A433" s="26"/>
      <c r="B433" s="26"/>
      <c r="C433" s="26"/>
      <c r="D433" s="66"/>
      <c r="E433" s="70"/>
      <c r="F433" s="71"/>
      <c r="G433" s="69"/>
      <c r="H433" s="71"/>
      <c r="I433" s="71"/>
    </row>
    <row r="434" spans="1:9" x14ac:dyDescent="0.25">
      <c r="A434" s="26"/>
      <c r="B434" s="26"/>
      <c r="C434" s="26"/>
      <c r="D434" s="66"/>
      <c r="E434" s="70"/>
      <c r="F434" s="71"/>
      <c r="G434" s="69"/>
      <c r="H434" s="71"/>
      <c r="I434" s="71"/>
    </row>
    <row r="435" spans="1:9" x14ac:dyDescent="0.25">
      <c r="A435" s="26"/>
      <c r="B435" s="26"/>
      <c r="C435" s="26"/>
      <c r="D435" s="66"/>
      <c r="E435" s="70"/>
      <c r="F435" s="71"/>
      <c r="G435" s="69"/>
      <c r="H435" s="71"/>
      <c r="I435" s="71"/>
    </row>
    <row r="436" spans="1:9" x14ac:dyDescent="0.25">
      <c r="A436" s="26"/>
      <c r="B436" s="26"/>
      <c r="C436" s="26"/>
      <c r="D436" s="66"/>
      <c r="E436" s="70"/>
      <c r="F436" s="71"/>
      <c r="G436" s="69"/>
      <c r="H436" s="71"/>
      <c r="I436" s="71"/>
    </row>
    <row r="437" spans="1:9" x14ac:dyDescent="0.25">
      <c r="A437" s="26"/>
      <c r="B437" s="26"/>
      <c r="C437" s="26"/>
      <c r="D437" s="66"/>
      <c r="E437" s="70"/>
      <c r="F437" s="71"/>
      <c r="G437" s="69"/>
      <c r="H437" s="71"/>
      <c r="I437" s="71"/>
    </row>
    <row r="438" spans="1:9" x14ac:dyDescent="0.25">
      <c r="A438" s="26"/>
      <c r="B438" s="26"/>
      <c r="C438" s="26"/>
      <c r="D438" s="66"/>
      <c r="E438" s="70"/>
      <c r="F438" s="71"/>
      <c r="G438" s="69"/>
      <c r="H438" s="71"/>
      <c r="I438" s="71"/>
    </row>
    <row r="439" spans="1:9" x14ac:dyDescent="0.25">
      <c r="A439" s="26"/>
      <c r="B439" s="26"/>
      <c r="C439" s="26"/>
      <c r="D439" s="66"/>
      <c r="E439" s="70"/>
      <c r="F439" s="71"/>
      <c r="G439" s="69"/>
      <c r="H439" s="71"/>
      <c r="I439" s="71"/>
    </row>
    <row r="440" spans="1:9" x14ac:dyDescent="0.25">
      <c r="A440" s="26"/>
      <c r="B440" s="26"/>
      <c r="C440" s="26"/>
      <c r="D440" s="66"/>
      <c r="E440" s="70"/>
      <c r="F440" s="71"/>
      <c r="G440" s="69"/>
      <c r="H440" s="71"/>
      <c r="I440" s="71"/>
    </row>
    <row r="441" spans="1:9" x14ac:dyDescent="0.25">
      <c r="A441" s="26"/>
      <c r="B441" s="26"/>
      <c r="C441" s="26"/>
      <c r="D441" s="66"/>
      <c r="E441" s="70"/>
      <c r="F441" s="71"/>
      <c r="G441" s="69"/>
      <c r="H441" s="71"/>
      <c r="I441" s="71"/>
    </row>
    <row r="442" spans="1:9" x14ac:dyDescent="0.25">
      <c r="A442" s="26"/>
      <c r="B442" s="26"/>
      <c r="C442" s="26"/>
      <c r="D442" s="66"/>
      <c r="E442" s="70"/>
      <c r="F442" s="71"/>
      <c r="G442" s="69"/>
      <c r="H442" s="71"/>
      <c r="I442" s="71"/>
    </row>
    <row r="443" spans="1:9" x14ac:dyDescent="0.25">
      <c r="A443" s="26"/>
      <c r="B443" s="26"/>
      <c r="C443" s="26"/>
      <c r="D443" s="66"/>
      <c r="E443" s="70"/>
      <c r="F443" s="71"/>
      <c r="G443" s="69"/>
      <c r="H443" s="71"/>
      <c r="I443" s="71"/>
    </row>
    <row r="444" spans="1:9" x14ac:dyDescent="0.25">
      <c r="A444" s="26"/>
      <c r="B444" s="26"/>
      <c r="C444" s="26"/>
      <c r="D444" s="66"/>
      <c r="E444" s="70"/>
      <c r="F444" s="71"/>
      <c r="G444" s="69"/>
      <c r="H444" s="71"/>
      <c r="I444" s="71"/>
    </row>
    <row r="445" spans="1:9" x14ac:dyDescent="0.25">
      <c r="A445" s="26"/>
      <c r="B445" s="26"/>
      <c r="C445" s="26"/>
      <c r="D445" s="66"/>
      <c r="E445" s="70"/>
      <c r="F445" s="71"/>
      <c r="G445" s="69"/>
      <c r="H445" s="71"/>
      <c r="I445" s="71"/>
    </row>
    <row r="446" spans="1:9" x14ac:dyDescent="0.25">
      <c r="A446" s="26"/>
      <c r="B446" s="26"/>
      <c r="C446" s="26"/>
      <c r="D446" s="66"/>
      <c r="E446" s="70"/>
      <c r="F446" s="71"/>
      <c r="G446" s="69"/>
      <c r="H446" s="71"/>
      <c r="I446" s="71"/>
    </row>
    <row r="447" spans="1:9" x14ac:dyDescent="0.25">
      <c r="A447" s="26"/>
      <c r="B447" s="26"/>
      <c r="C447" s="26"/>
      <c r="D447" s="66"/>
      <c r="E447" s="70"/>
      <c r="F447" s="71"/>
      <c r="G447" s="69"/>
      <c r="H447" s="71"/>
      <c r="I447" s="71"/>
    </row>
    <row r="448" spans="1:9" x14ac:dyDescent="0.25">
      <c r="A448" s="26"/>
      <c r="B448" s="26"/>
      <c r="C448" s="26"/>
      <c r="D448" s="66"/>
      <c r="E448" s="70"/>
      <c r="F448" s="71"/>
      <c r="G448" s="69"/>
      <c r="H448" s="71"/>
      <c r="I448" s="71"/>
    </row>
    <row r="449" spans="1:9" x14ac:dyDescent="0.25">
      <c r="A449" s="26"/>
      <c r="B449" s="26"/>
      <c r="C449" s="26"/>
      <c r="D449" s="66"/>
      <c r="E449" s="70"/>
      <c r="F449" s="71"/>
      <c r="G449" s="69"/>
      <c r="H449" s="71"/>
      <c r="I449" s="71"/>
    </row>
    <row r="450" spans="1:9" x14ac:dyDescent="0.25">
      <c r="A450" s="26"/>
      <c r="B450" s="26"/>
      <c r="C450" s="26"/>
      <c r="D450" s="66"/>
      <c r="E450" s="70"/>
      <c r="F450" s="71"/>
      <c r="G450" s="69"/>
      <c r="H450" s="71"/>
      <c r="I450" s="71"/>
    </row>
    <row r="451" spans="1:9" x14ac:dyDescent="0.25">
      <c r="A451" s="26"/>
      <c r="B451" s="26"/>
      <c r="C451" s="26"/>
      <c r="D451" s="66"/>
      <c r="E451" s="70"/>
      <c r="F451" s="71"/>
      <c r="G451" s="69"/>
      <c r="H451" s="71"/>
      <c r="I451" s="71"/>
    </row>
    <row r="452" spans="1:9" x14ac:dyDescent="0.25">
      <c r="A452" s="26"/>
      <c r="B452" s="26"/>
      <c r="C452" s="26"/>
      <c r="D452" s="66"/>
      <c r="E452" s="70"/>
      <c r="F452" s="71"/>
      <c r="G452" s="69"/>
      <c r="H452" s="71"/>
      <c r="I452" s="71"/>
    </row>
    <row r="453" spans="1:9" x14ac:dyDescent="0.25">
      <c r="A453" s="26"/>
      <c r="B453" s="26"/>
      <c r="C453" s="26"/>
      <c r="D453" s="66"/>
      <c r="E453" s="70"/>
      <c r="F453" s="71"/>
      <c r="G453" s="69"/>
      <c r="H453" s="71"/>
      <c r="I453" s="71"/>
    </row>
    <row r="454" spans="1:9" x14ac:dyDescent="0.25">
      <c r="A454" s="26"/>
      <c r="B454" s="26"/>
      <c r="C454" s="26"/>
      <c r="D454" s="66"/>
      <c r="E454" s="70"/>
      <c r="F454" s="71"/>
      <c r="G454" s="69"/>
      <c r="H454" s="71"/>
      <c r="I454" s="71"/>
    </row>
    <row r="455" spans="1:9" x14ac:dyDescent="0.25">
      <c r="A455" s="26"/>
      <c r="B455" s="26"/>
      <c r="C455" s="26"/>
      <c r="D455" s="66"/>
      <c r="E455" s="70"/>
      <c r="F455" s="71"/>
      <c r="G455" s="69"/>
      <c r="H455" s="71"/>
      <c r="I455" s="71"/>
    </row>
    <row r="456" spans="1:9" x14ac:dyDescent="0.25">
      <c r="A456" s="26"/>
      <c r="B456" s="26"/>
      <c r="C456" s="26"/>
      <c r="D456" s="66"/>
      <c r="E456" s="70"/>
      <c r="F456" s="71"/>
      <c r="G456" s="69"/>
      <c r="H456" s="71"/>
      <c r="I456" s="71"/>
    </row>
    <row r="457" spans="1:9" x14ac:dyDescent="0.25">
      <c r="A457" s="26"/>
      <c r="B457" s="26"/>
      <c r="C457" s="26"/>
      <c r="D457" s="66"/>
      <c r="E457" s="70"/>
      <c r="F457" s="71"/>
      <c r="G457" s="69"/>
      <c r="H457" s="71"/>
      <c r="I457" s="71"/>
    </row>
    <row r="458" spans="1:9" x14ac:dyDescent="0.25">
      <c r="A458" s="26"/>
      <c r="B458" s="26"/>
      <c r="C458" s="26"/>
      <c r="D458" s="66"/>
      <c r="E458" s="70"/>
      <c r="F458" s="71"/>
      <c r="G458" s="69"/>
      <c r="H458" s="71"/>
      <c r="I458" s="71"/>
    </row>
    <row r="459" spans="1:9" x14ac:dyDescent="0.25">
      <c r="A459" s="26"/>
      <c r="B459" s="26"/>
      <c r="C459" s="26"/>
      <c r="D459" s="66"/>
      <c r="E459" s="70"/>
      <c r="F459" s="71"/>
      <c r="G459" s="69"/>
      <c r="H459" s="71"/>
      <c r="I459" s="71"/>
    </row>
    <row r="460" spans="1:9" x14ac:dyDescent="0.25">
      <c r="A460" s="26"/>
      <c r="B460" s="26"/>
      <c r="C460" s="26"/>
      <c r="D460" s="66"/>
      <c r="E460" s="70"/>
      <c r="F460" s="71"/>
      <c r="G460" s="69"/>
      <c r="H460" s="71"/>
      <c r="I460" s="71"/>
    </row>
    <row r="461" spans="1:9" x14ac:dyDescent="0.25">
      <c r="A461" s="26"/>
      <c r="B461" s="26"/>
      <c r="C461" s="26"/>
      <c r="D461" s="66"/>
      <c r="E461" s="70"/>
      <c r="F461" s="71"/>
      <c r="G461" s="69"/>
      <c r="H461" s="71"/>
      <c r="I461" s="71"/>
    </row>
    <row r="462" spans="1:9" x14ac:dyDescent="0.25">
      <c r="A462" s="26"/>
      <c r="B462" s="26"/>
      <c r="C462" s="26"/>
      <c r="D462" s="66"/>
      <c r="E462" s="70"/>
      <c r="F462" s="71"/>
      <c r="G462" s="69"/>
      <c r="H462" s="71"/>
      <c r="I462" s="71"/>
    </row>
    <row r="463" spans="1:9" x14ac:dyDescent="0.25">
      <c r="A463" s="26"/>
      <c r="B463" s="26"/>
      <c r="C463" s="26"/>
      <c r="D463" s="66"/>
      <c r="E463" s="70"/>
      <c r="F463" s="71"/>
      <c r="G463" s="69"/>
      <c r="H463" s="71"/>
      <c r="I463" s="71"/>
    </row>
    <row r="464" spans="1:9" x14ac:dyDescent="0.25">
      <c r="A464" s="26"/>
      <c r="B464" s="26"/>
      <c r="C464" s="26"/>
      <c r="D464" s="66"/>
      <c r="E464" s="70"/>
      <c r="F464" s="71"/>
      <c r="G464" s="69"/>
      <c r="H464" s="71"/>
      <c r="I464" s="71"/>
    </row>
    <row r="465" spans="1:9" x14ac:dyDescent="0.25">
      <c r="A465" s="26"/>
      <c r="B465" s="26"/>
      <c r="C465" s="26"/>
      <c r="D465" s="66"/>
      <c r="E465" s="70"/>
      <c r="F465" s="71"/>
      <c r="G465" s="69"/>
      <c r="H465" s="71"/>
      <c r="I465" s="71"/>
    </row>
    <row r="466" spans="1:9" x14ac:dyDescent="0.25">
      <c r="A466" s="26"/>
      <c r="B466" s="26"/>
      <c r="C466" s="26"/>
      <c r="D466" s="66"/>
      <c r="E466" s="70"/>
      <c r="F466" s="71"/>
      <c r="G466" s="69"/>
      <c r="H466" s="71"/>
      <c r="I466" s="71"/>
    </row>
    <row r="467" spans="1:9" x14ac:dyDescent="0.25">
      <c r="A467" s="26"/>
      <c r="B467" s="26"/>
      <c r="C467" s="26"/>
      <c r="D467" s="66"/>
      <c r="E467" s="70"/>
      <c r="F467" s="71"/>
      <c r="G467" s="69"/>
      <c r="H467" s="71"/>
      <c r="I467" s="71"/>
    </row>
    <row r="468" spans="1:9" x14ac:dyDescent="0.25">
      <c r="A468" s="26"/>
      <c r="B468" s="26"/>
      <c r="C468" s="26"/>
      <c r="D468" s="66"/>
      <c r="E468" s="70"/>
      <c r="F468" s="71"/>
      <c r="G468" s="69"/>
      <c r="H468" s="71"/>
      <c r="I468" s="71"/>
    </row>
    <row r="469" spans="1:9" x14ac:dyDescent="0.25">
      <c r="A469" s="26"/>
      <c r="B469" s="26"/>
      <c r="C469" s="26"/>
      <c r="D469" s="66"/>
      <c r="E469" s="70"/>
      <c r="F469" s="71"/>
      <c r="G469" s="69"/>
      <c r="H469" s="71"/>
      <c r="I469" s="71"/>
    </row>
    <row r="470" spans="1:9" x14ac:dyDescent="0.25">
      <c r="A470" s="26"/>
      <c r="B470" s="26"/>
      <c r="C470" s="26"/>
      <c r="D470" s="66"/>
      <c r="E470" s="70"/>
      <c r="F470" s="71"/>
      <c r="G470" s="69"/>
      <c r="H470" s="71"/>
      <c r="I470" s="71"/>
    </row>
    <row r="471" spans="1:9" x14ac:dyDescent="0.25">
      <c r="A471" s="26"/>
      <c r="B471" s="26"/>
      <c r="C471" s="26"/>
      <c r="D471" s="66"/>
      <c r="E471" s="70"/>
      <c r="F471" s="71"/>
      <c r="G471" s="69"/>
      <c r="H471" s="71"/>
      <c r="I471" s="71"/>
    </row>
    <row r="472" spans="1:9" x14ac:dyDescent="0.25">
      <c r="A472" s="26"/>
      <c r="B472" s="26"/>
      <c r="C472" s="26"/>
      <c r="D472" s="66"/>
      <c r="E472" s="70"/>
      <c r="F472" s="71"/>
      <c r="G472" s="69"/>
      <c r="H472" s="71"/>
      <c r="I472" s="71"/>
    </row>
    <row r="473" spans="1:9" x14ac:dyDescent="0.25">
      <c r="A473" s="26"/>
      <c r="B473" s="26"/>
      <c r="C473" s="26"/>
      <c r="D473" s="66"/>
      <c r="E473" s="70"/>
      <c r="F473" s="71"/>
      <c r="G473" s="69"/>
      <c r="H473" s="71"/>
      <c r="I473" s="71"/>
    </row>
    <row r="474" spans="1:9" x14ac:dyDescent="0.25">
      <c r="A474" s="26"/>
      <c r="B474" s="26"/>
      <c r="C474" s="26"/>
      <c r="D474" s="66"/>
      <c r="E474" s="70"/>
      <c r="F474" s="71"/>
      <c r="G474" s="69"/>
      <c r="H474" s="71"/>
      <c r="I474" s="71"/>
    </row>
    <row r="475" spans="1:9" x14ac:dyDescent="0.25">
      <c r="A475" s="26"/>
      <c r="B475" s="26"/>
      <c r="C475" s="26"/>
      <c r="D475" s="66"/>
      <c r="E475" s="70"/>
      <c r="F475" s="71"/>
      <c r="G475" s="69"/>
      <c r="H475" s="71"/>
      <c r="I475" s="71"/>
    </row>
    <row r="476" spans="1:9" x14ac:dyDescent="0.25">
      <c r="A476" s="26"/>
      <c r="B476" s="26"/>
      <c r="C476" s="26"/>
      <c r="D476" s="66"/>
      <c r="E476" s="70"/>
      <c r="F476" s="71"/>
      <c r="G476" s="69"/>
      <c r="H476" s="71"/>
      <c r="I476" s="71"/>
    </row>
    <row r="477" spans="1:9" x14ac:dyDescent="0.25">
      <c r="A477" s="26"/>
      <c r="B477" s="26"/>
      <c r="C477" s="26"/>
      <c r="D477" s="66"/>
      <c r="E477" s="70"/>
      <c r="F477" s="71"/>
      <c r="G477" s="69"/>
      <c r="H477" s="71"/>
      <c r="I477" s="71"/>
    </row>
    <row r="478" spans="1:9" x14ac:dyDescent="0.25">
      <c r="A478" s="26"/>
      <c r="B478" s="26"/>
      <c r="C478" s="26"/>
      <c r="D478" s="66"/>
      <c r="E478" s="70"/>
      <c r="F478" s="71"/>
      <c r="G478" s="69"/>
      <c r="H478" s="71"/>
      <c r="I478" s="71"/>
    </row>
    <row r="479" spans="1:9" x14ac:dyDescent="0.25">
      <c r="A479" s="26"/>
      <c r="B479" s="26"/>
      <c r="C479" s="26"/>
      <c r="D479" s="66"/>
      <c r="E479" s="70"/>
      <c r="F479" s="71"/>
      <c r="G479" s="69"/>
      <c r="H479" s="71"/>
      <c r="I479" s="71"/>
    </row>
    <row r="480" spans="1:9" x14ac:dyDescent="0.25">
      <c r="A480" s="26"/>
      <c r="B480" s="26"/>
      <c r="C480" s="26"/>
      <c r="D480" s="66"/>
      <c r="E480" s="70"/>
      <c r="F480" s="71"/>
      <c r="G480" s="69"/>
      <c r="H480" s="71"/>
      <c r="I480" s="71"/>
    </row>
    <row r="481" spans="1:9" x14ac:dyDescent="0.25">
      <c r="A481" s="26"/>
      <c r="B481" s="26"/>
      <c r="C481" s="26"/>
      <c r="D481" s="66"/>
      <c r="E481" s="70"/>
      <c r="F481" s="71"/>
      <c r="G481" s="69"/>
      <c r="H481" s="71"/>
      <c r="I481" s="71"/>
    </row>
    <row r="482" spans="1:9" x14ac:dyDescent="0.25">
      <c r="A482" s="26"/>
      <c r="B482" s="26"/>
      <c r="C482" s="26"/>
      <c r="D482" s="66"/>
      <c r="E482" s="70"/>
      <c r="F482" s="71"/>
      <c r="G482" s="69"/>
      <c r="H482" s="71"/>
      <c r="I482" s="71"/>
    </row>
  </sheetData>
  <mergeCells count="2">
    <mergeCell ref="A2:H2"/>
    <mergeCell ref="A1:H1"/>
  </mergeCells>
  <conditionalFormatting sqref="E5:E405">
    <cfRule type="cellIs" dxfId="9" priority="1" operator="equal">
      <formula>"MISSING"</formula>
    </cfRule>
  </conditionalFormatting>
  <pageMargins left="0.75" right="0.75" top="1" bottom="1" header="0.5" footer="0.5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 tint="-0.249977111117893"/>
  </sheetPr>
  <dimension ref="A1:I482"/>
  <sheetViews>
    <sheetView showGridLines="0" workbookViewId="0">
      <pane ySplit="4" topLeftCell="A14" activePane="bottomLeft" state="frozen"/>
      <selection pane="bottomLeft" activeCell="B14" sqref="B14"/>
    </sheetView>
  </sheetViews>
  <sheetFormatPr defaultRowHeight="15" x14ac:dyDescent="0.25"/>
  <cols>
    <col min="1" max="1" width="15" style="31" customWidth="1"/>
    <col min="2" max="2" width="45" style="31" customWidth="1"/>
    <col min="3" max="3" width="18" style="31" customWidth="1"/>
    <col min="4" max="4" width="20" style="31" customWidth="1"/>
    <col min="5" max="5" width="16" style="31" customWidth="1"/>
    <col min="6" max="7" width="22" style="31" customWidth="1"/>
    <col min="8" max="8" width="18" style="31" customWidth="1"/>
    <col min="9" max="9" width="24" style="31" customWidth="1"/>
  </cols>
  <sheetData>
    <row r="1" spans="1:9" ht="23.25" x14ac:dyDescent="0.35">
      <c r="A1" s="111" t="s">
        <v>948</v>
      </c>
      <c r="B1" s="109"/>
      <c r="C1" s="109"/>
      <c r="D1" s="109"/>
      <c r="E1" s="109"/>
      <c r="F1" s="109"/>
      <c r="G1" s="109"/>
      <c r="H1" s="109"/>
    </row>
    <row r="2" spans="1:9" x14ac:dyDescent="0.25">
      <c r="A2" s="108" t="s">
        <v>949</v>
      </c>
      <c r="B2" s="109"/>
      <c r="C2" s="109"/>
      <c r="D2" s="109"/>
      <c r="E2" s="109"/>
      <c r="F2" s="109"/>
      <c r="G2" s="109"/>
      <c r="H2" s="109"/>
    </row>
    <row r="4" spans="1:9" x14ac:dyDescent="0.25">
      <c r="A4" s="33" t="s">
        <v>103</v>
      </c>
      <c r="B4" s="33" t="s">
        <v>95</v>
      </c>
      <c r="C4" s="33" t="s">
        <v>104</v>
      </c>
      <c r="D4" s="33" t="s">
        <v>950</v>
      </c>
      <c r="E4" s="33" t="s">
        <v>951</v>
      </c>
      <c r="F4" s="33" t="s">
        <v>952</v>
      </c>
      <c r="G4" s="33" t="s">
        <v>953</v>
      </c>
      <c r="H4" s="33" t="s">
        <v>954</v>
      </c>
      <c r="I4" s="33" t="s">
        <v>955</v>
      </c>
    </row>
    <row r="5" spans="1:9" x14ac:dyDescent="0.25">
      <c r="A5" s="26">
        <v>1010010</v>
      </c>
      <c r="B5" s="26" t="s">
        <v>107</v>
      </c>
      <c r="C5" s="26">
        <v>0</v>
      </c>
      <c r="D5" s="26">
        <v>0</v>
      </c>
      <c r="E5" s="26">
        <v>0</v>
      </c>
      <c r="F5" s="26">
        <v>0</v>
      </c>
      <c r="G5" s="26"/>
      <c r="H5" s="26"/>
      <c r="I5" s="26"/>
    </row>
    <row r="6" spans="1:9" x14ac:dyDescent="0.25">
      <c r="A6" s="26">
        <v>1010015</v>
      </c>
      <c r="B6" s="26" t="s">
        <v>107</v>
      </c>
      <c r="C6" s="26">
        <v>0</v>
      </c>
      <c r="D6" s="26">
        <v>0</v>
      </c>
      <c r="E6" s="26">
        <v>0</v>
      </c>
      <c r="F6" s="26">
        <v>0</v>
      </c>
      <c r="G6" s="26"/>
      <c r="H6" s="26"/>
      <c r="I6" s="26"/>
    </row>
    <row r="7" spans="1:9" x14ac:dyDescent="0.25">
      <c r="A7" s="26">
        <v>1010030</v>
      </c>
      <c r="B7" s="26" t="s">
        <v>107</v>
      </c>
      <c r="C7" s="26">
        <v>0</v>
      </c>
      <c r="D7" s="26">
        <v>0</v>
      </c>
      <c r="E7" s="26">
        <v>0</v>
      </c>
      <c r="F7" s="26">
        <v>0</v>
      </c>
      <c r="G7" s="26"/>
      <c r="H7" s="26"/>
      <c r="I7" s="26"/>
    </row>
    <row r="8" spans="1:9" x14ac:dyDescent="0.25">
      <c r="A8" s="26">
        <v>1010070</v>
      </c>
      <c r="B8" s="26" t="s">
        <v>107</v>
      </c>
      <c r="C8" s="26">
        <v>0</v>
      </c>
      <c r="D8" s="26">
        <v>0</v>
      </c>
      <c r="E8" s="26">
        <v>0</v>
      </c>
      <c r="F8" s="26">
        <v>0</v>
      </c>
      <c r="G8" s="26"/>
      <c r="H8" s="26"/>
      <c r="I8" s="26"/>
    </row>
    <row r="9" spans="1:9" x14ac:dyDescent="0.25">
      <c r="A9" s="26">
        <v>1010105</v>
      </c>
      <c r="B9" s="26" t="s">
        <v>107</v>
      </c>
      <c r="C9" s="26">
        <v>0</v>
      </c>
      <c r="D9" s="26">
        <v>0</v>
      </c>
      <c r="E9" s="26">
        <v>0</v>
      </c>
      <c r="F9" s="26">
        <v>0</v>
      </c>
      <c r="G9" s="26"/>
      <c r="H9" s="26"/>
      <c r="I9" s="26"/>
    </row>
    <row r="10" spans="1:9" x14ac:dyDescent="0.25">
      <c r="A10" s="26">
        <v>1010120</v>
      </c>
      <c r="B10" s="26" t="s">
        <v>107</v>
      </c>
      <c r="C10" s="26">
        <v>0</v>
      </c>
      <c r="D10" s="26">
        <v>0</v>
      </c>
      <c r="E10" s="26">
        <v>0</v>
      </c>
      <c r="F10" s="26">
        <v>0</v>
      </c>
      <c r="G10" s="26"/>
      <c r="H10" s="26"/>
      <c r="I10" s="26"/>
    </row>
    <row r="11" spans="1:9" x14ac:dyDescent="0.25">
      <c r="A11" s="26">
        <v>1010130</v>
      </c>
      <c r="B11" s="26" t="s">
        <v>107</v>
      </c>
      <c r="C11" s="26">
        <v>0</v>
      </c>
      <c r="D11" s="26">
        <v>0</v>
      </c>
      <c r="E11" s="26">
        <v>0</v>
      </c>
      <c r="F11" s="26">
        <v>0</v>
      </c>
      <c r="G11" s="26"/>
      <c r="H11" s="26"/>
      <c r="I11" s="26"/>
    </row>
    <row r="12" spans="1:9" x14ac:dyDescent="0.25">
      <c r="A12" s="26">
        <v>1010140</v>
      </c>
      <c r="B12" s="26" t="s">
        <v>107</v>
      </c>
      <c r="C12" s="26">
        <v>0</v>
      </c>
      <c r="D12" s="26">
        <v>0</v>
      </c>
      <c r="E12" s="26">
        <v>0</v>
      </c>
      <c r="F12" s="26">
        <v>0</v>
      </c>
      <c r="G12" s="26"/>
      <c r="H12" s="26"/>
      <c r="I12" s="26"/>
    </row>
    <row r="13" spans="1:9" x14ac:dyDescent="0.25">
      <c r="A13" s="26">
        <v>1010170</v>
      </c>
      <c r="B13" s="26" t="s">
        <v>107</v>
      </c>
      <c r="C13" s="26">
        <v>0</v>
      </c>
      <c r="D13" s="26">
        <v>0</v>
      </c>
      <c r="E13" s="26">
        <v>0</v>
      </c>
      <c r="F13" s="26">
        <v>0</v>
      </c>
      <c r="G13" s="26"/>
      <c r="H13" s="26"/>
      <c r="I13" s="26"/>
    </row>
    <row r="14" spans="1:9" x14ac:dyDescent="0.25">
      <c r="A14" s="26">
        <v>1030010</v>
      </c>
      <c r="B14" s="26" t="s">
        <v>124</v>
      </c>
      <c r="C14" s="26">
        <v>0</v>
      </c>
      <c r="D14" s="26">
        <v>0</v>
      </c>
      <c r="E14" s="26">
        <v>0</v>
      </c>
      <c r="F14" s="26">
        <v>0</v>
      </c>
      <c r="G14" s="26"/>
      <c r="H14" s="26"/>
      <c r="I14" s="26"/>
    </row>
    <row r="15" spans="1:9" x14ac:dyDescent="0.25">
      <c r="A15" s="26">
        <v>1030040</v>
      </c>
      <c r="B15" s="26" t="s">
        <v>124</v>
      </c>
      <c r="C15" s="26">
        <v>0</v>
      </c>
      <c r="D15" s="26">
        <v>0</v>
      </c>
      <c r="E15" s="26">
        <v>0</v>
      </c>
      <c r="F15" s="26">
        <v>0</v>
      </c>
      <c r="G15" s="26"/>
      <c r="H15" s="26"/>
      <c r="I15" s="26"/>
    </row>
    <row r="16" spans="1:9" x14ac:dyDescent="0.25">
      <c r="A16" s="26">
        <v>1030050</v>
      </c>
      <c r="B16" s="26" t="s">
        <v>124</v>
      </c>
      <c r="C16" s="26">
        <v>0</v>
      </c>
      <c r="D16" s="26">
        <v>0</v>
      </c>
      <c r="E16" s="26">
        <v>0</v>
      </c>
      <c r="F16" s="26">
        <v>0</v>
      </c>
      <c r="G16" s="26"/>
      <c r="H16" s="26"/>
      <c r="I16" s="26"/>
    </row>
    <row r="17" spans="1:9" x14ac:dyDescent="0.25">
      <c r="A17" s="26">
        <v>1050020</v>
      </c>
      <c r="B17" s="26" t="s">
        <v>129</v>
      </c>
      <c r="C17" s="26">
        <v>0</v>
      </c>
      <c r="D17" s="26">
        <v>0</v>
      </c>
      <c r="E17" s="26">
        <v>0</v>
      </c>
      <c r="F17" s="26">
        <v>0</v>
      </c>
      <c r="G17" s="26"/>
      <c r="H17" s="26"/>
      <c r="I17" s="26"/>
    </row>
    <row r="18" spans="1:9" x14ac:dyDescent="0.25">
      <c r="A18" s="26">
        <v>1050030</v>
      </c>
      <c r="B18" s="26" t="s">
        <v>129</v>
      </c>
      <c r="C18" s="26">
        <v>0</v>
      </c>
      <c r="D18" s="26">
        <v>0</v>
      </c>
      <c r="E18" s="26">
        <v>0</v>
      </c>
      <c r="F18" s="26">
        <v>0</v>
      </c>
      <c r="G18" s="26"/>
      <c r="H18" s="26"/>
      <c r="I18" s="26"/>
    </row>
    <row r="19" spans="1:9" x14ac:dyDescent="0.25">
      <c r="A19" s="26">
        <v>1050050</v>
      </c>
      <c r="B19" s="26" t="s">
        <v>129</v>
      </c>
      <c r="C19" s="26">
        <v>0</v>
      </c>
      <c r="D19" s="26">
        <v>0</v>
      </c>
      <c r="E19" s="26">
        <v>0</v>
      </c>
      <c r="F19" s="26">
        <v>0</v>
      </c>
      <c r="G19" s="26"/>
      <c r="H19" s="26"/>
      <c r="I19" s="26"/>
    </row>
    <row r="20" spans="1:9" x14ac:dyDescent="0.25">
      <c r="A20" s="26">
        <v>1050100</v>
      </c>
      <c r="B20" s="26" t="s">
        <v>129</v>
      </c>
      <c r="C20" s="26">
        <v>0</v>
      </c>
      <c r="D20" s="26">
        <v>0</v>
      </c>
      <c r="E20" s="26">
        <v>0</v>
      </c>
      <c r="F20" s="26">
        <v>0</v>
      </c>
      <c r="G20" s="26"/>
      <c r="H20" s="26"/>
      <c r="I20" s="26"/>
    </row>
    <row r="21" spans="1:9" x14ac:dyDescent="0.25">
      <c r="A21" s="26">
        <v>1050120</v>
      </c>
      <c r="B21" s="26" t="s">
        <v>129</v>
      </c>
      <c r="C21" s="26">
        <v>0</v>
      </c>
      <c r="D21" s="26">
        <v>0</v>
      </c>
      <c r="E21" s="26">
        <v>0</v>
      </c>
      <c r="F21" s="26">
        <v>0</v>
      </c>
      <c r="G21" s="26"/>
      <c r="H21" s="26"/>
      <c r="I21" s="26"/>
    </row>
    <row r="22" spans="1:9" x14ac:dyDescent="0.25">
      <c r="A22" s="26">
        <v>1050140</v>
      </c>
      <c r="B22" s="26" t="s">
        <v>129</v>
      </c>
      <c r="C22" s="26">
        <v>0</v>
      </c>
      <c r="D22" s="26">
        <v>0</v>
      </c>
      <c r="E22" s="26">
        <v>0</v>
      </c>
      <c r="F22" s="26">
        <v>0</v>
      </c>
      <c r="G22" s="26"/>
      <c r="H22" s="26"/>
      <c r="I22" s="26"/>
    </row>
    <row r="23" spans="1:9" x14ac:dyDescent="0.25">
      <c r="A23" s="26">
        <v>1050170</v>
      </c>
      <c r="B23" s="26" t="s">
        <v>129</v>
      </c>
      <c r="C23" s="26">
        <v>0</v>
      </c>
      <c r="D23" s="26">
        <v>0</v>
      </c>
      <c r="E23" s="26">
        <v>0</v>
      </c>
      <c r="F23" s="26">
        <v>0</v>
      </c>
      <c r="G23" s="26"/>
      <c r="H23" s="26"/>
      <c r="I23" s="26"/>
    </row>
    <row r="24" spans="1:9" x14ac:dyDescent="0.25">
      <c r="A24" s="26">
        <v>1050190</v>
      </c>
      <c r="B24" s="26" t="s">
        <v>129</v>
      </c>
      <c r="C24" s="26">
        <v>0</v>
      </c>
      <c r="D24" s="26">
        <v>0</v>
      </c>
      <c r="E24" s="26">
        <v>0</v>
      </c>
      <c r="F24" s="26">
        <v>0</v>
      </c>
      <c r="G24" s="26"/>
      <c r="H24" s="26"/>
      <c r="I24" s="26"/>
    </row>
    <row r="25" spans="1:9" x14ac:dyDescent="0.25">
      <c r="A25" s="26">
        <v>1060010</v>
      </c>
      <c r="B25" s="26" t="s">
        <v>146</v>
      </c>
      <c r="C25" s="26">
        <v>0</v>
      </c>
      <c r="D25" s="26">
        <v>0</v>
      </c>
      <c r="E25" s="26">
        <v>0</v>
      </c>
      <c r="F25" s="26">
        <v>0</v>
      </c>
      <c r="G25" s="26"/>
      <c r="H25" s="26"/>
      <c r="I25" s="26"/>
    </row>
    <row r="26" spans="1:9" x14ac:dyDescent="0.25">
      <c r="A26" s="26">
        <v>1060020</v>
      </c>
      <c r="B26" s="26" t="s">
        <v>146</v>
      </c>
      <c r="C26" s="26">
        <v>0</v>
      </c>
      <c r="D26" s="26">
        <v>0</v>
      </c>
      <c r="E26" s="26">
        <v>0</v>
      </c>
      <c r="F26" s="26">
        <v>0</v>
      </c>
      <c r="G26" s="26"/>
      <c r="H26" s="26"/>
      <c r="I26" s="26"/>
    </row>
    <row r="27" spans="1:9" x14ac:dyDescent="0.25">
      <c r="A27" s="26">
        <v>1060030</v>
      </c>
      <c r="B27" s="26" t="s">
        <v>146</v>
      </c>
      <c r="C27" s="26">
        <v>0</v>
      </c>
      <c r="D27" s="26">
        <v>0</v>
      </c>
      <c r="E27" s="26">
        <v>0</v>
      </c>
      <c r="F27" s="26">
        <v>0</v>
      </c>
      <c r="G27" s="26"/>
      <c r="H27" s="26"/>
      <c r="I27" s="26"/>
    </row>
    <row r="28" spans="1:9" x14ac:dyDescent="0.25">
      <c r="A28" s="26">
        <v>1060041</v>
      </c>
      <c r="B28" s="26" t="s">
        <v>146</v>
      </c>
      <c r="C28" s="26">
        <v>0</v>
      </c>
      <c r="D28" s="26">
        <v>0</v>
      </c>
      <c r="E28" s="26">
        <v>0</v>
      </c>
      <c r="F28" s="26">
        <v>0</v>
      </c>
      <c r="G28" s="26"/>
      <c r="H28" s="26"/>
      <c r="I28" s="26"/>
    </row>
    <row r="29" spans="1:9" x14ac:dyDescent="0.25">
      <c r="A29" s="26">
        <v>1060050</v>
      </c>
      <c r="B29" s="26" t="s">
        <v>146</v>
      </c>
      <c r="C29" s="26">
        <v>0</v>
      </c>
      <c r="D29" s="26">
        <v>0</v>
      </c>
      <c r="E29" s="26">
        <v>0</v>
      </c>
      <c r="F29" s="26">
        <v>0</v>
      </c>
      <c r="G29" s="26"/>
      <c r="H29" s="26"/>
      <c r="I29" s="26"/>
    </row>
    <row r="30" spans="1:9" x14ac:dyDescent="0.25">
      <c r="A30" s="26">
        <v>1060070</v>
      </c>
      <c r="B30" s="26" t="s">
        <v>146</v>
      </c>
      <c r="C30" s="26">
        <v>0</v>
      </c>
      <c r="D30" s="26">
        <v>0</v>
      </c>
      <c r="E30" s="26">
        <v>0</v>
      </c>
      <c r="F30" s="26">
        <v>0</v>
      </c>
      <c r="G30" s="26"/>
      <c r="H30" s="26"/>
      <c r="I30" s="26"/>
    </row>
    <row r="31" spans="1:9" x14ac:dyDescent="0.25">
      <c r="A31" s="26">
        <v>1060080</v>
      </c>
      <c r="B31" s="26" t="s">
        <v>146</v>
      </c>
      <c r="C31" s="26">
        <v>0</v>
      </c>
      <c r="D31" s="26">
        <v>0</v>
      </c>
      <c r="E31" s="26">
        <v>0</v>
      </c>
      <c r="F31" s="26">
        <v>0</v>
      </c>
      <c r="G31" s="26"/>
      <c r="H31" s="26"/>
      <c r="I31" s="26"/>
    </row>
    <row r="32" spans="1:9" x14ac:dyDescent="0.25">
      <c r="A32" s="26">
        <v>1060090</v>
      </c>
      <c r="B32" s="26" t="s">
        <v>146</v>
      </c>
      <c r="C32" s="26">
        <v>0</v>
      </c>
      <c r="D32" s="26">
        <v>0</v>
      </c>
      <c r="E32" s="26">
        <v>0</v>
      </c>
      <c r="F32" s="26">
        <v>0</v>
      </c>
      <c r="G32" s="26"/>
      <c r="H32" s="26"/>
      <c r="I32" s="26"/>
    </row>
    <row r="33" spans="1:9" x14ac:dyDescent="0.25">
      <c r="A33" s="26">
        <v>1080010</v>
      </c>
      <c r="B33" s="26" t="s">
        <v>163</v>
      </c>
      <c r="C33" s="26">
        <v>0</v>
      </c>
      <c r="D33" s="26">
        <v>0</v>
      </c>
      <c r="E33" s="26">
        <v>0</v>
      </c>
      <c r="F33" s="26">
        <v>0</v>
      </c>
      <c r="G33" s="26"/>
      <c r="H33" s="26"/>
      <c r="I33" s="26"/>
    </row>
    <row r="34" spans="1:9" x14ac:dyDescent="0.25">
      <c r="A34" s="26">
        <v>1510020</v>
      </c>
      <c r="B34" s="26" t="s">
        <v>166</v>
      </c>
      <c r="C34" s="26">
        <v>0</v>
      </c>
      <c r="D34" s="26">
        <v>0</v>
      </c>
      <c r="E34" s="26">
        <v>0</v>
      </c>
      <c r="F34" s="26">
        <v>0</v>
      </c>
      <c r="G34" s="26"/>
      <c r="H34" s="26"/>
      <c r="I34" s="26"/>
    </row>
    <row r="35" spans="1:9" x14ac:dyDescent="0.25">
      <c r="A35" s="26">
        <v>1520040</v>
      </c>
      <c r="B35" s="26" t="s">
        <v>169</v>
      </c>
      <c r="C35" s="26">
        <v>0</v>
      </c>
      <c r="D35" s="26">
        <v>0</v>
      </c>
      <c r="E35" s="26">
        <v>0</v>
      </c>
      <c r="F35" s="26">
        <v>0</v>
      </c>
      <c r="G35" s="26"/>
      <c r="H35" s="26"/>
      <c r="I35" s="26"/>
    </row>
    <row r="36" spans="1:9" x14ac:dyDescent="0.25">
      <c r="A36" s="26">
        <v>1520050</v>
      </c>
      <c r="B36" s="26" t="s">
        <v>169</v>
      </c>
      <c r="C36" s="26">
        <v>0</v>
      </c>
      <c r="D36" s="26">
        <v>0</v>
      </c>
      <c r="E36" s="26">
        <v>0</v>
      </c>
      <c r="F36" s="26">
        <v>0</v>
      </c>
      <c r="G36" s="26"/>
      <c r="H36" s="26"/>
      <c r="I36" s="26"/>
    </row>
    <row r="37" spans="1:9" x14ac:dyDescent="0.25">
      <c r="A37" s="26">
        <v>1530020</v>
      </c>
      <c r="B37" s="26" t="s">
        <v>174</v>
      </c>
      <c r="C37" s="26">
        <v>0</v>
      </c>
      <c r="D37" s="26">
        <v>0</v>
      </c>
      <c r="E37" s="26">
        <v>0</v>
      </c>
      <c r="F37" s="26">
        <v>0</v>
      </c>
      <c r="G37" s="26"/>
      <c r="H37" s="26"/>
      <c r="I37" s="26"/>
    </row>
    <row r="38" spans="1:9" x14ac:dyDescent="0.25">
      <c r="A38" s="26">
        <v>1530030</v>
      </c>
      <c r="B38" s="26" t="s">
        <v>174</v>
      </c>
      <c r="C38" s="26">
        <v>0</v>
      </c>
      <c r="D38" s="26">
        <v>0</v>
      </c>
      <c r="E38" s="26">
        <v>0</v>
      </c>
      <c r="F38" s="26">
        <v>0</v>
      </c>
      <c r="G38" s="26"/>
      <c r="H38" s="26"/>
      <c r="I38" s="26"/>
    </row>
    <row r="39" spans="1:9" x14ac:dyDescent="0.25">
      <c r="A39" s="26">
        <v>1530040</v>
      </c>
      <c r="B39" s="26" t="s">
        <v>174</v>
      </c>
      <c r="C39" s="26">
        <v>0</v>
      </c>
      <c r="D39" s="26">
        <v>0</v>
      </c>
      <c r="E39" s="26">
        <v>0</v>
      </c>
      <c r="F39" s="26">
        <v>0</v>
      </c>
      <c r="G39" s="26"/>
      <c r="H39" s="26"/>
      <c r="I39" s="26"/>
    </row>
    <row r="40" spans="1:9" x14ac:dyDescent="0.25">
      <c r="A40" s="26">
        <v>1540010</v>
      </c>
      <c r="B40" s="26" t="s">
        <v>181</v>
      </c>
      <c r="C40" s="26">
        <v>0</v>
      </c>
      <c r="D40" s="26">
        <v>0</v>
      </c>
      <c r="E40" s="26">
        <v>0</v>
      </c>
      <c r="F40" s="26">
        <v>0</v>
      </c>
      <c r="G40" s="26"/>
      <c r="H40" s="26"/>
      <c r="I40" s="26"/>
    </row>
    <row r="41" spans="1:9" x14ac:dyDescent="0.25">
      <c r="A41" s="26">
        <v>15601043</v>
      </c>
      <c r="B41" s="26" t="s">
        <v>183</v>
      </c>
      <c r="C41" s="26">
        <v>0</v>
      </c>
      <c r="D41" s="26">
        <v>0</v>
      </c>
      <c r="E41" s="26">
        <v>0</v>
      </c>
      <c r="F41" s="26">
        <v>0</v>
      </c>
      <c r="G41" s="26"/>
      <c r="H41" s="26"/>
      <c r="I41" s="26"/>
    </row>
    <row r="42" spans="1:9" x14ac:dyDescent="0.25">
      <c r="A42" s="26">
        <v>1560113</v>
      </c>
      <c r="B42" s="26" t="s">
        <v>183</v>
      </c>
      <c r="C42" s="26">
        <v>0</v>
      </c>
      <c r="D42" s="26">
        <v>0</v>
      </c>
      <c r="E42" s="26">
        <v>0</v>
      </c>
      <c r="F42" s="26">
        <v>0</v>
      </c>
      <c r="G42" s="26"/>
      <c r="H42" s="26"/>
      <c r="I42" s="26"/>
    </row>
    <row r="43" spans="1:9" x14ac:dyDescent="0.25">
      <c r="A43" s="26">
        <v>1560146</v>
      </c>
      <c r="B43" s="26" t="s">
        <v>183</v>
      </c>
      <c r="C43" s="26">
        <v>0</v>
      </c>
      <c r="D43" s="26">
        <v>0</v>
      </c>
      <c r="E43" s="26">
        <v>0</v>
      </c>
      <c r="F43" s="26">
        <v>0</v>
      </c>
      <c r="G43" s="26"/>
      <c r="H43" s="26"/>
      <c r="I43" s="26"/>
    </row>
    <row r="44" spans="1:9" x14ac:dyDescent="0.25">
      <c r="A44" s="26">
        <v>1605050</v>
      </c>
      <c r="B44" s="26" t="s">
        <v>189</v>
      </c>
      <c r="C44" s="26">
        <v>0</v>
      </c>
      <c r="D44" s="26">
        <v>0</v>
      </c>
      <c r="E44" s="26">
        <v>0</v>
      </c>
      <c r="F44" s="26">
        <v>0</v>
      </c>
      <c r="G44" s="26"/>
      <c r="H44" s="26"/>
      <c r="I44" s="26"/>
    </row>
    <row r="45" spans="1:9" x14ac:dyDescent="0.25">
      <c r="A45" s="26">
        <v>1605088</v>
      </c>
      <c r="B45" s="26" t="s">
        <v>193</v>
      </c>
      <c r="C45" s="26">
        <v>0</v>
      </c>
      <c r="D45" s="26">
        <v>0</v>
      </c>
      <c r="E45" s="26">
        <v>0</v>
      </c>
      <c r="F45" s="26">
        <v>0</v>
      </c>
      <c r="G45" s="26"/>
      <c r="H45" s="26"/>
      <c r="I45" s="26"/>
    </row>
    <row r="46" spans="1:9" x14ac:dyDescent="0.25">
      <c r="A46" s="26">
        <v>1615607</v>
      </c>
      <c r="B46" s="26" t="s">
        <v>129</v>
      </c>
      <c r="C46" s="26">
        <v>0</v>
      </c>
      <c r="D46" s="26">
        <v>0</v>
      </c>
      <c r="E46" s="26">
        <v>0</v>
      </c>
      <c r="F46" s="26">
        <v>0</v>
      </c>
      <c r="G46" s="26"/>
      <c r="H46" s="26"/>
      <c r="I46" s="26"/>
    </row>
    <row r="47" spans="1:9" x14ac:dyDescent="0.25">
      <c r="A47" s="26">
        <v>2010010</v>
      </c>
      <c r="B47" s="26" t="s">
        <v>197</v>
      </c>
      <c r="C47" s="26">
        <v>0</v>
      </c>
      <c r="D47" s="26">
        <v>0</v>
      </c>
      <c r="E47" s="26">
        <v>0</v>
      </c>
      <c r="F47" s="26">
        <v>0</v>
      </c>
      <c r="G47" s="26"/>
      <c r="H47" s="26"/>
      <c r="I47" s="26"/>
    </row>
    <row r="48" spans="1:9" x14ac:dyDescent="0.25">
      <c r="A48" s="26">
        <v>2010040</v>
      </c>
      <c r="B48" s="26" t="s">
        <v>197</v>
      </c>
      <c r="C48" s="26">
        <v>0</v>
      </c>
      <c r="D48" s="26">
        <v>0</v>
      </c>
      <c r="E48" s="26">
        <v>0</v>
      </c>
      <c r="F48" s="26">
        <v>0</v>
      </c>
      <c r="G48" s="26"/>
      <c r="H48" s="26"/>
      <c r="I48" s="26"/>
    </row>
    <row r="49" spans="1:9" x14ac:dyDescent="0.25">
      <c r="A49" s="26">
        <v>2010060</v>
      </c>
      <c r="B49" s="26" t="s">
        <v>197</v>
      </c>
      <c r="C49" s="26">
        <v>0</v>
      </c>
      <c r="D49" s="26">
        <v>0</v>
      </c>
      <c r="E49" s="26">
        <v>0</v>
      </c>
      <c r="F49" s="26">
        <v>0</v>
      </c>
      <c r="G49" s="26"/>
      <c r="H49" s="26"/>
      <c r="I49" s="26"/>
    </row>
    <row r="50" spans="1:9" x14ac:dyDescent="0.25">
      <c r="A50" s="26">
        <v>2030060</v>
      </c>
      <c r="B50" s="26" t="s">
        <v>204</v>
      </c>
      <c r="C50" s="26">
        <v>0</v>
      </c>
      <c r="D50" s="26">
        <v>0</v>
      </c>
      <c r="E50" s="26">
        <v>0</v>
      </c>
      <c r="F50" s="26">
        <v>0</v>
      </c>
      <c r="G50" s="26"/>
      <c r="H50" s="26"/>
      <c r="I50" s="26"/>
    </row>
    <row r="51" spans="1:9" x14ac:dyDescent="0.25">
      <c r="A51" s="26">
        <v>2030090</v>
      </c>
      <c r="B51" s="26" t="s">
        <v>204</v>
      </c>
      <c r="C51" s="26">
        <v>0</v>
      </c>
      <c r="D51" s="26">
        <v>0</v>
      </c>
      <c r="E51" s="26">
        <v>0</v>
      </c>
      <c r="F51" s="26">
        <v>0</v>
      </c>
      <c r="G51" s="26"/>
      <c r="H51" s="26"/>
      <c r="I51" s="26"/>
    </row>
    <row r="52" spans="1:9" x14ac:dyDescent="0.25">
      <c r="A52" s="26">
        <v>2030120</v>
      </c>
      <c r="B52" s="26" t="s">
        <v>204</v>
      </c>
      <c r="C52" s="26">
        <v>0</v>
      </c>
      <c r="D52" s="26">
        <v>0</v>
      </c>
      <c r="E52" s="26">
        <v>0</v>
      </c>
      <c r="F52" s="26">
        <v>0</v>
      </c>
      <c r="G52" s="26"/>
      <c r="H52" s="26"/>
      <c r="I52" s="26"/>
    </row>
    <row r="53" spans="1:9" x14ac:dyDescent="0.25">
      <c r="A53" s="26">
        <v>2030130</v>
      </c>
      <c r="B53" s="26" t="s">
        <v>204</v>
      </c>
      <c r="C53" s="26">
        <v>0</v>
      </c>
      <c r="D53" s="26">
        <v>0</v>
      </c>
      <c r="E53" s="26">
        <v>0</v>
      </c>
      <c r="F53" s="26">
        <v>0</v>
      </c>
      <c r="G53" s="26"/>
      <c r="H53" s="26"/>
      <c r="I53" s="26"/>
    </row>
    <row r="54" spans="1:9" x14ac:dyDescent="0.25">
      <c r="A54" s="26">
        <v>2030140</v>
      </c>
      <c r="B54" s="26" t="s">
        <v>204</v>
      </c>
      <c r="C54" s="26">
        <v>0</v>
      </c>
      <c r="D54" s="26">
        <v>0</v>
      </c>
      <c r="E54" s="26">
        <v>0</v>
      </c>
      <c r="F54" s="26">
        <v>0</v>
      </c>
      <c r="G54" s="26"/>
      <c r="H54" s="26"/>
      <c r="I54" s="26"/>
    </row>
    <row r="55" spans="1:9" x14ac:dyDescent="0.25">
      <c r="A55" s="26">
        <v>2030170</v>
      </c>
      <c r="B55" s="26" t="s">
        <v>204</v>
      </c>
      <c r="C55" s="26">
        <v>0</v>
      </c>
      <c r="D55" s="26">
        <v>0</v>
      </c>
      <c r="E55" s="26">
        <v>0</v>
      </c>
      <c r="F55" s="26">
        <v>0</v>
      </c>
      <c r="G55" s="26"/>
      <c r="H55" s="26"/>
      <c r="I55" s="26"/>
    </row>
    <row r="56" spans="1:9" x14ac:dyDescent="0.25">
      <c r="A56" s="26">
        <v>2030387</v>
      </c>
      <c r="B56" s="26" t="s">
        <v>204</v>
      </c>
      <c r="C56" s="26">
        <v>0</v>
      </c>
      <c r="D56" s="26">
        <v>0</v>
      </c>
      <c r="E56" s="26">
        <v>0</v>
      </c>
      <c r="F56" s="26">
        <v>0</v>
      </c>
      <c r="G56" s="26"/>
      <c r="H56" s="26"/>
      <c r="I56" s="26"/>
    </row>
    <row r="57" spans="1:9" x14ac:dyDescent="0.25">
      <c r="A57" s="26">
        <v>2050010</v>
      </c>
      <c r="B57" s="26" t="s">
        <v>216</v>
      </c>
      <c r="C57" s="26">
        <v>0</v>
      </c>
      <c r="D57" s="26">
        <v>0</v>
      </c>
      <c r="E57" s="26">
        <v>0</v>
      </c>
      <c r="F57" s="26">
        <v>0</v>
      </c>
      <c r="G57" s="26"/>
      <c r="H57" s="26"/>
      <c r="I57" s="26"/>
    </row>
    <row r="58" spans="1:9" x14ac:dyDescent="0.25">
      <c r="A58" s="26">
        <v>2050030</v>
      </c>
      <c r="B58" s="26" t="s">
        <v>216</v>
      </c>
      <c r="C58" s="26">
        <v>0</v>
      </c>
      <c r="D58" s="26">
        <v>0</v>
      </c>
      <c r="E58" s="26">
        <v>0</v>
      </c>
      <c r="F58" s="26">
        <v>0</v>
      </c>
      <c r="G58" s="26"/>
      <c r="H58" s="26"/>
      <c r="I58" s="26"/>
    </row>
    <row r="59" spans="1:9" x14ac:dyDescent="0.25">
      <c r="A59" s="26">
        <v>2050080</v>
      </c>
      <c r="B59" s="26" t="s">
        <v>216</v>
      </c>
      <c r="C59" s="26">
        <v>0</v>
      </c>
      <c r="D59" s="26">
        <v>0</v>
      </c>
      <c r="E59" s="26">
        <v>0</v>
      </c>
      <c r="F59" s="26">
        <v>0</v>
      </c>
      <c r="G59" s="26"/>
      <c r="H59" s="26"/>
      <c r="I59" s="26"/>
    </row>
    <row r="60" spans="1:9" x14ac:dyDescent="0.25">
      <c r="A60" s="26">
        <v>2050120</v>
      </c>
      <c r="B60" s="26" t="s">
        <v>216</v>
      </c>
      <c r="C60" s="26">
        <v>0</v>
      </c>
      <c r="D60" s="26">
        <v>0</v>
      </c>
      <c r="E60" s="26">
        <v>0</v>
      </c>
      <c r="F60" s="26">
        <v>0</v>
      </c>
      <c r="G60" s="26"/>
      <c r="H60" s="26"/>
      <c r="I60" s="26"/>
    </row>
    <row r="61" spans="1:9" x14ac:dyDescent="0.25">
      <c r="A61" s="26">
        <v>2050140</v>
      </c>
      <c r="B61" s="26" t="s">
        <v>216</v>
      </c>
      <c r="C61" s="26">
        <v>0</v>
      </c>
      <c r="D61" s="26">
        <v>0</v>
      </c>
      <c r="E61" s="26">
        <v>0</v>
      </c>
      <c r="F61" s="26">
        <v>0</v>
      </c>
      <c r="G61" s="26"/>
      <c r="H61" s="26"/>
      <c r="I61" s="26"/>
    </row>
    <row r="62" spans="1:9" x14ac:dyDescent="0.25">
      <c r="A62" s="26">
        <v>2050166</v>
      </c>
      <c r="B62" s="26" t="s">
        <v>216</v>
      </c>
      <c r="C62" s="26">
        <v>0</v>
      </c>
      <c r="D62" s="26">
        <v>0</v>
      </c>
      <c r="E62" s="26">
        <v>0</v>
      </c>
      <c r="F62" s="26">
        <v>0</v>
      </c>
      <c r="G62" s="26"/>
      <c r="H62" s="26"/>
      <c r="I62" s="26"/>
    </row>
    <row r="63" spans="1:9" x14ac:dyDescent="0.25">
      <c r="A63" s="26">
        <v>2050220</v>
      </c>
      <c r="B63" s="26" t="s">
        <v>216</v>
      </c>
      <c r="C63" s="26">
        <v>0</v>
      </c>
      <c r="D63" s="26">
        <v>0</v>
      </c>
      <c r="E63" s="26">
        <v>0</v>
      </c>
      <c r="F63" s="26">
        <v>0</v>
      </c>
      <c r="G63" s="26"/>
      <c r="H63" s="26"/>
      <c r="I63" s="26"/>
    </row>
    <row r="64" spans="1:9" x14ac:dyDescent="0.25">
      <c r="A64" s="26">
        <v>2060239</v>
      </c>
      <c r="B64" s="26" t="s">
        <v>231</v>
      </c>
      <c r="C64" s="26">
        <v>0</v>
      </c>
      <c r="D64" s="26">
        <v>0</v>
      </c>
      <c r="E64" s="26">
        <v>0</v>
      </c>
      <c r="F64" s="26">
        <v>0</v>
      </c>
      <c r="G64" s="26"/>
      <c r="H64" s="26"/>
      <c r="I64" s="26"/>
    </row>
    <row r="65" spans="1:9" x14ac:dyDescent="0.25">
      <c r="A65" s="26">
        <v>2060243</v>
      </c>
      <c r="B65" s="26" t="s">
        <v>231</v>
      </c>
      <c r="C65" s="26">
        <v>0</v>
      </c>
      <c r="D65" s="26">
        <v>0</v>
      </c>
      <c r="E65" s="26">
        <v>0</v>
      </c>
      <c r="F65" s="26">
        <v>0</v>
      </c>
      <c r="G65" s="26"/>
      <c r="H65" s="26"/>
      <c r="I65" s="26"/>
    </row>
    <row r="66" spans="1:9" x14ac:dyDescent="0.25">
      <c r="A66" s="26">
        <v>2060315</v>
      </c>
      <c r="B66" s="26" t="s">
        <v>231</v>
      </c>
      <c r="C66" s="26">
        <v>0</v>
      </c>
      <c r="D66" s="26">
        <v>0</v>
      </c>
      <c r="E66" s="26">
        <v>0</v>
      </c>
      <c r="F66" s="26">
        <v>0</v>
      </c>
      <c r="G66" s="26"/>
      <c r="H66" s="26"/>
      <c r="I66" s="26"/>
    </row>
    <row r="67" spans="1:9" x14ac:dyDescent="0.25">
      <c r="A67" s="26">
        <v>2510030</v>
      </c>
      <c r="B67" s="26" t="s">
        <v>237</v>
      </c>
      <c r="C67" s="26">
        <v>0</v>
      </c>
      <c r="D67" s="26">
        <v>0</v>
      </c>
      <c r="E67" s="26">
        <v>0</v>
      </c>
      <c r="F67" s="26">
        <v>0</v>
      </c>
      <c r="G67" s="26"/>
      <c r="H67" s="26"/>
      <c r="I67" s="26"/>
    </row>
    <row r="68" spans="1:9" x14ac:dyDescent="0.25">
      <c r="A68" s="26">
        <v>2510045</v>
      </c>
      <c r="B68" s="26" t="s">
        <v>237</v>
      </c>
      <c r="C68" s="26">
        <v>0</v>
      </c>
      <c r="D68" s="26">
        <v>0</v>
      </c>
      <c r="E68" s="26">
        <v>0</v>
      </c>
      <c r="F68" s="26">
        <v>0</v>
      </c>
      <c r="G68" s="26"/>
      <c r="H68" s="26"/>
      <c r="I68" s="26"/>
    </row>
    <row r="69" spans="1:9" x14ac:dyDescent="0.25">
      <c r="A69" s="26">
        <v>2510050</v>
      </c>
      <c r="B69" s="26" t="s">
        <v>237</v>
      </c>
      <c r="C69" s="26">
        <v>0</v>
      </c>
      <c r="D69" s="26">
        <v>0</v>
      </c>
      <c r="E69" s="26">
        <v>0</v>
      </c>
      <c r="F69" s="26">
        <v>0</v>
      </c>
      <c r="G69" s="26"/>
      <c r="H69" s="26"/>
      <c r="I69" s="26"/>
    </row>
    <row r="70" spans="1:9" x14ac:dyDescent="0.25">
      <c r="A70" s="26">
        <v>2510055</v>
      </c>
      <c r="B70" s="26" t="s">
        <v>237</v>
      </c>
      <c r="C70" s="26">
        <v>0</v>
      </c>
      <c r="D70" s="26">
        <v>0</v>
      </c>
      <c r="E70" s="26">
        <v>0</v>
      </c>
      <c r="F70" s="26">
        <v>0</v>
      </c>
      <c r="G70" s="26"/>
      <c r="H70" s="26"/>
      <c r="I70" s="26"/>
    </row>
    <row r="71" spans="1:9" x14ac:dyDescent="0.25">
      <c r="A71" s="26">
        <v>2510060</v>
      </c>
      <c r="B71" s="26" t="s">
        <v>237</v>
      </c>
      <c r="C71" s="26">
        <v>0</v>
      </c>
      <c r="D71" s="26">
        <v>0</v>
      </c>
      <c r="E71" s="26">
        <v>0</v>
      </c>
      <c r="F71" s="26">
        <v>0</v>
      </c>
      <c r="G71" s="26"/>
      <c r="H71" s="26"/>
      <c r="I71" s="26"/>
    </row>
    <row r="72" spans="1:9" x14ac:dyDescent="0.25">
      <c r="A72" s="26">
        <v>2510080</v>
      </c>
      <c r="B72" s="26" t="s">
        <v>237</v>
      </c>
      <c r="C72" s="26">
        <v>0</v>
      </c>
      <c r="D72" s="26">
        <v>0</v>
      </c>
      <c r="E72" s="26">
        <v>0</v>
      </c>
      <c r="F72" s="26">
        <v>0</v>
      </c>
      <c r="G72" s="26"/>
      <c r="H72" s="26"/>
      <c r="I72" s="26"/>
    </row>
    <row r="73" spans="1:9" x14ac:dyDescent="0.25">
      <c r="A73" s="26">
        <v>2510090</v>
      </c>
      <c r="B73" s="26" t="s">
        <v>237</v>
      </c>
      <c r="C73" s="26">
        <v>0</v>
      </c>
      <c r="D73" s="26">
        <v>0</v>
      </c>
      <c r="E73" s="26">
        <v>0</v>
      </c>
      <c r="F73" s="26">
        <v>0</v>
      </c>
      <c r="G73" s="26"/>
      <c r="H73" s="26"/>
      <c r="I73" s="26"/>
    </row>
    <row r="74" spans="1:9" x14ac:dyDescent="0.25">
      <c r="A74" s="26">
        <v>2510100</v>
      </c>
      <c r="B74" s="26" t="s">
        <v>237</v>
      </c>
      <c r="C74" s="26">
        <v>0</v>
      </c>
      <c r="D74" s="26">
        <v>0</v>
      </c>
      <c r="E74" s="26">
        <v>0</v>
      </c>
      <c r="F74" s="26">
        <v>0</v>
      </c>
      <c r="G74" s="26"/>
      <c r="H74" s="26"/>
      <c r="I74" s="26"/>
    </row>
    <row r="75" spans="1:9" x14ac:dyDescent="0.25">
      <c r="A75" s="26">
        <v>2510110</v>
      </c>
      <c r="B75" s="26" t="s">
        <v>237</v>
      </c>
      <c r="C75" s="26">
        <v>0</v>
      </c>
      <c r="D75" s="26">
        <v>0</v>
      </c>
      <c r="E75" s="26">
        <v>0</v>
      </c>
      <c r="F75" s="26">
        <v>0</v>
      </c>
      <c r="G75" s="26"/>
      <c r="H75" s="26"/>
      <c r="I75" s="26"/>
    </row>
    <row r="76" spans="1:9" x14ac:dyDescent="0.25">
      <c r="A76" s="26">
        <v>2510120</v>
      </c>
      <c r="B76" s="26" t="s">
        <v>237</v>
      </c>
      <c r="C76" s="26">
        <v>0</v>
      </c>
      <c r="D76" s="26">
        <v>0</v>
      </c>
      <c r="E76" s="26">
        <v>0</v>
      </c>
      <c r="F76" s="26">
        <v>0</v>
      </c>
      <c r="G76" s="26"/>
      <c r="H76" s="26"/>
      <c r="I76" s="26"/>
    </row>
    <row r="77" spans="1:9" x14ac:dyDescent="0.25">
      <c r="A77" s="26">
        <v>2510130</v>
      </c>
      <c r="B77" s="26" t="s">
        <v>237</v>
      </c>
      <c r="C77" s="26">
        <v>0</v>
      </c>
      <c r="D77" s="26">
        <v>0</v>
      </c>
      <c r="E77" s="26">
        <v>0</v>
      </c>
      <c r="F77" s="26">
        <v>0</v>
      </c>
      <c r="G77" s="26"/>
      <c r="H77" s="26"/>
      <c r="I77" s="26"/>
    </row>
    <row r="78" spans="1:9" x14ac:dyDescent="0.25">
      <c r="A78" s="26">
        <v>2510140</v>
      </c>
      <c r="B78" s="26" t="s">
        <v>237</v>
      </c>
      <c r="C78" s="26">
        <v>0</v>
      </c>
      <c r="D78" s="26">
        <v>0</v>
      </c>
      <c r="E78" s="26">
        <v>0</v>
      </c>
      <c r="F78" s="26">
        <v>0</v>
      </c>
      <c r="G78" s="26"/>
      <c r="H78" s="26"/>
      <c r="I78" s="26"/>
    </row>
    <row r="79" spans="1:9" x14ac:dyDescent="0.25">
      <c r="A79" s="26">
        <v>2510150</v>
      </c>
      <c r="B79" s="26" t="s">
        <v>237</v>
      </c>
      <c r="C79" s="26">
        <v>0</v>
      </c>
      <c r="D79" s="26">
        <v>0</v>
      </c>
      <c r="E79" s="26">
        <v>0</v>
      </c>
      <c r="F79" s="26">
        <v>0</v>
      </c>
      <c r="G79" s="26"/>
      <c r="H79" s="26"/>
      <c r="I79" s="26"/>
    </row>
    <row r="80" spans="1:9" x14ac:dyDescent="0.25">
      <c r="A80" s="26">
        <v>2510160</v>
      </c>
      <c r="B80" s="26" t="s">
        <v>237</v>
      </c>
      <c r="C80" s="26">
        <v>0</v>
      </c>
      <c r="D80" s="26">
        <v>0</v>
      </c>
      <c r="E80" s="26">
        <v>0</v>
      </c>
      <c r="F80" s="26">
        <v>0</v>
      </c>
      <c r="G80" s="26"/>
      <c r="H80" s="26"/>
      <c r="I80" s="26"/>
    </row>
    <row r="81" spans="1:9" x14ac:dyDescent="0.25">
      <c r="A81" s="26">
        <v>2510170</v>
      </c>
      <c r="B81" s="26" t="s">
        <v>237</v>
      </c>
      <c r="C81" s="26">
        <v>0</v>
      </c>
      <c r="D81" s="26">
        <v>0</v>
      </c>
      <c r="E81" s="26">
        <v>0</v>
      </c>
      <c r="F81" s="26">
        <v>0</v>
      </c>
      <c r="G81" s="26"/>
      <c r="H81" s="26"/>
      <c r="I81" s="26"/>
    </row>
    <row r="82" spans="1:9" x14ac:dyDescent="0.25">
      <c r="A82" s="26">
        <v>2510180</v>
      </c>
      <c r="B82" s="26" t="s">
        <v>237</v>
      </c>
      <c r="C82" s="26">
        <v>0</v>
      </c>
      <c r="D82" s="26">
        <v>0</v>
      </c>
      <c r="E82" s="26">
        <v>0</v>
      </c>
      <c r="F82" s="26">
        <v>0</v>
      </c>
      <c r="G82" s="26"/>
      <c r="H82" s="26"/>
      <c r="I82" s="26"/>
    </row>
    <row r="83" spans="1:9" x14ac:dyDescent="0.25">
      <c r="A83" s="26">
        <v>2510230</v>
      </c>
      <c r="B83" s="26" t="s">
        <v>237</v>
      </c>
      <c r="C83" s="26">
        <v>0</v>
      </c>
      <c r="D83" s="26">
        <v>0</v>
      </c>
      <c r="E83" s="26">
        <v>0</v>
      </c>
      <c r="F83" s="26">
        <v>0</v>
      </c>
      <c r="G83" s="26"/>
      <c r="H83" s="26"/>
      <c r="I83" s="26"/>
    </row>
    <row r="84" spans="1:9" x14ac:dyDescent="0.25">
      <c r="A84" s="26">
        <v>2510240</v>
      </c>
      <c r="B84" s="26" t="s">
        <v>237</v>
      </c>
      <c r="C84" s="26">
        <v>0</v>
      </c>
      <c r="D84" s="26">
        <v>0</v>
      </c>
      <c r="E84" s="26">
        <v>0</v>
      </c>
      <c r="F84" s="26">
        <v>0</v>
      </c>
      <c r="G84" s="26"/>
      <c r="H84" s="26"/>
      <c r="I84" s="26"/>
    </row>
    <row r="85" spans="1:9" x14ac:dyDescent="0.25">
      <c r="A85" s="26">
        <v>2510250</v>
      </c>
      <c r="B85" s="26" t="s">
        <v>237</v>
      </c>
      <c r="C85" s="26">
        <v>0</v>
      </c>
      <c r="D85" s="26">
        <v>0</v>
      </c>
      <c r="E85" s="26">
        <v>0</v>
      </c>
      <c r="F85" s="26">
        <v>0</v>
      </c>
      <c r="G85" s="26"/>
      <c r="H85" s="26"/>
      <c r="I85" s="26"/>
    </row>
    <row r="86" spans="1:9" x14ac:dyDescent="0.25">
      <c r="A86" s="26">
        <v>2510260</v>
      </c>
      <c r="B86" s="26" t="s">
        <v>237</v>
      </c>
      <c r="C86" s="26">
        <v>0</v>
      </c>
      <c r="D86" s="26">
        <v>0</v>
      </c>
      <c r="E86" s="26">
        <v>0</v>
      </c>
      <c r="F86" s="26">
        <v>0</v>
      </c>
      <c r="G86" s="26"/>
      <c r="H86" s="26"/>
      <c r="I86" s="26"/>
    </row>
    <row r="87" spans="1:9" x14ac:dyDescent="0.25">
      <c r="A87" s="26">
        <v>2510271</v>
      </c>
      <c r="B87" s="26" t="s">
        <v>237</v>
      </c>
      <c r="C87" s="26">
        <v>0</v>
      </c>
      <c r="D87" s="26">
        <v>0</v>
      </c>
      <c r="E87" s="26">
        <v>0</v>
      </c>
      <c r="F87" s="26">
        <v>0</v>
      </c>
      <c r="G87" s="26"/>
      <c r="H87" s="26"/>
      <c r="I87" s="26"/>
    </row>
    <row r="88" spans="1:9" x14ac:dyDescent="0.25">
      <c r="A88" s="26">
        <v>2510272</v>
      </c>
      <c r="B88" s="26" t="s">
        <v>237</v>
      </c>
      <c r="C88" s="26">
        <v>0</v>
      </c>
      <c r="D88" s="26">
        <v>0</v>
      </c>
      <c r="E88" s="26">
        <v>0</v>
      </c>
      <c r="F88" s="26">
        <v>0</v>
      </c>
      <c r="G88" s="26"/>
      <c r="H88" s="26"/>
      <c r="I88" s="26"/>
    </row>
    <row r="89" spans="1:9" x14ac:dyDescent="0.25">
      <c r="A89" s="26">
        <v>2510280</v>
      </c>
      <c r="B89" s="26" t="s">
        <v>237</v>
      </c>
      <c r="C89" s="26">
        <v>0</v>
      </c>
      <c r="D89" s="26">
        <v>0</v>
      </c>
      <c r="E89" s="26">
        <v>0</v>
      </c>
      <c r="F89" s="26">
        <v>0</v>
      </c>
      <c r="G89" s="26"/>
      <c r="H89" s="26"/>
      <c r="I89" s="26"/>
    </row>
    <row r="90" spans="1:9" x14ac:dyDescent="0.25">
      <c r="A90" s="26">
        <v>2510290</v>
      </c>
      <c r="B90" s="26" t="s">
        <v>237</v>
      </c>
      <c r="C90" s="26">
        <v>0</v>
      </c>
      <c r="D90" s="26">
        <v>0</v>
      </c>
      <c r="E90" s="26">
        <v>0</v>
      </c>
      <c r="F90" s="26">
        <v>0</v>
      </c>
      <c r="G90" s="26"/>
      <c r="H90" s="26"/>
      <c r="I90" s="26"/>
    </row>
    <row r="91" spans="1:9" x14ac:dyDescent="0.25">
      <c r="A91" s="26">
        <v>2510300</v>
      </c>
      <c r="B91" s="26" t="s">
        <v>237</v>
      </c>
      <c r="C91" s="26">
        <v>0</v>
      </c>
      <c r="D91" s="26">
        <v>0</v>
      </c>
      <c r="E91" s="26">
        <v>0</v>
      </c>
      <c r="F91" s="26">
        <v>0</v>
      </c>
      <c r="G91" s="26"/>
      <c r="H91" s="26"/>
      <c r="I91" s="26"/>
    </row>
    <row r="92" spans="1:9" x14ac:dyDescent="0.25">
      <c r="A92" s="26">
        <v>2510310</v>
      </c>
      <c r="B92" s="26" t="s">
        <v>237</v>
      </c>
      <c r="C92" s="26">
        <v>0</v>
      </c>
      <c r="D92" s="26">
        <v>0</v>
      </c>
      <c r="E92" s="26">
        <v>0</v>
      </c>
      <c r="F92" s="26">
        <v>0</v>
      </c>
      <c r="G92" s="26"/>
      <c r="H92" s="26"/>
      <c r="I92" s="26"/>
    </row>
    <row r="93" spans="1:9" x14ac:dyDescent="0.25">
      <c r="A93" s="26">
        <v>2510320</v>
      </c>
      <c r="B93" s="26" t="s">
        <v>237</v>
      </c>
      <c r="C93" s="26">
        <v>0</v>
      </c>
      <c r="D93" s="26">
        <v>0</v>
      </c>
      <c r="E93" s="26">
        <v>0</v>
      </c>
      <c r="F93" s="26">
        <v>0</v>
      </c>
      <c r="G93" s="26"/>
      <c r="H93" s="26"/>
      <c r="I93" s="26"/>
    </row>
    <row r="94" spans="1:9" x14ac:dyDescent="0.25">
      <c r="A94" s="26">
        <v>2510330</v>
      </c>
      <c r="B94" s="26" t="s">
        <v>237</v>
      </c>
      <c r="C94" s="26">
        <v>0</v>
      </c>
      <c r="D94" s="26">
        <v>0</v>
      </c>
      <c r="E94" s="26">
        <v>0</v>
      </c>
      <c r="F94" s="26">
        <v>0</v>
      </c>
      <c r="G94" s="26"/>
      <c r="H94" s="26"/>
      <c r="I94" s="26"/>
    </row>
    <row r="95" spans="1:9" x14ac:dyDescent="0.25">
      <c r="A95" s="26">
        <v>2510340</v>
      </c>
      <c r="B95" s="26" t="s">
        <v>237</v>
      </c>
      <c r="C95" s="26">
        <v>0</v>
      </c>
      <c r="D95" s="26">
        <v>0</v>
      </c>
      <c r="E95" s="26">
        <v>0</v>
      </c>
      <c r="F95" s="26">
        <v>0</v>
      </c>
      <c r="G95" s="26"/>
      <c r="H95" s="26"/>
      <c r="I95" s="26"/>
    </row>
    <row r="96" spans="1:9" x14ac:dyDescent="0.25">
      <c r="A96" s="26">
        <v>2510350</v>
      </c>
      <c r="B96" s="26" t="s">
        <v>237</v>
      </c>
      <c r="C96" s="26">
        <v>0</v>
      </c>
      <c r="D96" s="26">
        <v>0</v>
      </c>
      <c r="E96" s="26">
        <v>0</v>
      </c>
      <c r="F96" s="26">
        <v>0</v>
      </c>
      <c r="G96" s="26"/>
      <c r="H96" s="26"/>
      <c r="I96" s="26"/>
    </row>
    <row r="97" spans="1:9" x14ac:dyDescent="0.25">
      <c r="A97" s="26">
        <v>2510370</v>
      </c>
      <c r="B97" s="26" t="s">
        <v>237</v>
      </c>
      <c r="C97" s="26">
        <v>0</v>
      </c>
      <c r="D97" s="26">
        <v>0</v>
      </c>
      <c r="E97" s="26">
        <v>0</v>
      </c>
      <c r="F97" s="26">
        <v>0</v>
      </c>
      <c r="G97" s="26"/>
      <c r="H97" s="26"/>
      <c r="I97" s="26"/>
    </row>
    <row r="98" spans="1:9" x14ac:dyDescent="0.25">
      <c r="A98" s="26">
        <v>2510440</v>
      </c>
      <c r="B98" s="26" t="s">
        <v>237</v>
      </c>
      <c r="C98" s="26">
        <v>0</v>
      </c>
      <c r="D98" s="26">
        <v>0</v>
      </c>
      <c r="E98" s="26">
        <v>0</v>
      </c>
      <c r="F98" s="26">
        <v>0</v>
      </c>
      <c r="G98" s="26"/>
      <c r="H98" s="26"/>
      <c r="I98" s="26"/>
    </row>
    <row r="99" spans="1:9" x14ac:dyDescent="0.25">
      <c r="A99" s="26">
        <v>2520040</v>
      </c>
      <c r="B99" s="26" t="s">
        <v>302</v>
      </c>
      <c r="C99" s="26">
        <v>0</v>
      </c>
      <c r="D99" s="26">
        <v>0</v>
      </c>
      <c r="E99" s="26">
        <v>0</v>
      </c>
      <c r="F99" s="26">
        <v>0</v>
      </c>
      <c r="G99" s="26"/>
      <c r="H99" s="26"/>
      <c r="I99" s="26"/>
    </row>
    <row r="100" spans="1:9" x14ac:dyDescent="0.25">
      <c r="A100" s="26">
        <v>2520096</v>
      </c>
      <c r="B100" s="26" t="s">
        <v>302</v>
      </c>
      <c r="C100" s="26">
        <v>0</v>
      </c>
      <c r="D100" s="26">
        <v>0</v>
      </c>
      <c r="E100" s="26">
        <v>0</v>
      </c>
      <c r="F100" s="26">
        <v>0</v>
      </c>
      <c r="G100" s="26"/>
      <c r="H100" s="26"/>
      <c r="I100" s="26"/>
    </row>
    <row r="101" spans="1:9" x14ac:dyDescent="0.25">
      <c r="A101" s="26">
        <v>2530010</v>
      </c>
      <c r="B101" s="26" t="s">
        <v>307</v>
      </c>
      <c r="C101" s="26">
        <v>0</v>
      </c>
      <c r="D101" s="26">
        <v>0</v>
      </c>
      <c r="E101" s="26">
        <v>0</v>
      </c>
      <c r="F101" s="26">
        <v>0</v>
      </c>
      <c r="G101" s="26"/>
      <c r="H101" s="26"/>
      <c r="I101" s="26"/>
    </row>
    <row r="102" spans="1:9" x14ac:dyDescent="0.25">
      <c r="A102" s="26">
        <v>2530020</v>
      </c>
      <c r="B102" s="26" t="s">
        <v>307</v>
      </c>
      <c r="C102" s="26">
        <v>0</v>
      </c>
      <c r="D102" s="26">
        <v>0</v>
      </c>
      <c r="E102" s="26">
        <v>0</v>
      </c>
      <c r="F102" s="26">
        <v>0</v>
      </c>
      <c r="G102" s="26"/>
      <c r="H102" s="26"/>
      <c r="I102" s="26"/>
    </row>
    <row r="103" spans="1:9" x14ac:dyDescent="0.25">
      <c r="A103" s="26">
        <v>2530040</v>
      </c>
      <c r="B103" s="26" t="s">
        <v>307</v>
      </c>
      <c r="C103" s="26">
        <v>0</v>
      </c>
      <c r="D103" s="26">
        <v>0</v>
      </c>
      <c r="E103" s="26">
        <v>0</v>
      </c>
      <c r="F103" s="26">
        <v>0</v>
      </c>
      <c r="G103" s="26"/>
      <c r="H103" s="26"/>
      <c r="I103" s="26"/>
    </row>
    <row r="104" spans="1:9" x14ac:dyDescent="0.25">
      <c r="A104" s="26">
        <v>2530050</v>
      </c>
      <c r="B104" s="26" t="s">
        <v>307</v>
      </c>
      <c r="C104" s="26">
        <v>0</v>
      </c>
      <c r="D104" s="26">
        <v>0</v>
      </c>
      <c r="E104" s="26">
        <v>0</v>
      </c>
      <c r="F104" s="26">
        <v>0</v>
      </c>
      <c r="G104" s="26"/>
      <c r="H104" s="26"/>
      <c r="I104" s="26"/>
    </row>
    <row r="105" spans="1:9" x14ac:dyDescent="0.25">
      <c r="A105" s="26">
        <v>25300513</v>
      </c>
      <c r="B105" s="26" t="s">
        <v>307</v>
      </c>
      <c r="C105" s="26">
        <v>0</v>
      </c>
      <c r="D105" s="26">
        <v>0</v>
      </c>
      <c r="E105" s="26">
        <v>0</v>
      </c>
      <c r="F105" s="26">
        <v>0</v>
      </c>
      <c r="G105" s="26"/>
      <c r="H105" s="26"/>
      <c r="I105" s="26"/>
    </row>
    <row r="106" spans="1:9" x14ac:dyDescent="0.25">
      <c r="A106" s="26">
        <v>2530060</v>
      </c>
      <c r="B106" s="26" t="s">
        <v>307</v>
      </c>
      <c r="C106" s="26">
        <v>0</v>
      </c>
      <c r="D106" s="26">
        <v>0</v>
      </c>
      <c r="E106" s="26">
        <v>0</v>
      </c>
      <c r="F106" s="26">
        <v>0</v>
      </c>
      <c r="G106" s="26"/>
      <c r="H106" s="26"/>
      <c r="I106" s="26"/>
    </row>
    <row r="107" spans="1:9" x14ac:dyDescent="0.25">
      <c r="A107" s="26">
        <v>2530070</v>
      </c>
      <c r="B107" s="26" t="s">
        <v>307</v>
      </c>
      <c r="C107" s="26">
        <v>0</v>
      </c>
      <c r="D107" s="26">
        <v>0</v>
      </c>
      <c r="E107" s="26">
        <v>0</v>
      </c>
      <c r="F107" s="26">
        <v>0</v>
      </c>
      <c r="G107" s="26"/>
      <c r="H107" s="26"/>
      <c r="I107" s="26"/>
    </row>
    <row r="108" spans="1:9" x14ac:dyDescent="0.25">
      <c r="A108" s="26">
        <v>2530080</v>
      </c>
      <c r="B108" s="26" t="s">
        <v>307</v>
      </c>
      <c r="C108" s="26">
        <v>0</v>
      </c>
      <c r="D108" s="26">
        <v>0</v>
      </c>
      <c r="E108" s="26">
        <v>0</v>
      </c>
      <c r="F108" s="26">
        <v>0</v>
      </c>
      <c r="G108" s="26"/>
      <c r="H108" s="26"/>
      <c r="I108" s="26"/>
    </row>
    <row r="109" spans="1:9" x14ac:dyDescent="0.25">
      <c r="A109" s="26">
        <v>2530100</v>
      </c>
      <c r="B109" s="26" t="s">
        <v>307</v>
      </c>
      <c r="C109" s="26">
        <v>0</v>
      </c>
      <c r="D109" s="26">
        <v>0</v>
      </c>
      <c r="E109" s="26">
        <v>0</v>
      </c>
      <c r="F109" s="26">
        <v>0</v>
      </c>
      <c r="G109" s="26"/>
      <c r="H109" s="26"/>
      <c r="I109" s="26"/>
    </row>
    <row r="110" spans="1:9" x14ac:dyDescent="0.25">
      <c r="A110" s="26">
        <v>2530110</v>
      </c>
      <c r="B110" s="26" t="s">
        <v>307</v>
      </c>
      <c r="C110" s="26">
        <v>0</v>
      </c>
      <c r="D110" s="26">
        <v>0</v>
      </c>
      <c r="E110" s="26">
        <v>0</v>
      </c>
      <c r="F110" s="26">
        <v>0</v>
      </c>
      <c r="G110" s="26"/>
      <c r="H110" s="26"/>
      <c r="I110" s="26"/>
    </row>
    <row r="111" spans="1:9" x14ac:dyDescent="0.25">
      <c r="A111" s="26">
        <v>2530120</v>
      </c>
      <c r="B111" s="26" t="s">
        <v>307</v>
      </c>
      <c r="C111" s="26">
        <v>0</v>
      </c>
      <c r="D111" s="26">
        <v>0</v>
      </c>
      <c r="E111" s="26">
        <v>0</v>
      </c>
      <c r="F111" s="26">
        <v>0</v>
      </c>
      <c r="G111" s="26"/>
      <c r="H111" s="26"/>
      <c r="I111" s="26"/>
    </row>
    <row r="112" spans="1:9" x14ac:dyDescent="0.25">
      <c r="A112" s="26">
        <v>2530130</v>
      </c>
      <c r="B112" s="26" t="s">
        <v>307</v>
      </c>
      <c r="C112" s="26">
        <v>0</v>
      </c>
      <c r="D112" s="26">
        <v>0</v>
      </c>
      <c r="E112" s="26">
        <v>0</v>
      </c>
      <c r="F112" s="26">
        <v>0</v>
      </c>
      <c r="G112" s="26"/>
      <c r="H112" s="26"/>
      <c r="I112" s="26"/>
    </row>
    <row r="113" spans="1:9" x14ac:dyDescent="0.25">
      <c r="A113" s="26">
        <v>2530312</v>
      </c>
      <c r="B113" s="26" t="s">
        <v>307</v>
      </c>
      <c r="C113" s="26">
        <v>0</v>
      </c>
      <c r="D113" s="26">
        <v>0</v>
      </c>
      <c r="E113" s="26">
        <v>0</v>
      </c>
      <c r="F113" s="26">
        <v>0</v>
      </c>
      <c r="G113" s="26"/>
      <c r="H113" s="26"/>
      <c r="I113" s="26"/>
    </row>
    <row r="114" spans="1:9" x14ac:dyDescent="0.25">
      <c r="A114" s="26">
        <v>2530313</v>
      </c>
      <c r="B114" s="26" t="s">
        <v>307</v>
      </c>
      <c r="C114" s="26">
        <v>0</v>
      </c>
      <c r="D114" s="26">
        <v>0</v>
      </c>
      <c r="E114" s="26">
        <v>0</v>
      </c>
      <c r="F114" s="26">
        <v>0</v>
      </c>
      <c r="G114" s="26"/>
      <c r="H114" s="26"/>
      <c r="I114" s="26"/>
    </row>
    <row r="115" spans="1:9" x14ac:dyDescent="0.25">
      <c r="A115" s="26">
        <v>2530432</v>
      </c>
      <c r="B115" s="26" t="s">
        <v>307</v>
      </c>
      <c r="C115" s="26">
        <v>0</v>
      </c>
      <c r="D115" s="26">
        <v>0</v>
      </c>
      <c r="E115" s="26">
        <v>0</v>
      </c>
      <c r="F115" s="26">
        <v>0</v>
      </c>
      <c r="G115" s="26"/>
      <c r="H115" s="26"/>
      <c r="I115" s="26"/>
    </row>
    <row r="116" spans="1:9" x14ac:dyDescent="0.25">
      <c r="A116" s="26">
        <v>2530981</v>
      </c>
      <c r="B116" s="26" t="s">
        <v>237</v>
      </c>
      <c r="C116" s="26">
        <v>0</v>
      </c>
      <c r="D116" s="26">
        <v>0</v>
      </c>
      <c r="E116" s="26">
        <v>0</v>
      </c>
      <c r="F116" s="26">
        <v>0</v>
      </c>
      <c r="G116" s="26"/>
      <c r="H116" s="26"/>
      <c r="I116" s="26"/>
    </row>
    <row r="117" spans="1:9" x14ac:dyDescent="0.25">
      <c r="A117" s="26">
        <v>2540020</v>
      </c>
      <c r="B117" s="26" t="s">
        <v>336</v>
      </c>
      <c r="C117" s="26">
        <v>0</v>
      </c>
      <c r="D117" s="26">
        <v>0</v>
      </c>
      <c r="E117" s="26">
        <v>0</v>
      </c>
      <c r="F117" s="26">
        <v>0</v>
      </c>
      <c r="G117" s="26"/>
      <c r="H117" s="26"/>
      <c r="I117" s="26"/>
    </row>
    <row r="118" spans="1:9" x14ac:dyDescent="0.25">
      <c r="A118" s="26">
        <v>2540030</v>
      </c>
      <c r="B118" s="26" t="s">
        <v>336</v>
      </c>
      <c r="C118" s="26">
        <v>0</v>
      </c>
      <c r="D118" s="26">
        <v>0</v>
      </c>
      <c r="E118" s="26">
        <v>0</v>
      </c>
      <c r="F118" s="26">
        <v>0</v>
      </c>
      <c r="G118" s="26"/>
      <c r="H118" s="26"/>
      <c r="I118" s="26"/>
    </row>
    <row r="119" spans="1:9" x14ac:dyDescent="0.25">
      <c r="A119" s="26">
        <v>25400385</v>
      </c>
      <c r="B119" s="26" t="s">
        <v>336</v>
      </c>
      <c r="C119" s="26">
        <v>0</v>
      </c>
      <c r="D119" s="26">
        <v>0</v>
      </c>
      <c r="E119" s="26">
        <v>0</v>
      </c>
      <c r="F119" s="26">
        <v>0</v>
      </c>
      <c r="G119" s="26"/>
      <c r="H119" s="26"/>
      <c r="I119" s="26"/>
    </row>
    <row r="120" spans="1:9" x14ac:dyDescent="0.25">
      <c r="A120" s="26">
        <v>2540050</v>
      </c>
      <c r="B120" s="26" t="s">
        <v>336</v>
      </c>
      <c r="C120" s="26">
        <v>0</v>
      </c>
      <c r="D120" s="26">
        <v>0</v>
      </c>
      <c r="E120" s="26">
        <v>0</v>
      </c>
      <c r="F120" s="26">
        <v>0</v>
      </c>
      <c r="G120" s="26"/>
      <c r="H120" s="26"/>
      <c r="I120" s="26"/>
    </row>
    <row r="121" spans="1:9" x14ac:dyDescent="0.25">
      <c r="A121" s="26">
        <v>2540055</v>
      </c>
      <c r="B121" s="26" t="s">
        <v>336</v>
      </c>
      <c r="C121" s="26">
        <v>0</v>
      </c>
      <c r="D121" s="26">
        <v>0</v>
      </c>
      <c r="E121" s="26">
        <v>0</v>
      </c>
      <c r="F121" s="26">
        <v>0</v>
      </c>
      <c r="G121" s="26"/>
      <c r="H121" s="26"/>
      <c r="I121" s="26"/>
    </row>
    <row r="122" spans="1:9" x14ac:dyDescent="0.25">
      <c r="A122" s="26">
        <v>2540090</v>
      </c>
      <c r="B122" s="26" t="s">
        <v>336</v>
      </c>
      <c r="C122" s="26">
        <v>0</v>
      </c>
      <c r="D122" s="26">
        <v>0</v>
      </c>
      <c r="E122" s="26">
        <v>0</v>
      </c>
      <c r="F122" s="26">
        <v>0</v>
      </c>
      <c r="G122" s="26"/>
      <c r="H122" s="26"/>
      <c r="I122" s="26"/>
    </row>
    <row r="123" spans="1:9" x14ac:dyDescent="0.25">
      <c r="A123" s="26">
        <v>2540100</v>
      </c>
      <c r="B123" s="26" t="s">
        <v>336</v>
      </c>
      <c r="C123" s="26">
        <v>0</v>
      </c>
      <c r="D123" s="26">
        <v>0</v>
      </c>
      <c r="E123" s="26">
        <v>0</v>
      </c>
      <c r="F123" s="26">
        <v>0</v>
      </c>
      <c r="G123" s="26"/>
      <c r="H123" s="26"/>
      <c r="I123" s="26"/>
    </row>
    <row r="124" spans="1:9" x14ac:dyDescent="0.25">
      <c r="A124" s="26">
        <v>2550120</v>
      </c>
      <c r="B124" s="26" t="s">
        <v>351</v>
      </c>
      <c r="C124" s="26">
        <v>0</v>
      </c>
      <c r="D124" s="26">
        <v>0</v>
      </c>
      <c r="E124" s="26">
        <v>0</v>
      </c>
      <c r="F124" s="26">
        <v>0</v>
      </c>
      <c r="G124" s="26"/>
      <c r="H124" s="26"/>
      <c r="I124" s="26"/>
    </row>
    <row r="125" spans="1:9" x14ac:dyDescent="0.25">
      <c r="A125" s="26">
        <v>2550190</v>
      </c>
      <c r="B125" s="26" t="s">
        <v>351</v>
      </c>
      <c r="C125" s="26">
        <v>0</v>
      </c>
      <c r="D125" s="26">
        <v>0</v>
      </c>
      <c r="E125" s="26">
        <v>0</v>
      </c>
      <c r="F125" s="26">
        <v>0</v>
      </c>
      <c r="G125" s="26"/>
      <c r="H125" s="26"/>
      <c r="I125" s="26"/>
    </row>
    <row r="126" spans="1:9" x14ac:dyDescent="0.25">
      <c r="A126" s="26">
        <v>2550453</v>
      </c>
      <c r="B126" s="26" t="s">
        <v>351</v>
      </c>
      <c r="C126" s="26">
        <v>0</v>
      </c>
      <c r="D126" s="26">
        <v>0</v>
      </c>
      <c r="E126" s="26">
        <v>0</v>
      </c>
      <c r="F126" s="26">
        <v>0</v>
      </c>
      <c r="G126" s="26"/>
      <c r="H126" s="26"/>
      <c r="I126" s="26"/>
    </row>
    <row r="127" spans="1:9" x14ac:dyDescent="0.25">
      <c r="A127" s="26">
        <v>2550476</v>
      </c>
      <c r="B127" s="26" t="s">
        <v>351</v>
      </c>
      <c r="C127" s="26">
        <v>0</v>
      </c>
      <c r="D127" s="26">
        <v>0</v>
      </c>
      <c r="E127" s="26">
        <v>0</v>
      </c>
      <c r="F127" s="26">
        <v>0</v>
      </c>
      <c r="G127" s="26"/>
      <c r="H127" s="26"/>
      <c r="I127" s="26"/>
    </row>
    <row r="128" spans="1:9" x14ac:dyDescent="0.25">
      <c r="A128" s="26">
        <v>2550512</v>
      </c>
      <c r="B128" s="26" t="s">
        <v>351</v>
      </c>
      <c r="C128" s="26">
        <v>0</v>
      </c>
      <c r="D128" s="26">
        <v>0</v>
      </c>
      <c r="E128" s="26">
        <v>0</v>
      </c>
      <c r="F128" s="26">
        <v>0</v>
      </c>
      <c r="G128" s="26"/>
      <c r="H128" s="26"/>
      <c r="I128" s="26"/>
    </row>
    <row r="129" spans="1:9" x14ac:dyDescent="0.25">
      <c r="A129" s="26">
        <v>3010015</v>
      </c>
      <c r="B129" s="26" t="s">
        <v>364</v>
      </c>
      <c r="C129" s="26">
        <v>0</v>
      </c>
      <c r="D129" s="26">
        <v>0</v>
      </c>
      <c r="E129" s="26">
        <v>0</v>
      </c>
      <c r="F129" s="26">
        <v>0</v>
      </c>
      <c r="G129" s="26"/>
      <c r="H129" s="26"/>
      <c r="I129" s="26"/>
    </row>
    <row r="130" spans="1:9" x14ac:dyDescent="0.25">
      <c r="A130" s="26">
        <v>3010020</v>
      </c>
      <c r="B130" s="26" t="s">
        <v>364</v>
      </c>
      <c r="C130" s="26">
        <v>0</v>
      </c>
      <c r="D130" s="26">
        <v>0</v>
      </c>
      <c r="E130" s="26">
        <v>0</v>
      </c>
      <c r="F130" s="26">
        <v>0</v>
      </c>
      <c r="G130" s="26"/>
      <c r="H130" s="26"/>
      <c r="I130" s="26"/>
    </row>
    <row r="131" spans="1:9" x14ac:dyDescent="0.25">
      <c r="A131" s="26">
        <v>3010050</v>
      </c>
      <c r="B131" s="26" t="s">
        <v>364</v>
      </c>
      <c r="C131" s="26">
        <v>0</v>
      </c>
      <c r="D131" s="26">
        <v>0</v>
      </c>
      <c r="E131" s="26">
        <v>0</v>
      </c>
      <c r="F131" s="26">
        <v>0</v>
      </c>
      <c r="G131" s="26"/>
      <c r="H131" s="26"/>
      <c r="I131" s="26"/>
    </row>
    <row r="132" spans="1:9" x14ac:dyDescent="0.25">
      <c r="A132" s="26">
        <v>3010100</v>
      </c>
      <c r="B132" s="26" t="s">
        <v>364</v>
      </c>
      <c r="C132" s="26">
        <v>0</v>
      </c>
      <c r="D132" s="26">
        <v>0</v>
      </c>
      <c r="E132" s="26">
        <v>0</v>
      </c>
      <c r="F132" s="26">
        <v>0</v>
      </c>
      <c r="G132" s="26"/>
      <c r="H132" s="26"/>
      <c r="I132" s="26"/>
    </row>
    <row r="133" spans="1:9" x14ac:dyDescent="0.25">
      <c r="A133" s="26">
        <v>3010120</v>
      </c>
      <c r="B133" s="26" t="s">
        <v>364</v>
      </c>
      <c r="C133" s="26">
        <v>0</v>
      </c>
      <c r="D133" s="26">
        <v>0</v>
      </c>
      <c r="E133" s="26">
        <v>0</v>
      </c>
      <c r="F133" s="26">
        <v>0</v>
      </c>
      <c r="G133" s="26"/>
      <c r="H133" s="26"/>
      <c r="I133" s="26"/>
    </row>
    <row r="134" spans="1:9" x14ac:dyDescent="0.25">
      <c r="A134" s="26">
        <v>3010130</v>
      </c>
      <c r="B134" s="26" t="s">
        <v>364</v>
      </c>
      <c r="C134" s="26">
        <v>0</v>
      </c>
      <c r="D134" s="26">
        <v>0</v>
      </c>
      <c r="E134" s="26">
        <v>0</v>
      </c>
      <c r="F134" s="26">
        <v>0</v>
      </c>
      <c r="G134" s="26"/>
      <c r="H134" s="26"/>
      <c r="I134" s="26"/>
    </row>
    <row r="135" spans="1:9" x14ac:dyDescent="0.25">
      <c r="A135" s="26">
        <v>3010140</v>
      </c>
      <c r="B135" s="26" t="s">
        <v>364</v>
      </c>
      <c r="C135" s="26">
        <v>0</v>
      </c>
      <c r="D135" s="26">
        <v>0</v>
      </c>
      <c r="E135" s="26">
        <v>0</v>
      </c>
      <c r="F135" s="26">
        <v>0</v>
      </c>
      <c r="G135" s="26"/>
      <c r="H135" s="26"/>
      <c r="I135" s="26"/>
    </row>
    <row r="136" spans="1:9" x14ac:dyDescent="0.25">
      <c r="A136" s="26">
        <v>3010141</v>
      </c>
      <c r="B136" s="26" t="s">
        <v>364</v>
      </c>
      <c r="C136" s="26">
        <v>0</v>
      </c>
      <c r="D136" s="26">
        <v>0</v>
      </c>
      <c r="E136" s="26">
        <v>0</v>
      </c>
      <c r="F136" s="26">
        <v>0</v>
      </c>
      <c r="G136" s="26"/>
      <c r="H136" s="26"/>
      <c r="I136" s="26"/>
    </row>
    <row r="137" spans="1:9" x14ac:dyDescent="0.25">
      <c r="A137" s="26">
        <v>3010160</v>
      </c>
      <c r="B137" s="26" t="s">
        <v>364</v>
      </c>
      <c r="C137" s="26">
        <v>0</v>
      </c>
      <c r="D137" s="26">
        <v>0</v>
      </c>
      <c r="E137" s="26">
        <v>0</v>
      </c>
      <c r="F137" s="26">
        <v>0</v>
      </c>
      <c r="G137" s="26"/>
      <c r="H137" s="26"/>
      <c r="I137" s="26"/>
    </row>
    <row r="138" spans="1:9" x14ac:dyDescent="0.25">
      <c r="A138" s="26">
        <v>3010180</v>
      </c>
      <c r="B138" s="26" t="s">
        <v>364</v>
      </c>
      <c r="C138" s="26">
        <v>0</v>
      </c>
      <c r="D138" s="26">
        <v>0</v>
      </c>
      <c r="E138" s="26">
        <v>0</v>
      </c>
      <c r="F138" s="26">
        <v>0</v>
      </c>
      <c r="G138" s="26"/>
      <c r="H138" s="26"/>
      <c r="I138" s="26"/>
    </row>
    <row r="139" spans="1:9" x14ac:dyDescent="0.25">
      <c r="A139" s="26">
        <v>3010200</v>
      </c>
      <c r="B139" s="26" t="s">
        <v>364</v>
      </c>
      <c r="C139" s="26">
        <v>0</v>
      </c>
      <c r="D139" s="26">
        <v>0</v>
      </c>
      <c r="E139" s="26">
        <v>0</v>
      </c>
      <c r="F139" s="26">
        <v>0</v>
      </c>
      <c r="G139" s="26"/>
      <c r="H139" s="26"/>
      <c r="I139" s="26"/>
    </row>
    <row r="140" spans="1:9" x14ac:dyDescent="0.25">
      <c r="A140" s="26">
        <v>3010250</v>
      </c>
      <c r="B140" s="26" t="s">
        <v>364</v>
      </c>
      <c r="C140" s="26">
        <v>0</v>
      </c>
      <c r="D140" s="26">
        <v>0</v>
      </c>
      <c r="E140" s="26">
        <v>0</v>
      </c>
      <c r="F140" s="26">
        <v>0</v>
      </c>
      <c r="G140" s="26"/>
      <c r="H140" s="26"/>
      <c r="I140" s="26"/>
    </row>
    <row r="141" spans="1:9" x14ac:dyDescent="0.25">
      <c r="A141" s="26">
        <v>3020040</v>
      </c>
      <c r="B141" s="26" t="s">
        <v>388</v>
      </c>
      <c r="C141" s="26">
        <v>0</v>
      </c>
      <c r="D141" s="26">
        <v>0</v>
      </c>
      <c r="E141" s="26">
        <v>0</v>
      </c>
      <c r="F141" s="26">
        <v>0</v>
      </c>
      <c r="G141" s="26"/>
      <c r="H141" s="26"/>
      <c r="I141" s="26"/>
    </row>
    <row r="142" spans="1:9" x14ac:dyDescent="0.25">
      <c r="A142" s="26">
        <v>3020060</v>
      </c>
      <c r="B142" s="26" t="s">
        <v>388</v>
      </c>
      <c r="C142" s="26">
        <v>0</v>
      </c>
      <c r="D142" s="26">
        <v>0</v>
      </c>
      <c r="E142" s="26">
        <v>0</v>
      </c>
      <c r="F142" s="26">
        <v>0</v>
      </c>
      <c r="G142" s="26"/>
      <c r="H142" s="26"/>
      <c r="I142" s="26"/>
    </row>
    <row r="143" spans="1:9" x14ac:dyDescent="0.25">
      <c r="A143" s="26">
        <v>3020100</v>
      </c>
      <c r="B143" s="26" t="s">
        <v>388</v>
      </c>
      <c r="C143" s="26">
        <v>0</v>
      </c>
      <c r="D143" s="26">
        <v>0</v>
      </c>
      <c r="E143" s="26">
        <v>0</v>
      </c>
      <c r="F143" s="26">
        <v>0</v>
      </c>
      <c r="G143" s="26"/>
      <c r="H143" s="26"/>
      <c r="I143" s="26"/>
    </row>
    <row r="144" spans="1:9" x14ac:dyDescent="0.25">
      <c r="A144" s="26">
        <v>3020140</v>
      </c>
      <c r="B144" s="26" t="s">
        <v>388</v>
      </c>
      <c r="C144" s="26">
        <v>0</v>
      </c>
      <c r="D144" s="26">
        <v>0</v>
      </c>
      <c r="E144" s="26">
        <v>0</v>
      </c>
      <c r="F144" s="26">
        <v>0</v>
      </c>
      <c r="G144" s="26"/>
      <c r="H144" s="26"/>
      <c r="I144" s="26"/>
    </row>
    <row r="145" spans="1:9" x14ac:dyDescent="0.25">
      <c r="A145" s="26">
        <v>3020401</v>
      </c>
      <c r="B145" s="26" t="s">
        <v>388</v>
      </c>
      <c r="C145" s="26">
        <v>0</v>
      </c>
      <c r="D145" s="26">
        <v>0</v>
      </c>
      <c r="E145" s="26">
        <v>0</v>
      </c>
      <c r="F145" s="26">
        <v>0</v>
      </c>
      <c r="G145" s="26"/>
      <c r="H145" s="26"/>
      <c r="I145" s="26"/>
    </row>
    <row r="146" spans="1:9" x14ac:dyDescent="0.25">
      <c r="A146" s="26">
        <v>3020456</v>
      </c>
      <c r="B146" s="26" t="s">
        <v>388</v>
      </c>
      <c r="C146" s="26">
        <v>0</v>
      </c>
      <c r="D146" s="26">
        <v>0</v>
      </c>
      <c r="E146" s="26">
        <v>0</v>
      </c>
      <c r="F146" s="26">
        <v>0</v>
      </c>
      <c r="G146" s="26"/>
      <c r="H146" s="26"/>
      <c r="I146" s="26"/>
    </row>
    <row r="147" spans="1:9" x14ac:dyDescent="0.25">
      <c r="A147" s="26">
        <v>3030030</v>
      </c>
      <c r="B147" s="26" t="s">
        <v>398</v>
      </c>
      <c r="C147" s="26">
        <v>0</v>
      </c>
      <c r="D147" s="26">
        <v>0</v>
      </c>
      <c r="E147" s="26">
        <v>0</v>
      </c>
      <c r="F147" s="26">
        <v>0</v>
      </c>
      <c r="G147" s="26"/>
      <c r="H147" s="26"/>
      <c r="I147" s="26"/>
    </row>
    <row r="148" spans="1:9" x14ac:dyDescent="0.25">
      <c r="A148" s="26">
        <v>3030060</v>
      </c>
      <c r="B148" s="26" t="s">
        <v>398</v>
      </c>
      <c r="C148" s="26">
        <v>0</v>
      </c>
      <c r="D148" s="26">
        <v>0</v>
      </c>
      <c r="E148" s="26">
        <v>0</v>
      </c>
      <c r="F148" s="26">
        <v>0</v>
      </c>
      <c r="G148" s="26"/>
      <c r="H148" s="26"/>
      <c r="I148" s="26"/>
    </row>
    <row r="149" spans="1:9" x14ac:dyDescent="0.25">
      <c r="A149" s="26">
        <v>3030143</v>
      </c>
      <c r="B149" s="26" t="s">
        <v>398</v>
      </c>
      <c r="C149" s="26">
        <v>0</v>
      </c>
      <c r="D149" s="26">
        <v>0</v>
      </c>
      <c r="E149" s="26">
        <v>0</v>
      </c>
      <c r="F149" s="26">
        <v>0</v>
      </c>
      <c r="G149" s="26"/>
      <c r="H149" s="26"/>
      <c r="I149" s="26"/>
    </row>
    <row r="150" spans="1:9" x14ac:dyDescent="0.25">
      <c r="A150" s="26">
        <v>3030157</v>
      </c>
      <c r="B150" s="26" t="s">
        <v>398</v>
      </c>
      <c r="C150" s="26">
        <v>0</v>
      </c>
      <c r="D150" s="26">
        <v>0</v>
      </c>
      <c r="E150" s="26">
        <v>0</v>
      </c>
      <c r="F150" s="26">
        <v>0</v>
      </c>
      <c r="G150" s="26"/>
      <c r="H150" s="26"/>
      <c r="I150" s="26"/>
    </row>
    <row r="151" spans="1:9" x14ac:dyDescent="0.25">
      <c r="A151" s="26">
        <v>3030167</v>
      </c>
      <c r="B151" s="26" t="s">
        <v>398</v>
      </c>
      <c r="C151" s="26">
        <v>0</v>
      </c>
      <c r="D151" s="26">
        <v>0</v>
      </c>
      <c r="E151" s="26">
        <v>0</v>
      </c>
      <c r="F151" s="26">
        <v>0</v>
      </c>
      <c r="G151" s="26"/>
      <c r="H151" s="26"/>
      <c r="I151" s="26"/>
    </row>
    <row r="152" spans="1:9" x14ac:dyDescent="0.25">
      <c r="A152" s="26">
        <v>3030211</v>
      </c>
      <c r="B152" s="26" t="s">
        <v>398</v>
      </c>
      <c r="C152" s="26">
        <v>0</v>
      </c>
      <c r="D152" s="26">
        <v>0</v>
      </c>
      <c r="E152" s="26">
        <v>0</v>
      </c>
      <c r="F152" s="26">
        <v>0</v>
      </c>
      <c r="G152" s="26"/>
      <c r="H152" s="26"/>
      <c r="I152" s="26"/>
    </row>
    <row r="153" spans="1:9" x14ac:dyDescent="0.25">
      <c r="A153" s="26">
        <v>3510010</v>
      </c>
      <c r="B153" s="26" t="s">
        <v>408</v>
      </c>
      <c r="C153" s="26">
        <v>0</v>
      </c>
      <c r="D153" s="26">
        <v>0</v>
      </c>
      <c r="E153" s="26">
        <v>0</v>
      </c>
      <c r="F153" s="26">
        <v>0</v>
      </c>
      <c r="G153" s="26"/>
      <c r="H153" s="26"/>
      <c r="I153" s="26"/>
    </row>
    <row r="154" spans="1:9" x14ac:dyDescent="0.25">
      <c r="A154" s="26">
        <v>3510020</v>
      </c>
      <c r="B154" s="26" t="s">
        <v>408</v>
      </c>
      <c r="C154" s="26">
        <v>0</v>
      </c>
      <c r="D154" s="26">
        <v>0</v>
      </c>
      <c r="E154" s="26">
        <v>0</v>
      </c>
      <c r="F154" s="26">
        <v>0</v>
      </c>
      <c r="G154" s="26"/>
      <c r="H154" s="26"/>
      <c r="I154" s="26"/>
    </row>
    <row r="155" spans="1:9" x14ac:dyDescent="0.25">
      <c r="A155" s="26">
        <v>3510035</v>
      </c>
      <c r="B155" s="26" t="s">
        <v>408</v>
      </c>
      <c r="C155" s="26">
        <v>0</v>
      </c>
      <c r="D155" s="26">
        <v>0</v>
      </c>
      <c r="E155" s="26">
        <v>0</v>
      </c>
      <c r="F155" s="26">
        <v>0</v>
      </c>
      <c r="G155" s="26"/>
      <c r="H155" s="26"/>
      <c r="I155" s="26"/>
    </row>
    <row r="156" spans="1:9" x14ac:dyDescent="0.25">
      <c r="A156" s="26">
        <v>3510060</v>
      </c>
      <c r="B156" s="26" t="s">
        <v>408</v>
      </c>
      <c r="C156" s="26">
        <v>0</v>
      </c>
      <c r="D156" s="26">
        <v>0</v>
      </c>
      <c r="E156" s="26">
        <v>0</v>
      </c>
      <c r="F156" s="26">
        <v>0</v>
      </c>
      <c r="G156" s="26"/>
      <c r="H156" s="26"/>
      <c r="I156" s="26"/>
    </row>
    <row r="157" spans="1:9" x14ac:dyDescent="0.25">
      <c r="A157" s="26">
        <v>3510070</v>
      </c>
      <c r="B157" s="26" t="s">
        <v>408</v>
      </c>
      <c r="C157" s="26">
        <v>0</v>
      </c>
      <c r="D157" s="26">
        <v>0</v>
      </c>
      <c r="E157" s="26">
        <v>0</v>
      </c>
      <c r="F157" s="26">
        <v>0</v>
      </c>
      <c r="G157" s="26"/>
      <c r="H157" s="26"/>
      <c r="I157" s="26"/>
    </row>
    <row r="158" spans="1:9" x14ac:dyDescent="0.25">
      <c r="A158" s="26">
        <v>3510086</v>
      </c>
      <c r="B158" s="26" t="s">
        <v>408</v>
      </c>
      <c r="C158" s="26">
        <v>0</v>
      </c>
      <c r="D158" s="26">
        <v>0</v>
      </c>
      <c r="E158" s="26">
        <v>0</v>
      </c>
      <c r="F158" s="26">
        <v>0</v>
      </c>
      <c r="G158" s="26"/>
      <c r="H158" s="26"/>
      <c r="I158" s="26"/>
    </row>
    <row r="159" spans="1:9" x14ac:dyDescent="0.25">
      <c r="A159" s="26">
        <v>35101510</v>
      </c>
      <c r="B159" s="26" t="s">
        <v>408</v>
      </c>
      <c r="C159" s="26">
        <v>0</v>
      </c>
      <c r="D159" s="26">
        <v>0</v>
      </c>
      <c r="E159" s="26">
        <v>0</v>
      </c>
      <c r="F159" s="26">
        <v>0</v>
      </c>
      <c r="G159" s="26"/>
      <c r="H159" s="26"/>
      <c r="I159" s="26"/>
    </row>
    <row r="160" spans="1:9" x14ac:dyDescent="0.25">
      <c r="A160" s="26">
        <v>3520020</v>
      </c>
      <c r="B160" s="26" t="s">
        <v>424</v>
      </c>
      <c r="C160" s="26">
        <v>0</v>
      </c>
      <c r="D160" s="26">
        <v>0</v>
      </c>
      <c r="E160" s="26">
        <v>0</v>
      </c>
      <c r="F160" s="26">
        <v>0</v>
      </c>
      <c r="G160" s="26"/>
      <c r="H160" s="26"/>
      <c r="I160" s="26"/>
    </row>
    <row r="161" spans="1:9" x14ac:dyDescent="0.25">
      <c r="A161" s="26">
        <v>3520060</v>
      </c>
      <c r="B161" s="26" t="s">
        <v>424</v>
      </c>
      <c r="C161" s="26">
        <v>0</v>
      </c>
      <c r="D161" s="26">
        <v>0</v>
      </c>
      <c r="E161" s="26">
        <v>0</v>
      </c>
      <c r="F161" s="26">
        <v>0</v>
      </c>
      <c r="G161" s="26"/>
      <c r="H161" s="26"/>
      <c r="I161" s="26"/>
    </row>
    <row r="162" spans="1:9" x14ac:dyDescent="0.25">
      <c r="A162" s="26">
        <v>3520080</v>
      </c>
      <c r="B162" s="26" t="s">
        <v>424</v>
      </c>
      <c r="C162" s="26">
        <v>0</v>
      </c>
      <c r="D162" s="26">
        <v>0</v>
      </c>
      <c r="E162" s="26">
        <v>0</v>
      </c>
      <c r="F162" s="26">
        <v>0</v>
      </c>
      <c r="G162" s="26"/>
      <c r="H162" s="26"/>
      <c r="I162" s="26"/>
    </row>
    <row r="163" spans="1:9" x14ac:dyDescent="0.25">
      <c r="A163" s="26">
        <v>3530010</v>
      </c>
      <c r="B163" s="26" t="s">
        <v>431</v>
      </c>
      <c r="C163" s="26">
        <v>0</v>
      </c>
      <c r="D163" s="26">
        <v>0</v>
      </c>
      <c r="E163" s="26">
        <v>0</v>
      </c>
      <c r="F163" s="26">
        <v>0</v>
      </c>
      <c r="G163" s="26"/>
      <c r="H163" s="26"/>
      <c r="I163" s="26"/>
    </row>
    <row r="164" spans="1:9" x14ac:dyDescent="0.25">
      <c r="A164" s="26">
        <v>3530040</v>
      </c>
      <c r="B164" s="26" t="s">
        <v>431</v>
      </c>
      <c r="C164" s="26">
        <v>0</v>
      </c>
      <c r="D164" s="26">
        <v>0</v>
      </c>
      <c r="E164" s="26">
        <v>0</v>
      </c>
      <c r="F164" s="26">
        <v>0</v>
      </c>
      <c r="G164" s="26"/>
      <c r="H164" s="26"/>
      <c r="I164" s="26"/>
    </row>
    <row r="165" spans="1:9" x14ac:dyDescent="0.25">
      <c r="A165" s="26">
        <v>3530080</v>
      </c>
      <c r="B165" s="26" t="s">
        <v>431</v>
      </c>
      <c r="C165" s="26">
        <v>0</v>
      </c>
      <c r="D165" s="26">
        <v>0</v>
      </c>
      <c r="E165" s="26">
        <v>0</v>
      </c>
      <c r="F165" s="26">
        <v>0</v>
      </c>
      <c r="G165" s="26"/>
      <c r="H165" s="26"/>
      <c r="I165" s="26"/>
    </row>
    <row r="166" spans="1:9" x14ac:dyDescent="0.25">
      <c r="A166" s="26">
        <v>3540035</v>
      </c>
      <c r="B166" s="26" t="s">
        <v>438</v>
      </c>
      <c r="C166" s="26">
        <v>0</v>
      </c>
      <c r="D166" s="26">
        <v>0</v>
      </c>
      <c r="E166" s="26">
        <v>0</v>
      </c>
      <c r="F166" s="26">
        <v>0</v>
      </c>
      <c r="G166" s="26"/>
      <c r="H166" s="26"/>
      <c r="I166" s="26"/>
    </row>
    <row r="167" spans="1:9" x14ac:dyDescent="0.25">
      <c r="A167" s="26">
        <v>35401152</v>
      </c>
      <c r="B167" s="26" t="s">
        <v>438</v>
      </c>
      <c r="C167" s="26">
        <v>0</v>
      </c>
      <c r="D167" s="26">
        <v>0</v>
      </c>
      <c r="E167" s="26">
        <v>0</v>
      </c>
      <c r="F167" s="26">
        <v>0</v>
      </c>
      <c r="G167" s="26"/>
      <c r="H167" s="26"/>
      <c r="I167" s="26"/>
    </row>
    <row r="168" spans="1:9" x14ac:dyDescent="0.25">
      <c r="A168" s="26">
        <v>3540150</v>
      </c>
      <c r="B168" s="26" t="s">
        <v>438</v>
      </c>
      <c r="C168" s="26">
        <v>0</v>
      </c>
      <c r="D168" s="26">
        <v>0</v>
      </c>
      <c r="E168" s="26">
        <v>0</v>
      </c>
      <c r="F168" s="26">
        <v>0</v>
      </c>
      <c r="G168" s="26"/>
      <c r="H168" s="26"/>
      <c r="I168" s="26"/>
    </row>
    <row r="169" spans="1:9" x14ac:dyDescent="0.25">
      <c r="A169" s="26">
        <v>3540167</v>
      </c>
      <c r="B169" s="26" t="s">
        <v>438</v>
      </c>
      <c r="C169" s="26">
        <v>0</v>
      </c>
      <c r="D169" s="26">
        <v>0</v>
      </c>
      <c r="E169" s="26">
        <v>0</v>
      </c>
      <c r="F169" s="26">
        <v>0</v>
      </c>
      <c r="G169" s="26"/>
      <c r="H169" s="26"/>
      <c r="I169" s="26"/>
    </row>
    <row r="170" spans="1:9" x14ac:dyDescent="0.25">
      <c r="A170" s="26">
        <v>35403934</v>
      </c>
      <c r="B170" s="26" t="s">
        <v>438</v>
      </c>
      <c r="C170" s="26">
        <v>0</v>
      </c>
      <c r="D170" s="26">
        <v>0</v>
      </c>
      <c r="E170" s="26">
        <v>0</v>
      </c>
      <c r="F170" s="26">
        <v>0</v>
      </c>
      <c r="G170" s="26"/>
      <c r="H170" s="26"/>
      <c r="I170" s="26"/>
    </row>
    <row r="171" spans="1:9" x14ac:dyDescent="0.25">
      <c r="A171" s="26">
        <v>3540704</v>
      </c>
      <c r="B171" s="26" t="s">
        <v>438</v>
      </c>
      <c r="C171" s="26">
        <v>0</v>
      </c>
      <c r="D171" s="26">
        <v>0</v>
      </c>
      <c r="E171" s="26">
        <v>0</v>
      </c>
      <c r="F171" s="26">
        <v>0</v>
      </c>
      <c r="G171" s="26"/>
      <c r="H171" s="26"/>
      <c r="I171" s="26"/>
    </row>
    <row r="172" spans="1:9" x14ac:dyDescent="0.25">
      <c r="A172" s="26">
        <v>3541020</v>
      </c>
      <c r="B172" s="26" t="s">
        <v>438</v>
      </c>
      <c r="C172" s="26">
        <v>0</v>
      </c>
      <c r="D172" s="26">
        <v>0</v>
      </c>
      <c r="E172" s="26">
        <v>0</v>
      </c>
      <c r="F172" s="26">
        <v>0</v>
      </c>
      <c r="G172" s="26"/>
      <c r="H172" s="26"/>
      <c r="I172" s="26"/>
    </row>
    <row r="173" spans="1:9" x14ac:dyDescent="0.25">
      <c r="A173" s="26">
        <v>3550030</v>
      </c>
      <c r="B173" s="26" t="s">
        <v>453</v>
      </c>
      <c r="C173" s="26">
        <v>0</v>
      </c>
      <c r="D173" s="26">
        <v>0</v>
      </c>
      <c r="E173" s="26">
        <v>0</v>
      </c>
      <c r="F173" s="26">
        <v>0</v>
      </c>
      <c r="G173" s="26"/>
      <c r="H173" s="26"/>
      <c r="I173" s="26"/>
    </row>
    <row r="174" spans="1:9" x14ac:dyDescent="0.25">
      <c r="A174" s="26">
        <v>3550172</v>
      </c>
      <c r="B174" s="26" t="s">
        <v>453</v>
      </c>
      <c r="C174" s="26">
        <v>0</v>
      </c>
      <c r="D174" s="26">
        <v>0</v>
      </c>
      <c r="E174" s="26">
        <v>0</v>
      </c>
      <c r="F174" s="26">
        <v>0</v>
      </c>
      <c r="G174" s="26"/>
      <c r="H174" s="26"/>
      <c r="I174" s="26"/>
    </row>
    <row r="175" spans="1:9" x14ac:dyDescent="0.25">
      <c r="A175" s="26">
        <v>3550241</v>
      </c>
      <c r="B175" s="26" t="s">
        <v>453</v>
      </c>
      <c r="C175" s="26">
        <v>0</v>
      </c>
      <c r="D175" s="26">
        <v>0</v>
      </c>
      <c r="E175" s="26">
        <v>0</v>
      </c>
      <c r="F175" s="26">
        <v>0</v>
      </c>
      <c r="G175" s="26"/>
      <c r="H175" s="26"/>
      <c r="I175" s="26"/>
    </row>
    <row r="176" spans="1:9" x14ac:dyDescent="0.25">
      <c r="A176" s="26">
        <v>3550355</v>
      </c>
      <c r="B176" s="26" t="s">
        <v>453</v>
      </c>
      <c r="C176" s="26">
        <v>0</v>
      </c>
      <c r="D176" s="26">
        <v>0</v>
      </c>
      <c r="E176" s="26">
        <v>0</v>
      </c>
      <c r="F176" s="26">
        <v>0</v>
      </c>
      <c r="G176" s="26"/>
      <c r="H176" s="26"/>
      <c r="I176" s="26"/>
    </row>
    <row r="177" spans="1:9" x14ac:dyDescent="0.25">
      <c r="A177" s="26">
        <v>3560036</v>
      </c>
      <c r="B177" s="26" t="s">
        <v>463</v>
      </c>
      <c r="C177" s="26">
        <v>0</v>
      </c>
      <c r="D177" s="26">
        <v>0</v>
      </c>
      <c r="E177" s="26">
        <v>0</v>
      </c>
      <c r="F177" s="26">
        <v>0</v>
      </c>
      <c r="G177" s="26"/>
      <c r="H177" s="26"/>
      <c r="I177" s="26"/>
    </row>
    <row r="178" spans="1:9" x14ac:dyDescent="0.25">
      <c r="A178" s="26">
        <v>3560051</v>
      </c>
      <c r="B178" s="26" t="s">
        <v>463</v>
      </c>
      <c r="C178" s="26">
        <v>0</v>
      </c>
      <c r="D178" s="26">
        <v>0</v>
      </c>
      <c r="E178" s="26">
        <v>0</v>
      </c>
      <c r="F178" s="26">
        <v>0</v>
      </c>
      <c r="G178" s="26"/>
      <c r="H178" s="26"/>
      <c r="I178" s="26"/>
    </row>
    <row r="179" spans="1:9" x14ac:dyDescent="0.25">
      <c r="A179" s="26">
        <v>3560060</v>
      </c>
      <c r="B179" s="26" t="s">
        <v>463</v>
      </c>
      <c r="C179" s="26">
        <v>0</v>
      </c>
      <c r="D179" s="26">
        <v>0</v>
      </c>
      <c r="E179" s="26">
        <v>0</v>
      </c>
      <c r="F179" s="26">
        <v>0</v>
      </c>
      <c r="G179" s="26"/>
      <c r="H179" s="26"/>
      <c r="I179" s="26"/>
    </row>
    <row r="180" spans="1:9" x14ac:dyDescent="0.25">
      <c r="A180" s="26">
        <v>35602721</v>
      </c>
      <c r="B180" s="26" t="s">
        <v>463</v>
      </c>
      <c r="C180" s="26">
        <v>0</v>
      </c>
      <c r="D180" s="26">
        <v>0</v>
      </c>
      <c r="E180" s="26">
        <v>0</v>
      </c>
      <c r="F180" s="26">
        <v>0</v>
      </c>
      <c r="G180" s="26"/>
      <c r="H180" s="26"/>
      <c r="I180" s="26"/>
    </row>
    <row r="181" spans="1:9" x14ac:dyDescent="0.25">
      <c r="A181" s="26">
        <v>3560478</v>
      </c>
      <c r="B181" s="26" t="s">
        <v>463</v>
      </c>
      <c r="C181" s="26">
        <v>0</v>
      </c>
      <c r="D181" s="26">
        <v>0</v>
      </c>
      <c r="E181" s="26">
        <v>0</v>
      </c>
      <c r="F181" s="26">
        <v>0</v>
      </c>
      <c r="G181" s="26"/>
      <c r="H181" s="26"/>
      <c r="I181" s="26"/>
    </row>
    <row r="182" spans="1:9" x14ac:dyDescent="0.25">
      <c r="A182" s="26">
        <v>3560491</v>
      </c>
      <c r="B182" s="26" t="s">
        <v>463</v>
      </c>
      <c r="C182" s="26">
        <v>0</v>
      </c>
      <c r="D182" s="26">
        <v>0</v>
      </c>
      <c r="E182" s="26">
        <v>0</v>
      </c>
      <c r="F182" s="26">
        <v>0</v>
      </c>
      <c r="G182" s="26"/>
      <c r="H182" s="26"/>
      <c r="I182" s="26"/>
    </row>
    <row r="183" spans="1:9" x14ac:dyDescent="0.25">
      <c r="A183" s="26">
        <v>3560492</v>
      </c>
      <c r="B183" s="26" t="s">
        <v>463</v>
      </c>
      <c r="C183" s="26">
        <v>0</v>
      </c>
      <c r="D183" s="26">
        <v>0</v>
      </c>
      <c r="E183" s="26">
        <v>0</v>
      </c>
      <c r="F183" s="26">
        <v>0</v>
      </c>
      <c r="G183" s="26"/>
      <c r="H183" s="26"/>
      <c r="I183" s="26"/>
    </row>
    <row r="184" spans="1:9" x14ac:dyDescent="0.25">
      <c r="A184" s="26">
        <v>3560493</v>
      </c>
      <c r="B184" s="26" t="s">
        <v>463</v>
      </c>
      <c r="C184" s="26">
        <v>0</v>
      </c>
      <c r="D184" s="26">
        <v>0</v>
      </c>
      <c r="E184" s="26">
        <v>0</v>
      </c>
      <c r="F184" s="26">
        <v>0</v>
      </c>
      <c r="G184" s="26"/>
      <c r="H184" s="26"/>
      <c r="I184" s="26"/>
    </row>
    <row r="185" spans="1:9" x14ac:dyDescent="0.25">
      <c r="A185" s="26">
        <v>3560505</v>
      </c>
      <c r="B185" s="26" t="s">
        <v>463</v>
      </c>
      <c r="C185" s="26">
        <v>0</v>
      </c>
      <c r="D185" s="26">
        <v>0</v>
      </c>
      <c r="E185" s="26">
        <v>0</v>
      </c>
      <c r="F185" s="26">
        <v>0</v>
      </c>
      <c r="G185" s="26"/>
      <c r="H185" s="26"/>
      <c r="I185" s="26"/>
    </row>
    <row r="186" spans="1:9" x14ac:dyDescent="0.25">
      <c r="A186" s="26">
        <v>3560555</v>
      </c>
      <c r="B186" s="26" t="s">
        <v>463</v>
      </c>
      <c r="C186" s="26">
        <v>0</v>
      </c>
      <c r="D186" s="26">
        <v>0</v>
      </c>
      <c r="E186" s="26">
        <v>0</v>
      </c>
      <c r="F186" s="26">
        <v>0</v>
      </c>
      <c r="G186" s="26"/>
      <c r="H186" s="26"/>
      <c r="I186" s="26"/>
    </row>
    <row r="187" spans="1:9" x14ac:dyDescent="0.25">
      <c r="A187" s="26">
        <v>3560599</v>
      </c>
      <c r="B187" s="26" t="s">
        <v>463</v>
      </c>
      <c r="C187" s="26">
        <v>0</v>
      </c>
      <c r="D187" s="26">
        <v>0</v>
      </c>
      <c r="E187" s="26">
        <v>0</v>
      </c>
      <c r="F187" s="26">
        <v>0</v>
      </c>
      <c r="G187" s="26"/>
      <c r="H187" s="26"/>
      <c r="I187" s="26"/>
    </row>
    <row r="188" spans="1:9" x14ac:dyDescent="0.25">
      <c r="A188" s="26">
        <v>3560674</v>
      </c>
      <c r="B188" s="26" t="s">
        <v>463</v>
      </c>
      <c r="C188" s="26">
        <v>0</v>
      </c>
      <c r="D188" s="26">
        <v>0</v>
      </c>
      <c r="E188" s="26">
        <v>0</v>
      </c>
      <c r="F188" s="26">
        <v>0</v>
      </c>
      <c r="G188" s="26"/>
      <c r="H188" s="26"/>
      <c r="I188" s="26"/>
    </row>
    <row r="189" spans="1:9" x14ac:dyDescent="0.25">
      <c r="A189" s="26">
        <v>3570010</v>
      </c>
      <c r="B189" s="26" t="s">
        <v>489</v>
      </c>
      <c r="C189" s="26">
        <v>0</v>
      </c>
      <c r="D189" s="26">
        <v>0</v>
      </c>
      <c r="E189" s="26">
        <v>0</v>
      </c>
      <c r="F189" s="26">
        <v>0</v>
      </c>
      <c r="G189" s="26"/>
      <c r="H189" s="26"/>
      <c r="I189" s="26"/>
    </row>
    <row r="190" spans="1:9" x14ac:dyDescent="0.25">
      <c r="A190" s="26">
        <v>3570020</v>
      </c>
      <c r="B190" s="26" t="s">
        <v>489</v>
      </c>
      <c r="C190" s="26">
        <v>0</v>
      </c>
      <c r="D190" s="26">
        <v>0</v>
      </c>
      <c r="E190" s="26">
        <v>0</v>
      </c>
      <c r="F190" s="26">
        <v>0</v>
      </c>
      <c r="G190" s="26"/>
      <c r="H190" s="26"/>
      <c r="I190" s="26"/>
    </row>
    <row r="191" spans="1:9" x14ac:dyDescent="0.25">
      <c r="A191" s="26">
        <v>3570035</v>
      </c>
      <c r="B191" s="26" t="s">
        <v>489</v>
      </c>
      <c r="C191" s="26">
        <v>0</v>
      </c>
      <c r="D191" s="26">
        <v>0</v>
      </c>
      <c r="E191" s="26">
        <v>0</v>
      </c>
      <c r="F191" s="26">
        <v>0</v>
      </c>
      <c r="G191" s="26"/>
      <c r="H191" s="26"/>
      <c r="I191" s="26"/>
    </row>
    <row r="192" spans="1:9" x14ac:dyDescent="0.25">
      <c r="A192" s="26">
        <v>3570050</v>
      </c>
      <c r="B192" s="26" t="s">
        <v>489</v>
      </c>
      <c r="C192" s="26">
        <v>0</v>
      </c>
      <c r="D192" s="26">
        <v>0</v>
      </c>
      <c r="E192" s="26">
        <v>0</v>
      </c>
      <c r="F192" s="26">
        <v>0</v>
      </c>
      <c r="G192" s="26"/>
      <c r="H192" s="26"/>
      <c r="I192" s="26"/>
    </row>
    <row r="193" spans="1:9" x14ac:dyDescent="0.25">
      <c r="A193" s="26">
        <v>3570070</v>
      </c>
      <c r="B193" s="26" t="s">
        <v>489</v>
      </c>
      <c r="C193" s="26">
        <v>0</v>
      </c>
      <c r="D193" s="26">
        <v>0</v>
      </c>
      <c r="E193" s="26">
        <v>0</v>
      </c>
      <c r="F193" s="26">
        <v>0</v>
      </c>
      <c r="G193" s="26"/>
      <c r="H193" s="26"/>
      <c r="I193" s="26"/>
    </row>
    <row r="194" spans="1:9" x14ac:dyDescent="0.25">
      <c r="A194" s="26">
        <v>3570103</v>
      </c>
      <c r="B194" s="26" t="s">
        <v>408</v>
      </c>
      <c r="C194" s="26">
        <v>0</v>
      </c>
      <c r="D194" s="26">
        <v>0</v>
      </c>
      <c r="E194" s="26">
        <v>0</v>
      </c>
      <c r="F194" s="26">
        <v>0</v>
      </c>
      <c r="G194" s="26"/>
      <c r="H194" s="26"/>
      <c r="I194" s="26"/>
    </row>
    <row r="195" spans="1:9" x14ac:dyDescent="0.25">
      <c r="A195" s="26">
        <v>3570106</v>
      </c>
      <c r="B195" s="26" t="s">
        <v>408</v>
      </c>
      <c r="C195" s="26">
        <v>0</v>
      </c>
      <c r="D195" s="26">
        <v>0</v>
      </c>
      <c r="E195" s="26">
        <v>0</v>
      </c>
      <c r="F195" s="26">
        <v>0</v>
      </c>
      <c r="G195" s="26"/>
      <c r="H195" s="26"/>
      <c r="I195" s="26"/>
    </row>
    <row r="196" spans="1:9" x14ac:dyDescent="0.25">
      <c r="A196" s="26">
        <v>35701060</v>
      </c>
      <c r="B196" s="26" t="s">
        <v>489</v>
      </c>
      <c r="C196" s="26">
        <v>0</v>
      </c>
      <c r="D196" s="26">
        <v>0</v>
      </c>
      <c r="E196" s="26">
        <v>0</v>
      </c>
      <c r="F196" s="26">
        <v>0</v>
      </c>
      <c r="G196" s="26"/>
      <c r="H196" s="26"/>
      <c r="I196" s="26"/>
    </row>
    <row r="197" spans="1:9" x14ac:dyDescent="0.25">
      <c r="A197" s="26">
        <v>35701918</v>
      </c>
      <c r="B197" s="26" t="s">
        <v>489</v>
      </c>
      <c r="C197" s="26">
        <v>0</v>
      </c>
      <c r="D197" s="26">
        <v>0</v>
      </c>
      <c r="E197" s="26">
        <v>0</v>
      </c>
      <c r="F197" s="26">
        <v>0</v>
      </c>
      <c r="G197" s="26"/>
      <c r="H197" s="26"/>
      <c r="I197" s="26"/>
    </row>
    <row r="198" spans="1:9" x14ac:dyDescent="0.25">
      <c r="A198" s="26">
        <v>35702285</v>
      </c>
      <c r="B198" s="26" t="s">
        <v>489</v>
      </c>
      <c r="C198" s="26">
        <v>0</v>
      </c>
      <c r="D198" s="26">
        <v>0</v>
      </c>
      <c r="E198" s="26">
        <v>0</v>
      </c>
      <c r="F198" s="26">
        <v>0</v>
      </c>
      <c r="G198" s="26"/>
      <c r="H198" s="26"/>
      <c r="I198" s="26"/>
    </row>
    <row r="199" spans="1:9" x14ac:dyDescent="0.25">
      <c r="A199" s="26">
        <v>3570289</v>
      </c>
      <c r="B199" s="26" t="s">
        <v>489</v>
      </c>
      <c r="C199" s="26">
        <v>0</v>
      </c>
      <c r="D199" s="26">
        <v>0</v>
      </c>
      <c r="E199" s="26">
        <v>0</v>
      </c>
      <c r="F199" s="26">
        <v>0</v>
      </c>
      <c r="G199" s="26"/>
      <c r="H199" s="26"/>
      <c r="I199" s="26"/>
    </row>
    <row r="200" spans="1:9" x14ac:dyDescent="0.25">
      <c r="A200" s="26">
        <v>3570305</v>
      </c>
      <c r="B200" s="26" t="s">
        <v>489</v>
      </c>
      <c r="C200" s="26">
        <v>0</v>
      </c>
      <c r="D200" s="26">
        <v>0</v>
      </c>
      <c r="E200" s="26">
        <v>0</v>
      </c>
      <c r="F200" s="26">
        <v>0</v>
      </c>
      <c r="G200" s="26"/>
      <c r="H200" s="26"/>
      <c r="I200" s="26"/>
    </row>
    <row r="201" spans="1:9" x14ac:dyDescent="0.25">
      <c r="A201" s="26">
        <v>3570308</v>
      </c>
      <c r="B201" s="26" t="s">
        <v>489</v>
      </c>
      <c r="C201" s="26">
        <v>0</v>
      </c>
      <c r="D201" s="26">
        <v>0</v>
      </c>
      <c r="E201" s="26">
        <v>0</v>
      </c>
      <c r="F201" s="26">
        <v>0</v>
      </c>
      <c r="G201" s="26"/>
      <c r="H201" s="26"/>
      <c r="I201" s="26"/>
    </row>
    <row r="202" spans="1:9" x14ac:dyDescent="0.25">
      <c r="A202" s="26">
        <v>3570324</v>
      </c>
      <c r="B202" s="26" t="s">
        <v>489</v>
      </c>
      <c r="C202" s="26">
        <v>0</v>
      </c>
      <c r="D202" s="26">
        <v>0</v>
      </c>
      <c r="E202" s="26">
        <v>0</v>
      </c>
      <c r="F202" s="26">
        <v>0</v>
      </c>
      <c r="G202" s="26"/>
      <c r="H202" s="26"/>
      <c r="I202" s="26"/>
    </row>
    <row r="203" spans="1:9" x14ac:dyDescent="0.25">
      <c r="A203" s="26">
        <v>3570343</v>
      </c>
      <c r="B203" s="26" t="s">
        <v>489</v>
      </c>
      <c r="C203" s="26">
        <v>0</v>
      </c>
      <c r="D203" s="26">
        <v>0</v>
      </c>
      <c r="E203" s="26">
        <v>0</v>
      </c>
      <c r="F203" s="26">
        <v>0</v>
      </c>
      <c r="G203" s="26"/>
      <c r="H203" s="26"/>
      <c r="I203" s="26"/>
    </row>
    <row r="204" spans="1:9" x14ac:dyDescent="0.25">
      <c r="A204" s="26">
        <v>3570593</v>
      </c>
      <c r="B204" s="26" t="s">
        <v>489</v>
      </c>
      <c r="C204" s="26">
        <v>0</v>
      </c>
      <c r="D204" s="26">
        <v>0</v>
      </c>
      <c r="E204" s="26">
        <v>0</v>
      </c>
      <c r="F204" s="26">
        <v>0</v>
      </c>
      <c r="G204" s="26"/>
      <c r="H204" s="26"/>
      <c r="I204" s="26"/>
    </row>
    <row r="205" spans="1:9" x14ac:dyDescent="0.25">
      <c r="A205" s="26">
        <v>4010010</v>
      </c>
      <c r="B205" s="26" t="s">
        <v>524</v>
      </c>
      <c r="C205" s="26">
        <v>0</v>
      </c>
      <c r="D205" s="26">
        <v>0</v>
      </c>
      <c r="E205" s="26">
        <v>0</v>
      </c>
      <c r="F205" s="26">
        <v>0</v>
      </c>
      <c r="G205" s="26"/>
      <c r="H205" s="26"/>
      <c r="I205" s="26"/>
    </row>
    <row r="206" spans="1:9" x14ac:dyDescent="0.25">
      <c r="A206" s="26">
        <v>4010208</v>
      </c>
      <c r="B206" s="26" t="s">
        <v>524</v>
      </c>
      <c r="C206" s="26">
        <v>0</v>
      </c>
      <c r="D206" s="26">
        <v>0</v>
      </c>
      <c r="E206" s="26">
        <v>0</v>
      </c>
      <c r="F206" s="26">
        <v>0</v>
      </c>
      <c r="G206" s="26"/>
      <c r="H206" s="26"/>
      <c r="I206" s="26"/>
    </row>
    <row r="207" spans="1:9" x14ac:dyDescent="0.25">
      <c r="A207" s="26">
        <v>4020050</v>
      </c>
      <c r="B207" s="26" t="s">
        <v>530</v>
      </c>
      <c r="C207" s="26">
        <v>0</v>
      </c>
      <c r="D207" s="26">
        <v>0</v>
      </c>
      <c r="E207" s="26">
        <v>0</v>
      </c>
      <c r="F207" s="26">
        <v>0</v>
      </c>
      <c r="G207" s="26"/>
      <c r="H207" s="26"/>
      <c r="I207" s="26"/>
    </row>
    <row r="208" spans="1:9" x14ac:dyDescent="0.25">
      <c r="A208" s="26">
        <v>4030010</v>
      </c>
      <c r="B208" s="26" t="s">
        <v>534</v>
      </c>
      <c r="C208" s="26">
        <v>0</v>
      </c>
      <c r="D208" s="26">
        <v>0</v>
      </c>
      <c r="E208" s="26">
        <v>0</v>
      </c>
      <c r="F208" s="26">
        <v>0</v>
      </c>
      <c r="G208" s="26"/>
      <c r="H208" s="26"/>
      <c r="I208" s="26"/>
    </row>
    <row r="209" spans="1:9" x14ac:dyDescent="0.25">
      <c r="A209" s="26">
        <v>4030020</v>
      </c>
      <c r="B209" s="26" t="s">
        <v>534</v>
      </c>
      <c r="C209" s="26">
        <v>0</v>
      </c>
      <c r="D209" s="26">
        <v>0</v>
      </c>
      <c r="E209" s="26">
        <v>0</v>
      </c>
      <c r="F209" s="26">
        <v>0</v>
      </c>
      <c r="G209" s="26"/>
      <c r="H209" s="26"/>
      <c r="I209" s="26"/>
    </row>
    <row r="210" spans="1:9" x14ac:dyDescent="0.25">
      <c r="A210" s="26">
        <v>4030025</v>
      </c>
      <c r="B210" s="26" t="s">
        <v>534</v>
      </c>
      <c r="C210" s="26">
        <v>0</v>
      </c>
      <c r="D210" s="26">
        <v>0</v>
      </c>
      <c r="E210" s="26">
        <v>0</v>
      </c>
      <c r="F210" s="26">
        <v>0</v>
      </c>
      <c r="G210" s="26"/>
      <c r="H210" s="26"/>
      <c r="I210" s="26"/>
    </row>
    <row r="211" spans="1:9" x14ac:dyDescent="0.25">
      <c r="A211" s="26">
        <v>4040010</v>
      </c>
      <c r="B211" s="26" t="s">
        <v>541</v>
      </c>
      <c r="C211" s="26">
        <v>0</v>
      </c>
      <c r="D211" s="26">
        <v>0</v>
      </c>
      <c r="E211" s="26">
        <v>0</v>
      </c>
      <c r="F211" s="26">
        <v>0</v>
      </c>
      <c r="G211" s="26"/>
      <c r="H211" s="26"/>
      <c r="I211" s="26"/>
    </row>
    <row r="212" spans="1:9" x14ac:dyDescent="0.25">
      <c r="A212" s="26">
        <v>4040030</v>
      </c>
      <c r="B212" s="26" t="s">
        <v>541</v>
      </c>
      <c r="C212" s="26">
        <v>0</v>
      </c>
      <c r="D212" s="26">
        <v>0</v>
      </c>
      <c r="E212" s="26">
        <v>0</v>
      </c>
      <c r="F212" s="26">
        <v>0</v>
      </c>
      <c r="G212" s="26"/>
      <c r="H212" s="26"/>
      <c r="I212" s="26"/>
    </row>
    <row r="213" spans="1:9" x14ac:dyDescent="0.25">
      <c r="A213" s="26">
        <v>4050100</v>
      </c>
      <c r="B213" s="26" t="s">
        <v>547</v>
      </c>
      <c r="C213" s="26">
        <v>0</v>
      </c>
      <c r="D213" s="26">
        <v>0</v>
      </c>
      <c r="E213" s="26">
        <v>0</v>
      </c>
      <c r="F213" s="26">
        <v>0</v>
      </c>
      <c r="G213" s="26"/>
      <c r="H213" s="26"/>
      <c r="I213" s="26"/>
    </row>
    <row r="214" spans="1:9" x14ac:dyDescent="0.25">
      <c r="A214" s="26">
        <v>4050150</v>
      </c>
      <c r="B214" s="26" t="s">
        <v>547</v>
      </c>
      <c r="C214" s="26">
        <v>0</v>
      </c>
      <c r="D214" s="26">
        <v>0</v>
      </c>
      <c r="E214" s="26">
        <v>0</v>
      </c>
      <c r="F214" s="26">
        <v>0</v>
      </c>
      <c r="G214" s="26"/>
      <c r="H214" s="26"/>
      <c r="I214" s="26"/>
    </row>
    <row r="215" spans="1:9" x14ac:dyDescent="0.25">
      <c r="A215" s="26">
        <v>4050180</v>
      </c>
      <c r="B215" s="26" t="s">
        <v>547</v>
      </c>
      <c r="C215" s="26">
        <v>0</v>
      </c>
      <c r="D215" s="26">
        <v>0</v>
      </c>
      <c r="E215" s="26">
        <v>0</v>
      </c>
      <c r="F215" s="26">
        <v>0</v>
      </c>
      <c r="G215" s="26"/>
      <c r="H215" s="26"/>
      <c r="I215" s="26"/>
    </row>
    <row r="216" spans="1:9" x14ac:dyDescent="0.25">
      <c r="A216" s="26">
        <v>4050230</v>
      </c>
      <c r="B216" s="26" t="s">
        <v>547</v>
      </c>
      <c r="C216" s="26">
        <v>0</v>
      </c>
      <c r="D216" s="26">
        <v>0</v>
      </c>
      <c r="E216" s="26">
        <v>0</v>
      </c>
      <c r="F216" s="26">
        <v>0</v>
      </c>
      <c r="G216" s="26"/>
      <c r="H216" s="26"/>
      <c r="I216" s="26"/>
    </row>
    <row r="217" spans="1:9" x14ac:dyDescent="0.25">
      <c r="A217" s="26">
        <v>4050470</v>
      </c>
      <c r="B217" s="26" t="s">
        <v>547</v>
      </c>
      <c r="C217" s="26">
        <v>0</v>
      </c>
      <c r="D217" s="26">
        <v>0</v>
      </c>
      <c r="E217" s="26">
        <v>0</v>
      </c>
      <c r="F217" s="26">
        <v>0</v>
      </c>
      <c r="G217" s="26"/>
      <c r="H217" s="26"/>
      <c r="I217" s="26"/>
    </row>
    <row r="218" spans="1:9" x14ac:dyDescent="0.25">
      <c r="A218" s="26">
        <v>4050827</v>
      </c>
      <c r="B218" s="26" t="s">
        <v>547</v>
      </c>
      <c r="C218" s="26">
        <v>0</v>
      </c>
      <c r="D218" s="26">
        <v>0</v>
      </c>
      <c r="E218" s="26">
        <v>0</v>
      </c>
      <c r="F218" s="26">
        <v>0</v>
      </c>
      <c r="G218" s="26"/>
      <c r="H218" s="26"/>
      <c r="I218" s="26"/>
    </row>
    <row r="219" spans="1:9" x14ac:dyDescent="0.25">
      <c r="A219" s="26">
        <v>4050848</v>
      </c>
      <c r="B219" s="26" t="s">
        <v>547</v>
      </c>
      <c r="C219" s="26">
        <v>0</v>
      </c>
      <c r="D219" s="26">
        <v>0</v>
      </c>
      <c r="E219" s="26">
        <v>0</v>
      </c>
      <c r="F219" s="26">
        <v>0</v>
      </c>
      <c r="G219" s="26"/>
      <c r="H219" s="26"/>
      <c r="I219" s="26"/>
    </row>
    <row r="220" spans="1:9" x14ac:dyDescent="0.25">
      <c r="A220" s="26">
        <v>4060030</v>
      </c>
      <c r="B220" s="26" t="s">
        <v>559</v>
      </c>
      <c r="C220" s="26">
        <v>0</v>
      </c>
      <c r="D220" s="26">
        <v>0</v>
      </c>
      <c r="E220" s="26">
        <v>0</v>
      </c>
      <c r="F220" s="26">
        <v>0</v>
      </c>
      <c r="G220" s="26"/>
      <c r="H220" s="26"/>
      <c r="I220" s="26"/>
    </row>
    <row r="221" spans="1:9" x14ac:dyDescent="0.25">
      <c r="A221" s="26">
        <v>4060040</v>
      </c>
      <c r="B221" s="26" t="s">
        <v>559</v>
      </c>
      <c r="C221" s="26">
        <v>0</v>
      </c>
      <c r="D221" s="26">
        <v>0</v>
      </c>
      <c r="E221" s="26">
        <v>0</v>
      </c>
      <c r="F221" s="26">
        <v>0</v>
      </c>
      <c r="G221" s="26"/>
      <c r="H221" s="26"/>
      <c r="I221" s="26"/>
    </row>
    <row r="222" spans="1:9" x14ac:dyDescent="0.25">
      <c r="A222" s="26">
        <v>4060050</v>
      </c>
      <c r="B222" s="26" t="s">
        <v>559</v>
      </c>
      <c r="C222" s="26">
        <v>0</v>
      </c>
      <c r="D222" s="26">
        <v>0</v>
      </c>
      <c r="E222" s="26">
        <v>0</v>
      </c>
      <c r="F222" s="26">
        <v>0</v>
      </c>
      <c r="G222" s="26"/>
      <c r="H222" s="26"/>
      <c r="I222" s="26"/>
    </row>
    <row r="223" spans="1:9" x14ac:dyDescent="0.25">
      <c r="A223" s="26">
        <v>40601941</v>
      </c>
      <c r="B223" s="26" t="s">
        <v>559</v>
      </c>
      <c r="C223" s="26">
        <v>0</v>
      </c>
      <c r="D223" s="26">
        <v>0</v>
      </c>
      <c r="E223" s="26">
        <v>0</v>
      </c>
      <c r="F223" s="26">
        <v>0</v>
      </c>
      <c r="G223" s="26"/>
      <c r="H223" s="26"/>
      <c r="I223" s="26"/>
    </row>
    <row r="224" spans="1:9" x14ac:dyDescent="0.25">
      <c r="A224" s="26">
        <v>40701322</v>
      </c>
      <c r="B224" s="26" t="s">
        <v>568</v>
      </c>
      <c r="C224" s="26">
        <v>0</v>
      </c>
      <c r="D224" s="26">
        <v>0</v>
      </c>
      <c r="E224" s="26">
        <v>0</v>
      </c>
      <c r="F224" s="26">
        <v>0</v>
      </c>
      <c r="G224" s="26"/>
      <c r="H224" s="26"/>
      <c r="I224" s="26"/>
    </row>
    <row r="225" spans="1:9" x14ac:dyDescent="0.25">
      <c r="A225" s="26">
        <v>40702200</v>
      </c>
      <c r="B225" s="26" t="s">
        <v>568</v>
      </c>
      <c r="C225" s="26">
        <v>0</v>
      </c>
      <c r="D225" s="26">
        <v>0</v>
      </c>
      <c r="E225" s="26">
        <v>0</v>
      </c>
      <c r="F225" s="26">
        <v>0</v>
      </c>
      <c r="G225" s="26"/>
      <c r="H225" s="26"/>
      <c r="I225" s="26"/>
    </row>
    <row r="226" spans="1:9" x14ac:dyDescent="0.25">
      <c r="A226" s="26">
        <v>4080030</v>
      </c>
      <c r="B226" s="26" t="s">
        <v>575</v>
      </c>
      <c r="C226" s="26">
        <v>0</v>
      </c>
      <c r="D226" s="26">
        <v>0</v>
      </c>
      <c r="E226" s="26">
        <v>0</v>
      </c>
      <c r="F226" s="26">
        <v>0</v>
      </c>
      <c r="G226" s="26"/>
      <c r="H226" s="26"/>
      <c r="I226" s="26"/>
    </row>
    <row r="227" spans="1:9" x14ac:dyDescent="0.25">
      <c r="A227" s="26">
        <v>4080040</v>
      </c>
      <c r="B227" s="26" t="s">
        <v>575</v>
      </c>
      <c r="C227" s="26">
        <v>0</v>
      </c>
      <c r="D227" s="26">
        <v>0</v>
      </c>
      <c r="E227" s="26">
        <v>0</v>
      </c>
      <c r="F227" s="26">
        <v>0</v>
      </c>
      <c r="G227" s="26"/>
      <c r="H227" s="26"/>
      <c r="I227" s="26"/>
    </row>
    <row r="228" spans="1:9" x14ac:dyDescent="0.25">
      <c r="A228" s="26">
        <v>4080117</v>
      </c>
      <c r="B228" s="26" t="s">
        <v>541</v>
      </c>
      <c r="C228" s="26">
        <v>0</v>
      </c>
      <c r="D228" s="26">
        <v>0</v>
      </c>
      <c r="E228" s="26">
        <v>0</v>
      </c>
      <c r="F228" s="26">
        <v>0</v>
      </c>
      <c r="G228" s="26"/>
      <c r="H228" s="26"/>
      <c r="I228" s="26"/>
    </row>
    <row r="229" spans="1:9" x14ac:dyDescent="0.25">
      <c r="A229" s="26">
        <v>4080121</v>
      </c>
      <c r="B229" s="26" t="s">
        <v>541</v>
      </c>
      <c r="C229" s="26">
        <v>0</v>
      </c>
      <c r="D229" s="26">
        <v>0</v>
      </c>
      <c r="E229" s="26">
        <v>0</v>
      </c>
      <c r="F229" s="26">
        <v>0</v>
      </c>
      <c r="G229" s="26"/>
      <c r="H229" s="26"/>
      <c r="I229" s="26"/>
    </row>
    <row r="230" spans="1:9" x14ac:dyDescent="0.25">
      <c r="A230" s="26">
        <v>4090010</v>
      </c>
      <c r="B230" s="26" t="s">
        <v>583</v>
      </c>
      <c r="C230" s="26">
        <v>0</v>
      </c>
      <c r="D230" s="26">
        <v>0</v>
      </c>
      <c r="E230" s="26">
        <v>0</v>
      </c>
      <c r="F230" s="26">
        <v>0</v>
      </c>
      <c r="G230" s="26"/>
      <c r="H230" s="26"/>
      <c r="I230" s="26"/>
    </row>
    <row r="231" spans="1:9" x14ac:dyDescent="0.25">
      <c r="A231" s="26">
        <v>4090040</v>
      </c>
      <c r="B231" s="26" t="s">
        <v>583</v>
      </c>
      <c r="C231" s="26">
        <v>0</v>
      </c>
      <c r="D231" s="26">
        <v>0</v>
      </c>
      <c r="E231" s="26">
        <v>0</v>
      </c>
      <c r="F231" s="26">
        <v>0</v>
      </c>
      <c r="G231" s="26"/>
      <c r="H231" s="26"/>
      <c r="I231" s="26"/>
    </row>
    <row r="232" spans="1:9" x14ac:dyDescent="0.25">
      <c r="A232" s="26">
        <v>4090080</v>
      </c>
      <c r="B232" s="26" t="s">
        <v>583</v>
      </c>
      <c r="C232" s="26">
        <v>0</v>
      </c>
      <c r="D232" s="26">
        <v>0</v>
      </c>
      <c r="E232" s="26">
        <v>0</v>
      </c>
      <c r="F232" s="26">
        <v>0</v>
      </c>
      <c r="G232" s="26"/>
      <c r="H232" s="26"/>
      <c r="I232" s="26"/>
    </row>
    <row r="233" spans="1:9" x14ac:dyDescent="0.25">
      <c r="A233" s="26">
        <v>4090138</v>
      </c>
      <c r="B233" s="26" t="s">
        <v>583</v>
      </c>
      <c r="C233" s="26">
        <v>0</v>
      </c>
      <c r="D233" s="26">
        <v>0</v>
      </c>
      <c r="E233" s="26">
        <v>0</v>
      </c>
      <c r="F233" s="26">
        <v>0</v>
      </c>
      <c r="G233" s="26"/>
      <c r="H233" s="26"/>
      <c r="I233" s="26"/>
    </row>
    <row r="234" spans="1:9" x14ac:dyDescent="0.25">
      <c r="A234" s="26">
        <v>4090234</v>
      </c>
      <c r="B234" s="26" t="s">
        <v>583</v>
      </c>
      <c r="C234" s="26">
        <v>0</v>
      </c>
      <c r="D234" s="26">
        <v>0</v>
      </c>
      <c r="E234" s="26">
        <v>0</v>
      </c>
      <c r="F234" s="26">
        <v>0</v>
      </c>
      <c r="G234" s="26"/>
      <c r="H234" s="26"/>
      <c r="I234" s="26"/>
    </row>
    <row r="235" spans="1:9" x14ac:dyDescent="0.25">
      <c r="A235" s="26">
        <v>4510050</v>
      </c>
      <c r="B235" s="26" t="s">
        <v>595</v>
      </c>
      <c r="C235" s="26">
        <v>0</v>
      </c>
      <c r="D235" s="26">
        <v>0</v>
      </c>
      <c r="E235" s="26">
        <v>0</v>
      </c>
      <c r="F235" s="26">
        <v>0</v>
      </c>
      <c r="G235" s="26"/>
      <c r="H235" s="26"/>
      <c r="I235" s="26"/>
    </row>
    <row r="236" spans="1:9" x14ac:dyDescent="0.25">
      <c r="A236" s="26">
        <v>45101665</v>
      </c>
      <c r="B236" s="26" t="s">
        <v>595</v>
      </c>
      <c r="C236" s="26">
        <v>0</v>
      </c>
      <c r="D236" s="26">
        <v>0</v>
      </c>
      <c r="E236" s="26">
        <v>0</v>
      </c>
      <c r="F236" s="26">
        <v>0</v>
      </c>
      <c r="G236" s="26"/>
      <c r="H236" s="26"/>
      <c r="I236" s="26"/>
    </row>
    <row r="237" spans="1:9" x14ac:dyDescent="0.25">
      <c r="A237" s="26">
        <v>45102410</v>
      </c>
      <c r="B237" s="26" t="s">
        <v>595</v>
      </c>
      <c r="C237" s="26">
        <v>0</v>
      </c>
      <c r="D237" s="26">
        <v>0</v>
      </c>
      <c r="E237" s="26">
        <v>0</v>
      </c>
      <c r="F237" s="26">
        <v>0</v>
      </c>
      <c r="G237" s="26"/>
      <c r="H237" s="26"/>
      <c r="I237" s="26"/>
    </row>
    <row r="238" spans="1:9" x14ac:dyDescent="0.25">
      <c r="A238" s="26">
        <v>4520010</v>
      </c>
      <c r="B238" s="26" t="s">
        <v>605</v>
      </c>
      <c r="C238" s="26">
        <v>0</v>
      </c>
      <c r="D238" s="26">
        <v>0</v>
      </c>
      <c r="E238" s="26">
        <v>0</v>
      </c>
      <c r="F238" s="26">
        <v>0</v>
      </c>
      <c r="G238" s="26"/>
      <c r="H238" s="26"/>
      <c r="I238" s="26"/>
    </row>
    <row r="239" spans="1:9" x14ac:dyDescent="0.25">
      <c r="A239" s="26">
        <v>4520030</v>
      </c>
      <c r="B239" s="26" t="s">
        <v>605</v>
      </c>
      <c r="C239" s="26">
        <v>0</v>
      </c>
      <c r="D239" s="26">
        <v>0</v>
      </c>
      <c r="E239" s="26">
        <v>0</v>
      </c>
      <c r="F239" s="26">
        <v>0</v>
      </c>
      <c r="G239" s="26"/>
      <c r="H239" s="26"/>
      <c r="I239" s="26"/>
    </row>
    <row r="240" spans="1:9" x14ac:dyDescent="0.25">
      <c r="A240" s="26">
        <v>4520042</v>
      </c>
      <c r="B240" s="26" t="s">
        <v>605</v>
      </c>
      <c r="C240" s="26">
        <v>0</v>
      </c>
      <c r="D240" s="26">
        <v>0</v>
      </c>
      <c r="E240" s="26">
        <v>0</v>
      </c>
      <c r="F240" s="26">
        <v>0</v>
      </c>
      <c r="G240" s="26"/>
      <c r="H240" s="26"/>
      <c r="I240" s="26"/>
    </row>
    <row r="241" spans="1:9" x14ac:dyDescent="0.25">
      <c r="A241" s="26">
        <v>45201079</v>
      </c>
      <c r="B241" s="26" t="s">
        <v>605</v>
      </c>
      <c r="C241" s="26">
        <v>0</v>
      </c>
      <c r="D241" s="26">
        <v>0</v>
      </c>
      <c r="E241" s="26">
        <v>0</v>
      </c>
      <c r="F241" s="26">
        <v>0</v>
      </c>
      <c r="G241" s="26"/>
      <c r="H241" s="26"/>
      <c r="I241" s="26"/>
    </row>
    <row r="242" spans="1:9" x14ac:dyDescent="0.25">
      <c r="A242" s="26">
        <v>4520128</v>
      </c>
      <c r="B242" s="26" t="s">
        <v>595</v>
      </c>
      <c r="C242" s="26">
        <v>0</v>
      </c>
      <c r="D242" s="26">
        <v>0</v>
      </c>
      <c r="E242" s="26">
        <v>0</v>
      </c>
      <c r="F242" s="26">
        <v>0</v>
      </c>
      <c r="G242" s="26"/>
      <c r="H242" s="26"/>
      <c r="I242" s="26"/>
    </row>
    <row r="243" spans="1:9" x14ac:dyDescent="0.25">
      <c r="A243" s="26">
        <v>4520186</v>
      </c>
      <c r="B243" s="26" t="s">
        <v>595</v>
      </c>
      <c r="C243" s="26">
        <v>0</v>
      </c>
      <c r="D243" s="26">
        <v>0</v>
      </c>
      <c r="E243" s="26">
        <v>0</v>
      </c>
      <c r="F243" s="26">
        <v>0</v>
      </c>
      <c r="G243" s="26"/>
      <c r="H243" s="26"/>
      <c r="I243" s="26"/>
    </row>
    <row r="244" spans="1:9" x14ac:dyDescent="0.25">
      <c r="A244" s="26">
        <v>4520252</v>
      </c>
      <c r="B244" s="26" t="s">
        <v>595</v>
      </c>
      <c r="C244" s="26">
        <v>0</v>
      </c>
      <c r="D244" s="26">
        <v>0</v>
      </c>
      <c r="E244" s="26">
        <v>0</v>
      </c>
      <c r="F244" s="26">
        <v>0</v>
      </c>
      <c r="G244" s="26"/>
      <c r="H244" s="26"/>
      <c r="I244" s="26"/>
    </row>
    <row r="245" spans="1:9" x14ac:dyDescent="0.25">
      <c r="A245" s="26">
        <v>4520511</v>
      </c>
      <c r="B245" s="26" t="s">
        <v>595</v>
      </c>
      <c r="C245" s="26">
        <v>0</v>
      </c>
      <c r="D245" s="26">
        <v>0</v>
      </c>
      <c r="E245" s="26">
        <v>0</v>
      </c>
      <c r="F245" s="26">
        <v>0</v>
      </c>
      <c r="G245" s="26"/>
      <c r="H245" s="26"/>
      <c r="I245" s="26"/>
    </row>
    <row r="246" spans="1:9" x14ac:dyDescent="0.25">
      <c r="A246" s="26">
        <v>4520705</v>
      </c>
      <c r="B246" s="26" t="s">
        <v>595</v>
      </c>
      <c r="C246" s="26">
        <v>0</v>
      </c>
      <c r="D246" s="26">
        <v>0</v>
      </c>
      <c r="E246" s="26">
        <v>0</v>
      </c>
      <c r="F246" s="26">
        <v>0</v>
      </c>
      <c r="G246" s="26"/>
      <c r="H246" s="26"/>
      <c r="I246" s="26"/>
    </row>
    <row r="247" spans="1:9" x14ac:dyDescent="0.25">
      <c r="A247" s="26">
        <v>5010010</v>
      </c>
      <c r="B247" s="26" t="s">
        <v>628</v>
      </c>
      <c r="C247" s="26">
        <v>0</v>
      </c>
      <c r="D247" s="26">
        <v>0</v>
      </c>
      <c r="E247" s="26">
        <v>0</v>
      </c>
      <c r="F247" s="26">
        <v>0</v>
      </c>
      <c r="G247" s="26"/>
      <c r="H247" s="26"/>
      <c r="I247" s="26"/>
    </row>
    <row r="248" spans="1:9" x14ac:dyDescent="0.25">
      <c r="A248" s="26">
        <v>5010020</v>
      </c>
      <c r="B248" s="26" t="s">
        <v>628</v>
      </c>
      <c r="C248" s="26">
        <v>0</v>
      </c>
      <c r="D248" s="26">
        <v>0</v>
      </c>
      <c r="E248" s="26">
        <v>0</v>
      </c>
      <c r="F248" s="26">
        <v>0</v>
      </c>
      <c r="G248" s="26"/>
      <c r="H248" s="26"/>
      <c r="I248" s="26"/>
    </row>
    <row r="249" spans="1:9" x14ac:dyDescent="0.25">
      <c r="A249" s="26">
        <v>5010061</v>
      </c>
      <c r="B249" s="26" t="s">
        <v>628</v>
      </c>
      <c r="C249" s="26">
        <v>0</v>
      </c>
      <c r="D249" s="26">
        <v>0</v>
      </c>
      <c r="E249" s="26">
        <v>0</v>
      </c>
      <c r="F249" s="26">
        <v>0</v>
      </c>
      <c r="G249" s="26"/>
      <c r="H249" s="26"/>
      <c r="I249" s="26"/>
    </row>
    <row r="250" spans="1:9" x14ac:dyDescent="0.25">
      <c r="A250" s="26">
        <v>5020030</v>
      </c>
      <c r="B250" s="26" t="s">
        <v>636</v>
      </c>
      <c r="C250" s="26">
        <v>0</v>
      </c>
      <c r="D250" s="26">
        <v>0</v>
      </c>
      <c r="E250" s="26">
        <v>0</v>
      </c>
      <c r="F250" s="26">
        <v>0</v>
      </c>
      <c r="G250" s="26"/>
      <c r="H250" s="26"/>
      <c r="I250" s="26"/>
    </row>
    <row r="251" spans="1:9" x14ac:dyDescent="0.25">
      <c r="A251" s="26">
        <v>5020070</v>
      </c>
      <c r="B251" s="26" t="s">
        <v>636</v>
      </c>
      <c r="C251" s="26">
        <v>0</v>
      </c>
      <c r="D251" s="26">
        <v>0</v>
      </c>
      <c r="E251" s="26">
        <v>0</v>
      </c>
      <c r="F251" s="26">
        <v>0</v>
      </c>
      <c r="G251" s="26"/>
      <c r="H251" s="26"/>
      <c r="I251" s="26"/>
    </row>
    <row r="252" spans="1:9" x14ac:dyDescent="0.25">
      <c r="A252" s="26">
        <v>5020091</v>
      </c>
      <c r="B252" s="26" t="s">
        <v>636</v>
      </c>
      <c r="C252" s="26">
        <v>0</v>
      </c>
      <c r="D252" s="26">
        <v>0</v>
      </c>
      <c r="E252" s="26">
        <v>0</v>
      </c>
      <c r="F252" s="26">
        <v>0</v>
      </c>
      <c r="G252" s="26"/>
      <c r="H252" s="26"/>
      <c r="I252" s="26"/>
    </row>
    <row r="253" spans="1:9" x14ac:dyDescent="0.25">
      <c r="A253" s="26">
        <v>5020100</v>
      </c>
      <c r="B253" s="26" t="s">
        <v>636</v>
      </c>
      <c r="C253" s="26">
        <v>0</v>
      </c>
      <c r="D253" s="26">
        <v>0</v>
      </c>
      <c r="E253" s="26">
        <v>0</v>
      </c>
      <c r="F253" s="26">
        <v>0</v>
      </c>
      <c r="G253" s="26"/>
      <c r="H253" s="26"/>
      <c r="I253" s="26"/>
    </row>
    <row r="254" spans="1:9" x14ac:dyDescent="0.25">
      <c r="A254" s="26">
        <v>502010859</v>
      </c>
      <c r="B254" s="26" t="s">
        <v>636</v>
      </c>
      <c r="C254" s="26">
        <v>0</v>
      </c>
      <c r="D254" s="26">
        <v>0</v>
      </c>
      <c r="E254" s="26">
        <v>0</v>
      </c>
      <c r="F254" s="26">
        <v>0</v>
      </c>
      <c r="G254" s="26"/>
      <c r="H254" s="26"/>
      <c r="I254" s="26"/>
    </row>
    <row r="255" spans="1:9" x14ac:dyDescent="0.25">
      <c r="A255" s="26">
        <v>5020125</v>
      </c>
      <c r="B255" s="26" t="s">
        <v>636</v>
      </c>
      <c r="C255" s="26">
        <v>0</v>
      </c>
      <c r="D255" s="26">
        <v>0</v>
      </c>
      <c r="E255" s="26">
        <v>0</v>
      </c>
      <c r="F255" s="26">
        <v>0</v>
      </c>
      <c r="G255" s="26"/>
      <c r="H255" s="26"/>
      <c r="I255" s="26"/>
    </row>
    <row r="256" spans="1:9" x14ac:dyDescent="0.25">
      <c r="A256" s="26">
        <v>5020150</v>
      </c>
      <c r="B256" s="26" t="s">
        <v>636</v>
      </c>
      <c r="C256" s="26">
        <v>0</v>
      </c>
      <c r="D256" s="26">
        <v>0</v>
      </c>
      <c r="E256" s="26">
        <v>0</v>
      </c>
      <c r="F256" s="26">
        <v>0</v>
      </c>
      <c r="G256" s="26"/>
      <c r="H256" s="26"/>
      <c r="I256" s="26"/>
    </row>
    <row r="257" spans="1:9" x14ac:dyDescent="0.25">
      <c r="A257" s="26">
        <v>5020240</v>
      </c>
      <c r="B257" s="26" t="s">
        <v>636</v>
      </c>
      <c r="C257" s="26">
        <v>0</v>
      </c>
      <c r="D257" s="26">
        <v>0</v>
      </c>
      <c r="E257" s="26">
        <v>0</v>
      </c>
      <c r="F257" s="26">
        <v>0</v>
      </c>
      <c r="G257" s="26"/>
      <c r="H257" s="26"/>
      <c r="I257" s="26"/>
    </row>
    <row r="258" spans="1:9" x14ac:dyDescent="0.25">
      <c r="A258" s="26">
        <v>50203416</v>
      </c>
      <c r="B258" s="26" t="s">
        <v>636</v>
      </c>
      <c r="C258" s="26">
        <v>0</v>
      </c>
      <c r="D258" s="26">
        <v>0</v>
      </c>
      <c r="E258" s="26">
        <v>0</v>
      </c>
      <c r="F258" s="26">
        <v>0</v>
      </c>
      <c r="G258" s="26"/>
      <c r="H258" s="26"/>
      <c r="I258" s="26"/>
    </row>
    <row r="259" spans="1:9" x14ac:dyDescent="0.25">
      <c r="A259" s="26">
        <v>50203931</v>
      </c>
      <c r="B259" s="26" t="s">
        <v>636</v>
      </c>
      <c r="C259" s="26">
        <v>0</v>
      </c>
      <c r="D259" s="26">
        <v>0</v>
      </c>
      <c r="E259" s="26">
        <v>0</v>
      </c>
      <c r="F259" s="26">
        <v>0</v>
      </c>
      <c r="G259" s="26"/>
      <c r="H259" s="26"/>
      <c r="I259" s="26"/>
    </row>
    <row r="260" spans="1:9" x14ac:dyDescent="0.25">
      <c r="A260" s="26">
        <v>50205931</v>
      </c>
      <c r="B260" s="26" t="s">
        <v>636</v>
      </c>
      <c r="C260" s="26">
        <v>0</v>
      </c>
      <c r="D260" s="26">
        <v>0</v>
      </c>
      <c r="E260" s="26">
        <v>0</v>
      </c>
      <c r="F260" s="26">
        <v>0</v>
      </c>
      <c r="G260" s="26"/>
      <c r="H260" s="26"/>
      <c r="I260" s="26"/>
    </row>
    <row r="261" spans="1:9" x14ac:dyDescent="0.25">
      <c r="A261" s="26">
        <v>5020700</v>
      </c>
      <c r="B261" s="26" t="s">
        <v>636</v>
      </c>
      <c r="C261" s="26">
        <v>0</v>
      </c>
      <c r="D261" s="26">
        <v>0</v>
      </c>
      <c r="E261" s="26">
        <v>0</v>
      </c>
      <c r="F261" s="26">
        <v>0</v>
      </c>
      <c r="G261" s="26"/>
      <c r="H261" s="26"/>
      <c r="I261" s="26"/>
    </row>
    <row r="262" spans="1:9" x14ac:dyDescent="0.25">
      <c r="A262" s="26">
        <v>5020702</v>
      </c>
      <c r="B262" s="26" t="s">
        <v>636</v>
      </c>
      <c r="C262" s="26">
        <v>0</v>
      </c>
      <c r="D262" s="26">
        <v>0</v>
      </c>
      <c r="E262" s="26">
        <v>0</v>
      </c>
      <c r="F262" s="26">
        <v>0</v>
      </c>
      <c r="G262" s="26"/>
      <c r="H262" s="26"/>
      <c r="I262" s="26"/>
    </row>
    <row r="263" spans="1:9" x14ac:dyDescent="0.25">
      <c r="A263" s="26">
        <v>5020717</v>
      </c>
      <c r="B263" s="26" t="s">
        <v>636</v>
      </c>
      <c r="C263" s="26">
        <v>0</v>
      </c>
      <c r="D263" s="26">
        <v>0</v>
      </c>
      <c r="E263" s="26">
        <v>0</v>
      </c>
      <c r="F263" s="26">
        <v>0</v>
      </c>
      <c r="G263" s="26"/>
      <c r="H263" s="26"/>
      <c r="I263" s="26"/>
    </row>
    <row r="264" spans="1:9" x14ac:dyDescent="0.25">
      <c r="A264" s="26">
        <v>5020740</v>
      </c>
      <c r="B264" s="26" t="s">
        <v>636</v>
      </c>
      <c r="C264" s="26">
        <v>0</v>
      </c>
      <c r="D264" s="26">
        <v>0</v>
      </c>
      <c r="E264" s="26">
        <v>0</v>
      </c>
      <c r="F264" s="26">
        <v>0</v>
      </c>
      <c r="G264" s="26"/>
      <c r="H264" s="26"/>
      <c r="I264" s="26"/>
    </row>
    <row r="265" spans="1:9" x14ac:dyDescent="0.25">
      <c r="A265" s="26">
        <v>5020765</v>
      </c>
      <c r="B265" s="26" t="s">
        <v>636</v>
      </c>
      <c r="C265" s="26">
        <v>0</v>
      </c>
      <c r="D265" s="26">
        <v>0</v>
      </c>
      <c r="E265" s="26">
        <v>0</v>
      </c>
      <c r="F265" s="26">
        <v>0</v>
      </c>
      <c r="G265" s="26"/>
      <c r="H265" s="26"/>
      <c r="I265" s="26"/>
    </row>
    <row r="266" spans="1:9" x14ac:dyDescent="0.25">
      <c r="A266" s="26">
        <v>5020783</v>
      </c>
      <c r="B266" s="26" t="s">
        <v>636</v>
      </c>
      <c r="C266" s="26">
        <v>0</v>
      </c>
      <c r="D266" s="26">
        <v>0</v>
      </c>
      <c r="E266" s="26">
        <v>0</v>
      </c>
      <c r="F266" s="26">
        <v>0</v>
      </c>
      <c r="G266" s="26"/>
      <c r="H266" s="26"/>
      <c r="I266" s="26"/>
    </row>
    <row r="267" spans="1:9" x14ac:dyDescent="0.25">
      <c r="A267" s="26">
        <v>5020800</v>
      </c>
      <c r="B267" s="26" t="s">
        <v>636</v>
      </c>
      <c r="C267" s="26">
        <v>0</v>
      </c>
      <c r="D267" s="26">
        <v>0</v>
      </c>
      <c r="E267" s="26">
        <v>0</v>
      </c>
      <c r="F267" s="26">
        <v>0</v>
      </c>
      <c r="G267" s="26"/>
      <c r="H267" s="26"/>
      <c r="I267" s="26"/>
    </row>
    <row r="268" spans="1:9" x14ac:dyDescent="0.25">
      <c r="A268" s="26">
        <v>50208280</v>
      </c>
      <c r="B268" s="26" t="s">
        <v>636</v>
      </c>
      <c r="C268" s="26">
        <v>0</v>
      </c>
      <c r="D268" s="26">
        <v>0</v>
      </c>
      <c r="E268" s="26">
        <v>0</v>
      </c>
      <c r="F268" s="26">
        <v>0</v>
      </c>
      <c r="G268" s="26"/>
      <c r="H268" s="26"/>
      <c r="I268" s="26"/>
    </row>
    <row r="269" spans="1:9" x14ac:dyDescent="0.25">
      <c r="A269" s="26">
        <v>5020833</v>
      </c>
      <c r="B269" s="26" t="s">
        <v>636</v>
      </c>
      <c r="C269" s="26">
        <v>0</v>
      </c>
      <c r="D269" s="26">
        <v>0</v>
      </c>
      <c r="E269" s="26">
        <v>0</v>
      </c>
      <c r="F269" s="26">
        <v>0</v>
      </c>
      <c r="G269" s="26"/>
      <c r="H269" s="26"/>
      <c r="I269" s="26"/>
    </row>
    <row r="270" spans="1:9" x14ac:dyDescent="0.25">
      <c r="A270" s="26">
        <v>5020924</v>
      </c>
      <c r="B270" s="26" t="s">
        <v>636</v>
      </c>
      <c r="C270" s="26">
        <v>0</v>
      </c>
      <c r="D270" s="26">
        <v>0</v>
      </c>
      <c r="E270" s="26">
        <v>0</v>
      </c>
      <c r="F270" s="26">
        <v>0</v>
      </c>
      <c r="G270" s="26"/>
      <c r="H270" s="26"/>
      <c r="I270" s="26"/>
    </row>
    <row r="271" spans="1:9" x14ac:dyDescent="0.25">
      <c r="A271" s="26">
        <v>50209892</v>
      </c>
      <c r="B271" s="26" t="s">
        <v>636</v>
      </c>
      <c r="C271" s="26">
        <v>0</v>
      </c>
      <c r="D271" s="26">
        <v>0</v>
      </c>
      <c r="E271" s="26">
        <v>0</v>
      </c>
      <c r="F271" s="26">
        <v>0</v>
      </c>
      <c r="G271" s="26"/>
      <c r="H271" s="26"/>
      <c r="I271" s="26"/>
    </row>
    <row r="272" spans="1:9" x14ac:dyDescent="0.25">
      <c r="A272" s="26">
        <v>5021004</v>
      </c>
      <c r="B272" s="26" t="s">
        <v>636</v>
      </c>
      <c r="C272" s="26">
        <v>0</v>
      </c>
      <c r="D272" s="26">
        <v>0</v>
      </c>
      <c r="E272" s="26">
        <v>0</v>
      </c>
      <c r="F272" s="26">
        <v>0</v>
      </c>
      <c r="G272" s="26"/>
      <c r="H272" s="26"/>
      <c r="I272" s="26"/>
    </row>
    <row r="273" spans="1:9" x14ac:dyDescent="0.25">
      <c r="A273" s="26">
        <v>5021721</v>
      </c>
      <c r="B273" s="26" t="s">
        <v>636</v>
      </c>
      <c r="C273" s="26">
        <v>0</v>
      </c>
      <c r="D273" s="26">
        <v>0</v>
      </c>
      <c r="E273" s="26">
        <v>0</v>
      </c>
      <c r="F273" s="26">
        <v>0</v>
      </c>
      <c r="G273" s="26"/>
      <c r="H273" s="26"/>
      <c r="I273" s="26"/>
    </row>
    <row r="274" spans="1:9" x14ac:dyDescent="0.25">
      <c r="A274" s="26">
        <v>5021864</v>
      </c>
      <c r="B274" s="26" t="s">
        <v>636</v>
      </c>
      <c r="C274" s="26">
        <v>0</v>
      </c>
      <c r="D274" s="26">
        <v>0</v>
      </c>
      <c r="E274" s="26">
        <v>0</v>
      </c>
      <c r="F274" s="26">
        <v>0</v>
      </c>
      <c r="G274" s="26"/>
      <c r="H274" s="26"/>
      <c r="I274" s="26"/>
    </row>
    <row r="275" spans="1:9" x14ac:dyDescent="0.25">
      <c r="A275" s="26">
        <v>5030010</v>
      </c>
      <c r="B275" s="26" t="s">
        <v>695</v>
      </c>
      <c r="C275" s="26">
        <v>0</v>
      </c>
      <c r="D275" s="26">
        <v>0</v>
      </c>
      <c r="E275" s="26">
        <v>0</v>
      </c>
      <c r="F275" s="26">
        <v>0</v>
      </c>
      <c r="G275" s="26"/>
      <c r="H275" s="26"/>
      <c r="I275" s="26"/>
    </row>
    <row r="276" spans="1:9" x14ac:dyDescent="0.25">
      <c r="A276" s="26">
        <v>5030020</v>
      </c>
      <c r="B276" s="26" t="s">
        <v>695</v>
      </c>
      <c r="C276" s="26">
        <v>0</v>
      </c>
      <c r="D276" s="26">
        <v>0</v>
      </c>
      <c r="E276" s="26">
        <v>0</v>
      </c>
      <c r="F276" s="26">
        <v>0</v>
      </c>
      <c r="G276" s="26"/>
      <c r="H276" s="26"/>
      <c r="I276" s="26"/>
    </row>
    <row r="277" spans="1:9" x14ac:dyDescent="0.25">
      <c r="A277" s="26">
        <v>5030122</v>
      </c>
      <c r="B277" s="26" t="s">
        <v>695</v>
      </c>
      <c r="C277" s="26">
        <v>0</v>
      </c>
      <c r="D277" s="26">
        <v>0</v>
      </c>
      <c r="E277" s="26">
        <v>0</v>
      </c>
      <c r="F277" s="26">
        <v>0</v>
      </c>
      <c r="G277" s="26"/>
      <c r="H277" s="26"/>
      <c r="I277" s="26"/>
    </row>
    <row r="278" spans="1:9" x14ac:dyDescent="0.25">
      <c r="A278" s="26">
        <v>5031232</v>
      </c>
      <c r="B278" s="26" t="s">
        <v>695</v>
      </c>
      <c r="C278" s="26">
        <v>0</v>
      </c>
      <c r="D278" s="26">
        <v>0</v>
      </c>
      <c r="E278" s="26">
        <v>0</v>
      </c>
      <c r="F278" s="26">
        <v>0</v>
      </c>
      <c r="G278" s="26"/>
      <c r="H278" s="26"/>
      <c r="I278" s="26"/>
    </row>
    <row r="279" spans="1:9" x14ac:dyDescent="0.25">
      <c r="A279" s="26">
        <v>5040067</v>
      </c>
      <c r="B279" s="26" t="s">
        <v>703</v>
      </c>
      <c r="C279" s="26">
        <v>0</v>
      </c>
      <c r="D279" s="26">
        <v>0</v>
      </c>
      <c r="E279" s="26">
        <v>0</v>
      </c>
      <c r="F279" s="26">
        <v>0</v>
      </c>
      <c r="G279" s="26"/>
      <c r="H279" s="26"/>
      <c r="I279" s="26"/>
    </row>
    <row r="280" spans="1:9" x14ac:dyDescent="0.25">
      <c r="A280" s="26">
        <v>5040082</v>
      </c>
      <c r="B280" s="26" t="s">
        <v>703</v>
      </c>
      <c r="C280" s="26">
        <v>0</v>
      </c>
      <c r="D280" s="26">
        <v>0</v>
      </c>
      <c r="E280" s="26">
        <v>0</v>
      </c>
      <c r="F280" s="26">
        <v>0</v>
      </c>
      <c r="G280" s="26"/>
      <c r="H280" s="26"/>
      <c r="I280" s="26"/>
    </row>
    <row r="281" spans="1:9" x14ac:dyDescent="0.25">
      <c r="A281" s="26">
        <v>5040102</v>
      </c>
      <c r="B281" s="26" t="s">
        <v>703</v>
      </c>
      <c r="C281" s="26">
        <v>0</v>
      </c>
      <c r="D281" s="26">
        <v>0</v>
      </c>
      <c r="E281" s="26">
        <v>0</v>
      </c>
      <c r="F281" s="26">
        <v>0</v>
      </c>
      <c r="G281" s="26"/>
      <c r="H281" s="26"/>
      <c r="I281" s="26"/>
    </row>
    <row r="282" spans="1:9" x14ac:dyDescent="0.25">
      <c r="A282" s="26">
        <v>5510030</v>
      </c>
      <c r="B282" s="26" t="s">
        <v>711</v>
      </c>
      <c r="C282" s="26">
        <v>0</v>
      </c>
      <c r="D282" s="26">
        <v>0</v>
      </c>
      <c r="E282" s="26">
        <v>0</v>
      </c>
      <c r="F282" s="26">
        <v>0</v>
      </c>
      <c r="G282" s="26"/>
      <c r="H282" s="26"/>
      <c r="I282" s="26"/>
    </row>
    <row r="283" spans="1:9" x14ac:dyDescent="0.25">
      <c r="A283" s="26">
        <v>551011013</v>
      </c>
      <c r="B283" s="26" t="s">
        <v>711</v>
      </c>
      <c r="C283" s="26">
        <v>0</v>
      </c>
      <c r="D283" s="26">
        <v>0</v>
      </c>
      <c r="E283" s="26">
        <v>0</v>
      </c>
      <c r="F283" s="26">
        <v>0</v>
      </c>
      <c r="G283" s="26"/>
      <c r="H283" s="26"/>
      <c r="I283" s="26"/>
    </row>
    <row r="284" spans="1:9" x14ac:dyDescent="0.25">
      <c r="A284" s="26">
        <v>551011806</v>
      </c>
      <c r="B284" s="26" t="s">
        <v>711</v>
      </c>
      <c r="C284" s="26">
        <v>0</v>
      </c>
      <c r="D284" s="26">
        <v>0</v>
      </c>
      <c r="E284" s="26">
        <v>0</v>
      </c>
      <c r="F284" s="26">
        <v>0</v>
      </c>
      <c r="G284" s="26"/>
      <c r="H284" s="26"/>
      <c r="I284" s="26"/>
    </row>
    <row r="285" spans="1:9" x14ac:dyDescent="0.25">
      <c r="A285" s="26">
        <v>551011807</v>
      </c>
      <c r="B285" s="26" t="s">
        <v>711</v>
      </c>
      <c r="C285" s="26">
        <v>0</v>
      </c>
      <c r="D285" s="26">
        <v>0</v>
      </c>
      <c r="E285" s="26">
        <v>0</v>
      </c>
      <c r="F285" s="26">
        <v>0</v>
      </c>
      <c r="G285" s="26"/>
      <c r="H285" s="26"/>
      <c r="I285" s="26"/>
    </row>
    <row r="286" spans="1:9" x14ac:dyDescent="0.25">
      <c r="A286" s="26">
        <v>551011928</v>
      </c>
      <c r="B286" s="26" t="s">
        <v>711</v>
      </c>
      <c r="C286" s="26">
        <v>0</v>
      </c>
      <c r="D286" s="26">
        <v>0</v>
      </c>
      <c r="E286" s="26">
        <v>0</v>
      </c>
      <c r="F286" s="26">
        <v>0</v>
      </c>
      <c r="G286" s="26"/>
      <c r="H286" s="26"/>
      <c r="I286" s="26"/>
    </row>
    <row r="287" spans="1:9" x14ac:dyDescent="0.25">
      <c r="A287" s="26">
        <v>551011963</v>
      </c>
      <c r="B287" s="26" t="s">
        <v>711</v>
      </c>
      <c r="C287" s="26">
        <v>0</v>
      </c>
      <c r="D287" s="26">
        <v>0</v>
      </c>
      <c r="E287" s="26">
        <v>0</v>
      </c>
      <c r="F287" s="26">
        <v>0</v>
      </c>
      <c r="G287" s="26"/>
      <c r="H287" s="26"/>
      <c r="I287" s="26"/>
    </row>
    <row r="288" spans="1:9" x14ac:dyDescent="0.25">
      <c r="A288" s="26">
        <v>551012017</v>
      </c>
      <c r="B288" s="26" t="s">
        <v>711</v>
      </c>
      <c r="C288" s="26">
        <v>0</v>
      </c>
      <c r="D288" s="26">
        <v>0</v>
      </c>
      <c r="E288" s="26">
        <v>0</v>
      </c>
      <c r="F288" s="26">
        <v>0</v>
      </c>
      <c r="G288" s="26"/>
      <c r="H288" s="26"/>
      <c r="I288" s="26"/>
    </row>
    <row r="289" spans="1:9" x14ac:dyDescent="0.25">
      <c r="A289" s="26">
        <v>551012603</v>
      </c>
      <c r="B289" s="26" t="s">
        <v>711</v>
      </c>
      <c r="C289" s="26">
        <v>0</v>
      </c>
      <c r="D289" s="26">
        <v>0</v>
      </c>
      <c r="E289" s="26">
        <v>0</v>
      </c>
      <c r="F289" s="26">
        <v>0</v>
      </c>
      <c r="G289" s="26"/>
      <c r="H289" s="26"/>
      <c r="I289" s="26"/>
    </row>
    <row r="290" spans="1:9" x14ac:dyDescent="0.25">
      <c r="A290" s="26">
        <v>5510240</v>
      </c>
      <c r="B290" s="26" t="s">
        <v>711</v>
      </c>
      <c r="C290" s="26">
        <v>0</v>
      </c>
      <c r="D290" s="26">
        <v>0</v>
      </c>
      <c r="E290" s="26">
        <v>0</v>
      </c>
      <c r="F290" s="26">
        <v>0</v>
      </c>
      <c r="G290" s="26"/>
      <c r="H290" s="26"/>
      <c r="I290" s="26"/>
    </row>
    <row r="291" spans="1:9" x14ac:dyDescent="0.25">
      <c r="A291" s="26">
        <v>5510270</v>
      </c>
      <c r="B291" s="26" t="s">
        <v>711</v>
      </c>
      <c r="C291" s="26">
        <v>0</v>
      </c>
      <c r="D291" s="26">
        <v>0</v>
      </c>
      <c r="E291" s="26">
        <v>0</v>
      </c>
      <c r="F291" s="26">
        <v>0</v>
      </c>
      <c r="G291" s="26"/>
      <c r="H291" s="26"/>
      <c r="I291" s="26"/>
    </row>
    <row r="292" spans="1:9" x14ac:dyDescent="0.25">
      <c r="A292" s="26">
        <v>55109645</v>
      </c>
      <c r="B292" s="26" t="s">
        <v>711</v>
      </c>
      <c r="C292" s="26">
        <v>0</v>
      </c>
      <c r="D292" s="26">
        <v>0</v>
      </c>
      <c r="E292" s="26">
        <v>0</v>
      </c>
      <c r="F292" s="26">
        <v>0</v>
      </c>
      <c r="G292" s="26"/>
      <c r="H292" s="26"/>
      <c r="I292" s="26"/>
    </row>
    <row r="293" spans="1:9" x14ac:dyDescent="0.25">
      <c r="A293" s="26">
        <v>55109692</v>
      </c>
      <c r="B293" s="26" t="s">
        <v>711</v>
      </c>
      <c r="C293" s="26">
        <v>0</v>
      </c>
      <c r="D293" s="26">
        <v>0</v>
      </c>
      <c r="E293" s="26">
        <v>0</v>
      </c>
      <c r="F293" s="26">
        <v>0</v>
      </c>
      <c r="G293" s="26"/>
      <c r="H293" s="26"/>
      <c r="I293" s="26"/>
    </row>
    <row r="294" spans="1:9" x14ac:dyDescent="0.25">
      <c r="A294" s="26">
        <v>5520313</v>
      </c>
      <c r="B294" s="26" t="s">
        <v>738</v>
      </c>
      <c r="C294" s="26">
        <v>0</v>
      </c>
      <c r="D294" s="26">
        <v>0</v>
      </c>
      <c r="E294" s="26">
        <v>0</v>
      </c>
      <c r="F294" s="26">
        <v>0</v>
      </c>
      <c r="G294" s="26"/>
      <c r="H294" s="26"/>
      <c r="I294" s="26"/>
    </row>
    <row r="295" spans="1:9" x14ac:dyDescent="0.25">
      <c r="A295" s="26">
        <v>6010010</v>
      </c>
      <c r="B295" s="26" t="s">
        <v>741</v>
      </c>
      <c r="C295" s="26">
        <v>0</v>
      </c>
      <c r="D295" s="26">
        <v>0</v>
      </c>
      <c r="E295" s="26">
        <v>0</v>
      </c>
      <c r="F295" s="26">
        <v>0</v>
      </c>
      <c r="G295" s="26"/>
      <c r="H295" s="26"/>
      <c r="I295" s="26"/>
    </row>
    <row r="296" spans="1:9" x14ac:dyDescent="0.25">
      <c r="A296" s="26">
        <v>6010049</v>
      </c>
      <c r="B296" s="26" t="s">
        <v>741</v>
      </c>
      <c r="C296" s="26">
        <v>0</v>
      </c>
      <c r="D296" s="26">
        <v>0</v>
      </c>
      <c r="E296" s="26">
        <v>0</v>
      </c>
      <c r="F296" s="26">
        <v>0</v>
      </c>
      <c r="G296" s="26"/>
      <c r="H296" s="26"/>
      <c r="I296" s="26"/>
    </row>
    <row r="297" spans="1:9" x14ac:dyDescent="0.25">
      <c r="A297" s="26">
        <v>60100917</v>
      </c>
      <c r="B297" s="26" t="s">
        <v>741</v>
      </c>
      <c r="C297" s="26">
        <v>0</v>
      </c>
      <c r="D297" s="26">
        <v>0</v>
      </c>
      <c r="E297" s="26">
        <v>0</v>
      </c>
      <c r="F297" s="26">
        <v>0</v>
      </c>
      <c r="G297" s="26"/>
      <c r="H297" s="26"/>
      <c r="I297" s="26"/>
    </row>
    <row r="298" spans="1:9" x14ac:dyDescent="0.25">
      <c r="A298" s="26">
        <v>60101053</v>
      </c>
      <c r="B298" s="26" t="s">
        <v>741</v>
      </c>
      <c r="C298" s="26">
        <v>0</v>
      </c>
      <c r="D298" s="26">
        <v>0</v>
      </c>
      <c r="E298" s="26">
        <v>0</v>
      </c>
      <c r="F298" s="26">
        <v>0</v>
      </c>
      <c r="G298" s="26"/>
      <c r="H298" s="26"/>
      <c r="I298" s="26"/>
    </row>
    <row r="299" spans="1:9" x14ac:dyDescent="0.25">
      <c r="A299" s="26">
        <v>6010230</v>
      </c>
      <c r="B299" s="26" t="s">
        <v>741</v>
      </c>
      <c r="C299" s="26">
        <v>0</v>
      </c>
      <c r="D299" s="26">
        <v>0</v>
      </c>
      <c r="E299" s="26">
        <v>0</v>
      </c>
      <c r="F299" s="26">
        <v>0</v>
      </c>
      <c r="G299" s="26"/>
      <c r="H299" s="26"/>
      <c r="I299" s="26"/>
    </row>
    <row r="300" spans="1:9" x14ac:dyDescent="0.25">
      <c r="A300" s="26">
        <v>6010270</v>
      </c>
      <c r="B300" s="26" t="s">
        <v>741</v>
      </c>
      <c r="C300" s="26">
        <v>0</v>
      </c>
      <c r="D300" s="26">
        <v>0</v>
      </c>
      <c r="E300" s="26">
        <v>0</v>
      </c>
      <c r="F300" s="26">
        <v>0</v>
      </c>
      <c r="G300" s="26"/>
      <c r="H300" s="26"/>
      <c r="I300" s="26"/>
    </row>
    <row r="301" spans="1:9" x14ac:dyDescent="0.25">
      <c r="A301" s="26">
        <v>601043075</v>
      </c>
      <c r="B301" s="26" t="s">
        <v>741</v>
      </c>
      <c r="C301" s="26">
        <v>0</v>
      </c>
      <c r="D301" s="26">
        <v>0</v>
      </c>
      <c r="E301" s="26">
        <v>0</v>
      </c>
      <c r="F301" s="26">
        <v>0</v>
      </c>
      <c r="G301" s="26"/>
      <c r="H301" s="26"/>
      <c r="I301" s="26"/>
    </row>
    <row r="302" spans="1:9" x14ac:dyDescent="0.25">
      <c r="A302" s="26">
        <v>6011029</v>
      </c>
      <c r="B302" s="26" t="s">
        <v>741</v>
      </c>
      <c r="C302" s="26">
        <v>0</v>
      </c>
      <c r="D302" s="26">
        <v>0</v>
      </c>
      <c r="E302" s="26">
        <v>0</v>
      </c>
      <c r="F302" s="26">
        <v>0</v>
      </c>
      <c r="G302" s="26"/>
      <c r="H302" s="26"/>
      <c r="I302" s="26"/>
    </row>
    <row r="303" spans="1:9" x14ac:dyDescent="0.25">
      <c r="A303" s="26">
        <v>6011114</v>
      </c>
      <c r="B303" s="26" t="s">
        <v>741</v>
      </c>
      <c r="C303" s="26">
        <v>0</v>
      </c>
      <c r="D303" s="26">
        <v>0</v>
      </c>
      <c r="E303" s="26">
        <v>0</v>
      </c>
      <c r="F303" s="26">
        <v>0</v>
      </c>
      <c r="G303" s="26"/>
      <c r="H303" s="26"/>
      <c r="I303" s="26"/>
    </row>
    <row r="304" spans="1:9" x14ac:dyDescent="0.25">
      <c r="A304" s="26">
        <v>6011427</v>
      </c>
      <c r="B304" s="26" t="s">
        <v>741</v>
      </c>
      <c r="C304" s="26">
        <v>0</v>
      </c>
      <c r="D304" s="26">
        <v>0</v>
      </c>
      <c r="E304" s="26">
        <v>0</v>
      </c>
      <c r="F304" s="26">
        <v>0</v>
      </c>
      <c r="G304" s="26"/>
      <c r="H304" s="26"/>
      <c r="I304" s="26"/>
    </row>
    <row r="305" spans="1:9" x14ac:dyDescent="0.25">
      <c r="A305" s="26">
        <v>6011557</v>
      </c>
      <c r="B305" s="26" t="s">
        <v>741</v>
      </c>
      <c r="C305" s="26">
        <v>0</v>
      </c>
      <c r="D305" s="26">
        <v>0</v>
      </c>
      <c r="E305" s="26">
        <v>0</v>
      </c>
      <c r="F305" s="26">
        <v>0</v>
      </c>
      <c r="G305" s="26"/>
      <c r="H305" s="26"/>
      <c r="I305" s="26"/>
    </row>
    <row r="306" spans="1:9" x14ac:dyDescent="0.25">
      <c r="A306" s="26">
        <v>6020010</v>
      </c>
      <c r="B306" s="26" t="s">
        <v>764</v>
      </c>
      <c r="C306" s="26">
        <v>0</v>
      </c>
      <c r="D306" s="26">
        <v>0</v>
      </c>
      <c r="E306" s="26">
        <v>0</v>
      </c>
      <c r="F306" s="26">
        <v>0</v>
      </c>
      <c r="G306" s="26"/>
      <c r="H306" s="26"/>
      <c r="I306" s="26"/>
    </row>
    <row r="307" spans="1:9" x14ac:dyDescent="0.25">
      <c r="A307" s="26">
        <v>6020021</v>
      </c>
      <c r="B307" s="26" t="s">
        <v>764</v>
      </c>
      <c r="C307" s="26">
        <v>0</v>
      </c>
      <c r="D307" s="26">
        <v>0</v>
      </c>
      <c r="E307" s="26">
        <v>0</v>
      </c>
      <c r="F307" s="26">
        <v>0</v>
      </c>
      <c r="G307" s="26"/>
      <c r="H307" s="26"/>
      <c r="I307" s="26"/>
    </row>
    <row r="308" spans="1:9" x14ac:dyDescent="0.25">
      <c r="A308" s="26">
        <v>6020024</v>
      </c>
      <c r="B308" s="26" t="s">
        <v>764</v>
      </c>
      <c r="C308" s="26">
        <v>0</v>
      </c>
      <c r="D308" s="26">
        <v>0</v>
      </c>
      <c r="E308" s="26">
        <v>0</v>
      </c>
      <c r="F308" s="26">
        <v>0</v>
      </c>
      <c r="G308" s="26"/>
      <c r="H308" s="26"/>
      <c r="I308" s="26"/>
    </row>
    <row r="309" spans="1:9" x14ac:dyDescent="0.25">
      <c r="A309" s="26">
        <v>6020030</v>
      </c>
      <c r="B309" s="26" t="s">
        <v>764</v>
      </c>
      <c r="C309" s="26">
        <v>0</v>
      </c>
      <c r="D309" s="26">
        <v>0</v>
      </c>
      <c r="E309" s="26">
        <v>0</v>
      </c>
      <c r="F309" s="26">
        <v>0</v>
      </c>
      <c r="G309" s="26"/>
      <c r="H309" s="26"/>
      <c r="I309" s="26"/>
    </row>
    <row r="310" spans="1:9" x14ac:dyDescent="0.25">
      <c r="A310" s="26">
        <v>60201071</v>
      </c>
      <c r="B310" s="26" t="s">
        <v>764</v>
      </c>
      <c r="C310" s="26">
        <v>0</v>
      </c>
      <c r="D310" s="26">
        <v>0</v>
      </c>
      <c r="E310" s="26">
        <v>0</v>
      </c>
      <c r="F310" s="26">
        <v>0</v>
      </c>
      <c r="G310" s="26"/>
      <c r="H310" s="26"/>
      <c r="I310" s="26"/>
    </row>
    <row r="311" spans="1:9" x14ac:dyDescent="0.25">
      <c r="A311" s="26">
        <v>60201119</v>
      </c>
      <c r="B311" s="26" t="s">
        <v>764</v>
      </c>
      <c r="C311" s="26">
        <v>0</v>
      </c>
      <c r="D311" s="26">
        <v>0</v>
      </c>
      <c r="E311" s="26">
        <v>0</v>
      </c>
      <c r="F311" s="26">
        <v>0</v>
      </c>
      <c r="G311" s="26"/>
      <c r="H311" s="26"/>
      <c r="I311" s="26"/>
    </row>
    <row r="312" spans="1:9" x14ac:dyDescent="0.25">
      <c r="A312" s="26">
        <v>60201573</v>
      </c>
      <c r="B312" s="26" t="s">
        <v>764</v>
      </c>
      <c r="C312" s="26">
        <v>0</v>
      </c>
      <c r="D312" s="26">
        <v>0</v>
      </c>
      <c r="E312" s="26">
        <v>0</v>
      </c>
      <c r="F312" s="26">
        <v>0</v>
      </c>
      <c r="G312" s="26"/>
      <c r="H312" s="26"/>
      <c r="I312" s="26"/>
    </row>
    <row r="313" spans="1:9" x14ac:dyDescent="0.25">
      <c r="A313" s="26">
        <v>6020232</v>
      </c>
      <c r="B313" s="26" t="s">
        <v>764</v>
      </c>
      <c r="C313" s="26">
        <v>0</v>
      </c>
      <c r="D313" s="26">
        <v>0</v>
      </c>
      <c r="E313" s="26">
        <v>0</v>
      </c>
      <c r="F313" s="26">
        <v>0</v>
      </c>
      <c r="G313" s="26"/>
      <c r="H313" s="26"/>
      <c r="I313" s="26"/>
    </row>
    <row r="314" spans="1:9" x14ac:dyDescent="0.25">
      <c r="A314" s="26">
        <v>6020235</v>
      </c>
      <c r="B314" s="26" t="s">
        <v>764</v>
      </c>
      <c r="C314" s="26">
        <v>0</v>
      </c>
      <c r="D314" s="26">
        <v>0</v>
      </c>
      <c r="E314" s="26">
        <v>0</v>
      </c>
      <c r="F314" s="26">
        <v>0</v>
      </c>
      <c r="G314" s="26"/>
      <c r="H314" s="26"/>
      <c r="I314" s="26"/>
    </row>
    <row r="315" spans="1:9" x14ac:dyDescent="0.25">
      <c r="A315" s="26">
        <v>6020249</v>
      </c>
      <c r="B315" s="26" t="s">
        <v>764</v>
      </c>
      <c r="C315" s="26">
        <v>0</v>
      </c>
      <c r="D315" s="26">
        <v>0</v>
      </c>
      <c r="E315" s="26">
        <v>0</v>
      </c>
      <c r="F315" s="26">
        <v>0</v>
      </c>
      <c r="G315" s="26"/>
      <c r="H315" s="26"/>
      <c r="I315" s="26"/>
    </row>
    <row r="316" spans="1:9" x14ac:dyDescent="0.25">
      <c r="A316" s="26">
        <v>60202495</v>
      </c>
      <c r="B316" s="26" t="s">
        <v>764</v>
      </c>
      <c r="C316" s="26">
        <v>0</v>
      </c>
      <c r="D316" s="26">
        <v>0</v>
      </c>
      <c r="E316" s="26">
        <v>0</v>
      </c>
      <c r="F316" s="26">
        <v>0</v>
      </c>
      <c r="G316" s="26"/>
      <c r="H316" s="26"/>
      <c r="I316" s="26"/>
    </row>
    <row r="317" spans="1:9" x14ac:dyDescent="0.25">
      <c r="A317" s="26">
        <v>6020276</v>
      </c>
      <c r="B317" s="26" t="s">
        <v>764</v>
      </c>
      <c r="C317" s="26">
        <v>0</v>
      </c>
      <c r="D317" s="26">
        <v>0</v>
      </c>
      <c r="E317" s="26">
        <v>0</v>
      </c>
      <c r="F317" s="26">
        <v>0</v>
      </c>
      <c r="G317" s="26"/>
      <c r="H317" s="26"/>
      <c r="I317" s="26"/>
    </row>
    <row r="318" spans="1:9" x14ac:dyDescent="0.25">
      <c r="A318" s="26">
        <v>6020658</v>
      </c>
      <c r="B318" s="26" t="s">
        <v>764</v>
      </c>
      <c r="C318" s="26">
        <v>0</v>
      </c>
      <c r="D318" s="26">
        <v>0</v>
      </c>
      <c r="E318" s="26">
        <v>0</v>
      </c>
      <c r="F318" s="26">
        <v>0</v>
      </c>
      <c r="G318" s="26"/>
      <c r="H318" s="26"/>
      <c r="I318" s="26"/>
    </row>
    <row r="319" spans="1:9" x14ac:dyDescent="0.25">
      <c r="A319" s="26">
        <v>6030012</v>
      </c>
      <c r="B319" s="26" t="s">
        <v>790</v>
      </c>
      <c r="C319" s="26">
        <v>0</v>
      </c>
      <c r="D319" s="26">
        <v>0</v>
      </c>
      <c r="E319" s="26">
        <v>0</v>
      </c>
      <c r="F319" s="26">
        <v>0</v>
      </c>
      <c r="G319" s="26"/>
      <c r="H319" s="26"/>
      <c r="I319" s="26"/>
    </row>
    <row r="320" spans="1:9" x14ac:dyDescent="0.25">
      <c r="A320" s="26">
        <v>6030020</v>
      </c>
      <c r="B320" s="26" t="s">
        <v>790</v>
      </c>
      <c r="C320" s="26">
        <v>0</v>
      </c>
      <c r="D320" s="26">
        <v>0</v>
      </c>
      <c r="E320" s="26">
        <v>0</v>
      </c>
      <c r="F320" s="26">
        <v>0</v>
      </c>
      <c r="G320" s="26"/>
      <c r="H320" s="26"/>
      <c r="I320" s="26"/>
    </row>
    <row r="321" spans="1:9" x14ac:dyDescent="0.25">
      <c r="A321" s="26">
        <v>6030030</v>
      </c>
      <c r="B321" s="26" t="s">
        <v>790</v>
      </c>
      <c r="C321" s="26">
        <v>0</v>
      </c>
      <c r="D321" s="26">
        <v>0</v>
      </c>
      <c r="E321" s="26">
        <v>0</v>
      </c>
      <c r="F321" s="26">
        <v>0</v>
      </c>
      <c r="G321" s="26"/>
      <c r="H321" s="26"/>
      <c r="I321" s="26"/>
    </row>
    <row r="322" spans="1:9" x14ac:dyDescent="0.25">
      <c r="A322" s="26">
        <v>6040085</v>
      </c>
      <c r="B322" s="26" t="s">
        <v>797</v>
      </c>
      <c r="C322" s="26">
        <v>0</v>
      </c>
      <c r="D322" s="26">
        <v>0</v>
      </c>
      <c r="E322" s="26">
        <v>0</v>
      </c>
      <c r="F322" s="26">
        <v>0</v>
      </c>
      <c r="G322" s="26"/>
      <c r="H322" s="26"/>
      <c r="I322" s="26"/>
    </row>
    <row r="323" spans="1:9" x14ac:dyDescent="0.25">
      <c r="A323" s="26">
        <v>6040088</v>
      </c>
      <c r="B323" s="26" t="s">
        <v>797</v>
      </c>
      <c r="C323" s="26">
        <v>0</v>
      </c>
      <c r="D323" s="26">
        <v>0</v>
      </c>
      <c r="E323" s="26">
        <v>0</v>
      </c>
      <c r="F323" s="26">
        <v>0</v>
      </c>
      <c r="G323" s="26"/>
      <c r="H323" s="26"/>
      <c r="I323" s="26"/>
    </row>
    <row r="324" spans="1:9" x14ac:dyDescent="0.25">
      <c r="A324" s="26">
        <v>6111955</v>
      </c>
      <c r="B324" s="26" t="s">
        <v>802</v>
      </c>
      <c r="C324" s="26">
        <v>0</v>
      </c>
      <c r="D324" s="26">
        <v>0</v>
      </c>
      <c r="E324" s="26">
        <v>0</v>
      </c>
      <c r="F324" s="26">
        <v>0</v>
      </c>
      <c r="G324" s="26"/>
      <c r="H324" s="26"/>
      <c r="I324" s="26"/>
    </row>
    <row r="325" spans="1:9" x14ac:dyDescent="0.25">
      <c r="A325" s="26">
        <v>6510110</v>
      </c>
      <c r="B325" s="26" t="s">
        <v>806</v>
      </c>
      <c r="C325" s="26">
        <v>0</v>
      </c>
      <c r="D325" s="26">
        <v>0</v>
      </c>
      <c r="E325" s="26">
        <v>0</v>
      </c>
      <c r="F325" s="26">
        <v>0</v>
      </c>
      <c r="G325" s="26"/>
      <c r="H325" s="26"/>
      <c r="I325" s="26"/>
    </row>
    <row r="326" spans="1:9" x14ac:dyDescent="0.25">
      <c r="A326" s="26">
        <v>6510130</v>
      </c>
      <c r="B326" s="26" t="s">
        <v>806</v>
      </c>
      <c r="C326" s="26">
        <v>0</v>
      </c>
      <c r="D326" s="26">
        <v>0</v>
      </c>
      <c r="E326" s="26">
        <v>0</v>
      </c>
      <c r="F326" s="26">
        <v>0</v>
      </c>
      <c r="G326" s="26"/>
      <c r="H326" s="26"/>
      <c r="I326" s="26"/>
    </row>
    <row r="327" spans="1:9" x14ac:dyDescent="0.25">
      <c r="A327" s="26">
        <v>6510140</v>
      </c>
      <c r="B327" s="26" t="s">
        <v>806</v>
      </c>
      <c r="C327" s="26">
        <v>0</v>
      </c>
      <c r="D327" s="26">
        <v>0</v>
      </c>
      <c r="E327" s="26">
        <v>0</v>
      </c>
      <c r="F327" s="26">
        <v>0</v>
      </c>
      <c r="G327" s="26"/>
      <c r="H327" s="26"/>
      <c r="I327" s="26"/>
    </row>
    <row r="328" spans="1:9" x14ac:dyDescent="0.25">
      <c r="A328" s="26">
        <v>6510150</v>
      </c>
      <c r="B328" s="26" t="s">
        <v>806</v>
      </c>
      <c r="C328" s="26">
        <v>0</v>
      </c>
      <c r="D328" s="26">
        <v>0</v>
      </c>
      <c r="E328" s="26">
        <v>0</v>
      </c>
      <c r="F328" s="26">
        <v>0</v>
      </c>
      <c r="G328" s="26"/>
      <c r="H328" s="26"/>
      <c r="I328" s="26"/>
    </row>
    <row r="329" spans="1:9" x14ac:dyDescent="0.25">
      <c r="A329" s="26">
        <v>6510160</v>
      </c>
      <c r="B329" s="26" t="s">
        <v>806</v>
      </c>
      <c r="C329" s="26">
        <v>0</v>
      </c>
      <c r="D329" s="26">
        <v>0</v>
      </c>
      <c r="E329" s="26">
        <v>0</v>
      </c>
      <c r="F329" s="26">
        <v>0</v>
      </c>
      <c r="G329" s="26"/>
      <c r="H329" s="26"/>
      <c r="I329" s="26"/>
    </row>
    <row r="330" spans="1:9" x14ac:dyDescent="0.25">
      <c r="A330" s="26">
        <v>6510170</v>
      </c>
      <c r="B330" s="26" t="s">
        <v>806</v>
      </c>
      <c r="C330" s="26">
        <v>0</v>
      </c>
      <c r="D330" s="26">
        <v>0</v>
      </c>
      <c r="E330" s="26">
        <v>0</v>
      </c>
      <c r="F330" s="26">
        <v>0</v>
      </c>
      <c r="G330" s="26"/>
      <c r="H330" s="26"/>
      <c r="I330" s="26"/>
    </row>
    <row r="331" spans="1:9" x14ac:dyDescent="0.25">
      <c r="A331" s="26">
        <v>6510200</v>
      </c>
      <c r="B331" s="26" t="s">
        <v>806</v>
      </c>
      <c r="C331" s="26">
        <v>0</v>
      </c>
      <c r="D331" s="26">
        <v>0</v>
      </c>
      <c r="E331" s="26">
        <v>0</v>
      </c>
      <c r="F331" s="26">
        <v>0</v>
      </c>
      <c r="G331" s="26"/>
      <c r="H331" s="26"/>
      <c r="I331" s="26"/>
    </row>
    <row r="332" spans="1:9" x14ac:dyDescent="0.25">
      <c r="A332" s="26">
        <v>6530030</v>
      </c>
      <c r="B332" s="26" t="s">
        <v>820</v>
      </c>
      <c r="C332" s="26">
        <v>0</v>
      </c>
      <c r="D332" s="26">
        <v>0</v>
      </c>
      <c r="E332" s="26">
        <v>0</v>
      </c>
      <c r="F332" s="26">
        <v>0</v>
      </c>
      <c r="G332" s="26"/>
      <c r="H332" s="26"/>
      <c r="I332" s="26"/>
    </row>
    <row r="333" spans="1:9" x14ac:dyDescent="0.25">
      <c r="A333" s="26">
        <v>6530050</v>
      </c>
      <c r="B333" s="26" t="s">
        <v>820</v>
      </c>
      <c r="C333" s="26">
        <v>0</v>
      </c>
      <c r="D333" s="26">
        <v>0</v>
      </c>
      <c r="E333" s="26">
        <v>0</v>
      </c>
      <c r="F333" s="26">
        <v>0</v>
      </c>
      <c r="G333" s="26"/>
      <c r="H333" s="26"/>
      <c r="I333" s="26"/>
    </row>
    <row r="334" spans="1:9" x14ac:dyDescent="0.25">
      <c r="A334" s="26">
        <v>6530070</v>
      </c>
      <c r="B334" s="26" t="s">
        <v>820</v>
      </c>
      <c r="C334" s="26">
        <v>0</v>
      </c>
      <c r="D334" s="26">
        <v>0</v>
      </c>
      <c r="E334" s="26">
        <v>0</v>
      </c>
      <c r="F334" s="26">
        <v>0</v>
      </c>
      <c r="G334" s="26"/>
      <c r="H334" s="26"/>
      <c r="I334" s="26"/>
    </row>
    <row r="335" spans="1:9" x14ac:dyDescent="0.25">
      <c r="A335" s="26">
        <v>6530236</v>
      </c>
      <c r="B335" s="26" t="s">
        <v>820</v>
      </c>
      <c r="C335" s="26">
        <v>0</v>
      </c>
      <c r="D335" s="26">
        <v>0</v>
      </c>
      <c r="E335" s="26">
        <v>0</v>
      </c>
      <c r="F335" s="26">
        <v>0</v>
      </c>
      <c r="G335" s="26"/>
      <c r="H335" s="26"/>
      <c r="I335" s="26"/>
    </row>
    <row r="336" spans="1:9" x14ac:dyDescent="0.25">
      <c r="A336" s="26">
        <v>6530279</v>
      </c>
      <c r="B336" s="26" t="s">
        <v>820</v>
      </c>
      <c r="C336" s="26">
        <v>0</v>
      </c>
      <c r="D336" s="26">
        <v>0</v>
      </c>
      <c r="E336" s="26">
        <v>0</v>
      </c>
      <c r="F336" s="26">
        <v>0</v>
      </c>
      <c r="G336" s="26"/>
      <c r="H336" s="26"/>
      <c r="I336" s="26"/>
    </row>
    <row r="337" spans="1:9" x14ac:dyDescent="0.25">
      <c r="A337" s="26">
        <v>6530286</v>
      </c>
      <c r="B337" s="26" t="s">
        <v>820</v>
      </c>
      <c r="C337" s="26">
        <v>0</v>
      </c>
      <c r="D337" s="26">
        <v>0</v>
      </c>
      <c r="E337" s="26">
        <v>0</v>
      </c>
      <c r="F337" s="26">
        <v>0</v>
      </c>
      <c r="G337" s="26"/>
      <c r="H337" s="26"/>
      <c r="I337" s="26"/>
    </row>
    <row r="338" spans="1:9" x14ac:dyDescent="0.25">
      <c r="A338" s="26">
        <v>6540090</v>
      </c>
      <c r="B338" s="26" t="s">
        <v>834</v>
      </c>
      <c r="C338" s="26">
        <v>0</v>
      </c>
      <c r="D338" s="26">
        <v>0</v>
      </c>
      <c r="E338" s="26">
        <v>0</v>
      </c>
      <c r="F338" s="26">
        <v>0</v>
      </c>
      <c r="G338" s="26"/>
      <c r="H338" s="26"/>
      <c r="I338" s="26"/>
    </row>
    <row r="339" spans="1:9" x14ac:dyDescent="0.25">
      <c r="A339" s="26">
        <v>65401475</v>
      </c>
      <c r="B339" s="26" t="s">
        <v>834</v>
      </c>
      <c r="C339" s="26">
        <v>0</v>
      </c>
      <c r="D339" s="26">
        <v>0</v>
      </c>
      <c r="E339" s="26">
        <v>0</v>
      </c>
      <c r="F339" s="26">
        <v>0</v>
      </c>
      <c r="G339" s="26"/>
      <c r="H339" s="26"/>
      <c r="I339" s="26"/>
    </row>
    <row r="340" spans="1:9" x14ac:dyDescent="0.25">
      <c r="A340" s="26">
        <v>65401555</v>
      </c>
      <c r="B340" s="26" t="s">
        <v>834</v>
      </c>
      <c r="C340" s="26">
        <v>0</v>
      </c>
      <c r="D340" s="26">
        <v>0</v>
      </c>
      <c r="E340" s="26">
        <v>0</v>
      </c>
      <c r="F340" s="26">
        <v>0</v>
      </c>
      <c r="G340" s="26"/>
      <c r="H340" s="26"/>
      <c r="I340" s="26"/>
    </row>
    <row r="341" spans="1:9" x14ac:dyDescent="0.25">
      <c r="A341" s="26">
        <v>65401686</v>
      </c>
      <c r="B341" s="26" t="s">
        <v>834</v>
      </c>
      <c r="C341" s="26">
        <v>0</v>
      </c>
      <c r="D341" s="26">
        <v>0</v>
      </c>
      <c r="E341" s="26">
        <v>0</v>
      </c>
      <c r="F341" s="26">
        <v>0</v>
      </c>
      <c r="G341" s="26"/>
      <c r="H341" s="26"/>
      <c r="I341" s="26"/>
    </row>
    <row r="342" spans="1:9" x14ac:dyDescent="0.25">
      <c r="A342" s="26">
        <v>6540232</v>
      </c>
      <c r="B342" s="26" t="s">
        <v>834</v>
      </c>
      <c r="C342" s="26">
        <v>0</v>
      </c>
      <c r="D342" s="26">
        <v>0</v>
      </c>
      <c r="E342" s="26">
        <v>0</v>
      </c>
      <c r="F342" s="26">
        <v>0</v>
      </c>
      <c r="G342" s="26"/>
      <c r="H342" s="26"/>
      <c r="I342" s="26"/>
    </row>
    <row r="343" spans="1:9" x14ac:dyDescent="0.25">
      <c r="A343" s="26">
        <v>74101428</v>
      </c>
      <c r="B343" s="26" t="s">
        <v>193</v>
      </c>
      <c r="C343" s="26">
        <v>0</v>
      </c>
      <c r="D343" s="26">
        <v>0</v>
      </c>
      <c r="E343" s="26">
        <v>0</v>
      </c>
      <c r="F343" s="26">
        <v>0</v>
      </c>
      <c r="G343" s="26"/>
      <c r="H343" s="26"/>
      <c r="I343" s="26"/>
    </row>
    <row r="344" spans="1:9" x14ac:dyDescent="0.25">
      <c r="A344" s="26">
        <v>7417010</v>
      </c>
      <c r="B344" s="26" t="s">
        <v>636</v>
      </c>
      <c r="C344" s="26">
        <v>0</v>
      </c>
      <c r="D344" s="26">
        <v>0</v>
      </c>
      <c r="E344" s="26">
        <v>0</v>
      </c>
      <c r="F344" s="26">
        <v>0</v>
      </c>
      <c r="G344" s="26"/>
      <c r="H344" s="26"/>
      <c r="I344" s="26"/>
    </row>
    <row r="345" spans="1:9" x14ac:dyDescent="0.25">
      <c r="A345" s="26">
        <v>7417191</v>
      </c>
      <c r="B345" s="26" t="s">
        <v>636</v>
      </c>
      <c r="C345" s="26">
        <v>0</v>
      </c>
      <c r="D345" s="26">
        <v>0</v>
      </c>
      <c r="E345" s="26">
        <v>0</v>
      </c>
      <c r="F345" s="26">
        <v>0</v>
      </c>
      <c r="G345" s="26"/>
      <c r="H345" s="26"/>
      <c r="I345" s="26"/>
    </row>
    <row r="346" spans="1:9" x14ac:dyDescent="0.25">
      <c r="A346" s="26">
        <v>7417920</v>
      </c>
      <c r="B346" s="26" t="s">
        <v>636</v>
      </c>
      <c r="C346" s="26">
        <v>0</v>
      </c>
      <c r="D346" s="26">
        <v>0</v>
      </c>
      <c r="E346" s="26">
        <v>0</v>
      </c>
      <c r="F346" s="26">
        <v>0</v>
      </c>
      <c r="G346" s="26"/>
      <c r="H346" s="26"/>
      <c r="I346" s="26"/>
    </row>
    <row r="347" spans="1:9" x14ac:dyDescent="0.25">
      <c r="A347" s="26">
        <v>7492966</v>
      </c>
      <c r="B347" s="26" t="s">
        <v>193</v>
      </c>
      <c r="C347" s="26">
        <v>0</v>
      </c>
      <c r="D347" s="26">
        <v>0</v>
      </c>
      <c r="E347" s="26">
        <v>0</v>
      </c>
      <c r="F347" s="26">
        <v>0</v>
      </c>
      <c r="G347" s="26"/>
      <c r="H347" s="26"/>
      <c r="I347" s="26"/>
    </row>
    <row r="348" spans="1:9" x14ac:dyDescent="0.25">
      <c r="A348" s="26">
        <v>7510040</v>
      </c>
      <c r="B348" s="26" t="s">
        <v>859</v>
      </c>
      <c r="C348" s="26">
        <v>0</v>
      </c>
      <c r="D348" s="26">
        <v>0</v>
      </c>
      <c r="E348" s="26">
        <v>0</v>
      </c>
      <c r="F348" s="26">
        <v>0</v>
      </c>
      <c r="G348" s="26"/>
      <c r="H348" s="26"/>
      <c r="I348" s="26"/>
    </row>
    <row r="349" spans="1:9" x14ac:dyDescent="0.25">
      <c r="A349" s="26">
        <v>7510060</v>
      </c>
      <c r="B349" s="26" t="s">
        <v>859</v>
      </c>
      <c r="C349" s="26">
        <v>0</v>
      </c>
      <c r="D349" s="26">
        <v>0</v>
      </c>
      <c r="E349" s="26">
        <v>0</v>
      </c>
      <c r="F349" s="26">
        <v>0</v>
      </c>
      <c r="G349" s="26"/>
      <c r="H349" s="26"/>
      <c r="I349" s="26"/>
    </row>
    <row r="350" spans="1:9" x14ac:dyDescent="0.25">
      <c r="A350" s="26">
        <v>7520035</v>
      </c>
      <c r="B350" s="26" t="s">
        <v>864</v>
      </c>
      <c r="C350" s="26">
        <v>0</v>
      </c>
      <c r="D350" s="26">
        <v>0</v>
      </c>
      <c r="E350" s="26">
        <v>0</v>
      </c>
      <c r="F350" s="26">
        <v>0</v>
      </c>
      <c r="G350" s="26"/>
      <c r="H350" s="26"/>
      <c r="I350" s="26"/>
    </row>
    <row r="351" spans="1:9" x14ac:dyDescent="0.25">
      <c r="A351" s="26">
        <v>7530114</v>
      </c>
      <c r="B351" s="26" t="s">
        <v>867</v>
      </c>
      <c r="C351" s="26">
        <v>0</v>
      </c>
      <c r="D351" s="26">
        <v>0</v>
      </c>
      <c r="E351" s="26">
        <v>0</v>
      </c>
      <c r="F351" s="26">
        <v>0</v>
      </c>
      <c r="G351" s="26"/>
      <c r="H351" s="26"/>
      <c r="I351" s="26"/>
    </row>
    <row r="352" spans="1:9" x14ac:dyDescent="0.25">
      <c r="A352" s="26">
        <v>7540175</v>
      </c>
      <c r="B352" s="26" t="s">
        <v>870</v>
      </c>
      <c r="C352" s="26">
        <v>0</v>
      </c>
      <c r="D352" s="26">
        <v>0</v>
      </c>
      <c r="E352" s="26">
        <v>0</v>
      </c>
      <c r="F352" s="26">
        <v>0</v>
      </c>
      <c r="G352" s="26"/>
      <c r="H352" s="26"/>
      <c r="I352" s="26"/>
    </row>
    <row r="353" spans="1:9" x14ac:dyDescent="0.25">
      <c r="A353" s="26">
        <v>7550010</v>
      </c>
      <c r="B353" s="26" t="s">
        <v>873</v>
      </c>
      <c r="C353" s="26">
        <v>0</v>
      </c>
      <c r="D353" s="26">
        <v>0</v>
      </c>
      <c r="E353" s="26">
        <v>0</v>
      </c>
      <c r="F353" s="26">
        <v>0</v>
      </c>
      <c r="G353" s="26"/>
      <c r="H353" s="26"/>
      <c r="I353" s="26"/>
    </row>
    <row r="354" spans="1:9" x14ac:dyDescent="0.25">
      <c r="A354" s="26">
        <v>7550050</v>
      </c>
      <c r="B354" s="26" t="s">
        <v>873</v>
      </c>
      <c r="C354" s="26">
        <v>0</v>
      </c>
      <c r="D354" s="26">
        <v>0</v>
      </c>
      <c r="E354" s="26">
        <v>0</v>
      </c>
      <c r="F354" s="26">
        <v>0</v>
      </c>
      <c r="G354" s="26"/>
      <c r="H354" s="26"/>
      <c r="I354" s="26"/>
    </row>
    <row r="355" spans="1:9" x14ac:dyDescent="0.25">
      <c r="A355" s="26">
        <v>7550137</v>
      </c>
      <c r="B355" s="26" t="s">
        <v>873</v>
      </c>
      <c r="C355" s="26">
        <v>0</v>
      </c>
      <c r="D355" s="26">
        <v>0</v>
      </c>
      <c r="E355" s="26">
        <v>0</v>
      </c>
      <c r="F355" s="26">
        <v>0</v>
      </c>
      <c r="G355" s="26"/>
      <c r="H355" s="26"/>
      <c r="I355" s="26"/>
    </row>
    <row r="356" spans="1:9" x14ac:dyDescent="0.25">
      <c r="A356" s="26">
        <v>7550152</v>
      </c>
      <c r="B356" s="26" t="s">
        <v>873</v>
      </c>
      <c r="C356" s="26">
        <v>0</v>
      </c>
      <c r="D356" s="26">
        <v>0</v>
      </c>
      <c r="E356" s="26">
        <v>0</v>
      </c>
      <c r="F356" s="26">
        <v>0</v>
      </c>
      <c r="G356" s="26"/>
      <c r="H356" s="26"/>
      <c r="I356" s="26"/>
    </row>
    <row r="357" spans="1:9" x14ac:dyDescent="0.25">
      <c r="A357" s="26">
        <v>7560030</v>
      </c>
      <c r="B357" s="26" t="s">
        <v>882</v>
      </c>
      <c r="C357" s="26">
        <v>0</v>
      </c>
      <c r="D357" s="26">
        <v>0</v>
      </c>
      <c r="E357" s="26">
        <v>0</v>
      </c>
      <c r="F357" s="26">
        <v>0</v>
      </c>
      <c r="G357" s="26"/>
      <c r="H357" s="26"/>
      <c r="I357" s="26"/>
    </row>
    <row r="358" spans="1:9" x14ac:dyDescent="0.25">
      <c r="A358" s="26">
        <v>7560050</v>
      </c>
      <c r="B358" s="26" t="s">
        <v>882</v>
      </c>
      <c r="C358" s="26">
        <v>0</v>
      </c>
      <c r="D358" s="26">
        <v>0</v>
      </c>
      <c r="E358" s="26">
        <v>0</v>
      </c>
      <c r="F358" s="26">
        <v>0</v>
      </c>
      <c r="G358" s="26"/>
      <c r="H358" s="26"/>
      <c r="I358" s="26"/>
    </row>
    <row r="359" spans="1:9" x14ac:dyDescent="0.25">
      <c r="A359" s="26">
        <v>7560221</v>
      </c>
      <c r="B359" s="26" t="s">
        <v>882</v>
      </c>
      <c r="C359" s="26">
        <v>0</v>
      </c>
      <c r="D359" s="26">
        <v>0</v>
      </c>
      <c r="E359" s="26">
        <v>0</v>
      </c>
      <c r="F359" s="26">
        <v>0</v>
      </c>
      <c r="G359" s="26"/>
      <c r="H359" s="26"/>
      <c r="I359" s="26"/>
    </row>
    <row r="360" spans="1:9" x14ac:dyDescent="0.25">
      <c r="A360" s="26">
        <v>7561030</v>
      </c>
      <c r="B360" s="26" t="s">
        <v>882</v>
      </c>
      <c r="C360" s="26">
        <v>0</v>
      </c>
      <c r="D360" s="26">
        <v>0</v>
      </c>
      <c r="E360" s="26">
        <v>0</v>
      </c>
      <c r="F360" s="26">
        <v>0</v>
      </c>
      <c r="G360" s="26"/>
      <c r="H360" s="26"/>
      <c r="I360" s="26"/>
    </row>
    <row r="361" spans="1:9" x14ac:dyDescent="0.25">
      <c r="A361" s="26">
        <v>7561108</v>
      </c>
      <c r="B361" s="26" t="s">
        <v>882</v>
      </c>
      <c r="C361" s="26">
        <v>0</v>
      </c>
      <c r="D361" s="26">
        <v>0</v>
      </c>
      <c r="E361" s="26">
        <v>0</v>
      </c>
      <c r="F361" s="26">
        <v>0</v>
      </c>
      <c r="G361" s="26"/>
      <c r="H361" s="26"/>
      <c r="I361" s="26"/>
    </row>
    <row r="362" spans="1:9" x14ac:dyDescent="0.25">
      <c r="A362" s="26">
        <v>75701108</v>
      </c>
      <c r="B362" s="26" t="s">
        <v>892</v>
      </c>
      <c r="C362" s="26">
        <v>0</v>
      </c>
      <c r="D362" s="26">
        <v>0</v>
      </c>
      <c r="E362" s="26">
        <v>0</v>
      </c>
      <c r="F362" s="26">
        <v>0</v>
      </c>
      <c r="G362" s="26"/>
      <c r="H362" s="26"/>
      <c r="I362" s="26"/>
    </row>
    <row r="363" spans="1:9" x14ac:dyDescent="0.25">
      <c r="A363" s="26">
        <v>7570134</v>
      </c>
      <c r="B363" s="26" t="s">
        <v>892</v>
      </c>
      <c r="C363" s="26">
        <v>0</v>
      </c>
      <c r="D363" s="26">
        <v>0</v>
      </c>
      <c r="E363" s="26">
        <v>0</v>
      </c>
      <c r="F363" s="26">
        <v>0</v>
      </c>
      <c r="G363" s="26"/>
      <c r="H363" s="26"/>
      <c r="I363" s="26"/>
    </row>
    <row r="364" spans="1:9" x14ac:dyDescent="0.25">
      <c r="A364" s="26">
        <v>7570164</v>
      </c>
      <c r="B364" s="26" t="s">
        <v>892</v>
      </c>
      <c r="C364" s="26">
        <v>0</v>
      </c>
      <c r="D364" s="26">
        <v>0</v>
      </c>
      <c r="E364" s="26">
        <v>0</v>
      </c>
      <c r="F364" s="26">
        <v>0</v>
      </c>
      <c r="G364" s="26"/>
      <c r="H364" s="26"/>
      <c r="I364" s="26"/>
    </row>
    <row r="365" spans="1:9" x14ac:dyDescent="0.25">
      <c r="A365" s="26">
        <v>7570209</v>
      </c>
      <c r="B365" s="26" t="s">
        <v>892</v>
      </c>
      <c r="C365" s="26">
        <v>0</v>
      </c>
      <c r="D365" s="26">
        <v>0</v>
      </c>
      <c r="E365" s="26">
        <v>0</v>
      </c>
      <c r="F365" s="26">
        <v>0</v>
      </c>
      <c r="G365" s="26"/>
      <c r="H365" s="26"/>
      <c r="I365" s="26"/>
    </row>
    <row r="366" spans="1:9" x14ac:dyDescent="0.25">
      <c r="A366" s="26">
        <v>7571230</v>
      </c>
      <c r="B366" s="26" t="s">
        <v>892</v>
      </c>
      <c r="C366" s="26">
        <v>0</v>
      </c>
      <c r="D366" s="26">
        <v>0</v>
      </c>
      <c r="E366" s="26">
        <v>0</v>
      </c>
      <c r="F366" s="26">
        <v>0</v>
      </c>
      <c r="G366" s="26"/>
      <c r="H366" s="26"/>
      <c r="I366" s="26"/>
    </row>
    <row r="367" spans="1:9" x14ac:dyDescent="0.25">
      <c r="A367" s="26">
        <v>8510134</v>
      </c>
      <c r="B367" s="26" t="s">
        <v>711</v>
      </c>
      <c r="C367" s="26">
        <v>0</v>
      </c>
      <c r="D367" s="26">
        <v>0</v>
      </c>
      <c r="E367" s="26">
        <v>0</v>
      </c>
      <c r="F367" s="26">
        <v>0</v>
      </c>
      <c r="G367" s="26"/>
      <c r="H367" s="26"/>
      <c r="I367" s="26"/>
    </row>
    <row r="368" spans="1:9" x14ac:dyDescent="0.25">
      <c r="A368" s="26">
        <v>8510138</v>
      </c>
      <c r="B368" s="26" t="s">
        <v>711</v>
      </c>
      <c r="C368" s="26">
        <v>0</v>
      </c>
      <c r="D368" s="26">
        <v>0</v>
      </c>
      <c r="E368" s="26">
        <v>0</v>
      </c>
      <c r="F368" s="26">
        <v>0</v>
      </c>
      <c r="G368" s="26"/>
      <c r="H368" s="26"/>
      <c r="I368" s="26"/>
    </row>
    <row r="369" spans="1:9" x14ac:dyDescent="0.25">
      <c r="A369" s="26">
        <v>8510166</v>
      </c>
      <c r="B369" s="26" t="s">
        <v>711</v>
      </c>
      <c r="C369" s="26">
        <v>0</v>
      </c>
      <c r="D369" s="26">
        <v>0</v>
      </c>
      <c r="E369" s="26">
        <v>0</v>
      </c>
      <c r="F369" s="26">
        <v>0</v>
      </c>
      <c r="G369" s="26"/>
      <c r="H369" s="26"/>
      <c r="I369" s="26"/>
    </row>
    <row r="370" spans="1:9" x14ac:dyDescent="0.25">
      <c r="A370" s="26">
        <v>8510385</v>
      </c>
      <c r="B370" s="26" t="s">
        <v>711</v>
      </c>
      <c r="C370" s="26">
        <v>0</v>
      </c>
      <c r="D370" s="26">
        <v>0</v>
      </c>
      <c r="E370" s="26">
        <v>0</v>
      </c>
      <c r="F370" s="26">
        <v>0</v>
      </c>
      <c r="G370" s="26"/>
      <c r="H370" s="26"/>
      <c r="I370" s="26"/>
    </row>
    <row r="371" spans="1:9" x14ac:dyDescent="0.25">
      <c r="A371" s="26">
        <v>8510487</v>
      </c>
      <c r="B371" s="26" t="s">
        <v>711</v>
      </c>
      <c r="C371" s="26">
        <v>0</v>
      </c>
      <c r="D371" s="26">
        <v>0</v>
      </c>
      <c r="E371" s="26">
        <v>0</v>
      </c>
      <c r="F371" s="26">
        <v>0</v>
      </c>
      <c r="G371" s="26"/>
      <c r="H371" s="26"/>
      <c r="I371" s="26"/>
    </row>
    <row r="372" spans="1:9" x14ac:dyDescent="0.25">
      <c r="A372" s="26">
        <v>8510543</v>
      </c>
      <c r="B372" s="26" t="s">
        <v>711</v>
      </c>
      <c r="C372" s="26">
        <v>0</v>
      </c>
      <c r="D372" s="26">
        <v>0</v>
      </c>
      <c r="E372" s="26">
        <v>0</v>
      </c>
      <c r="F372" s="26">
        <v>0</v>
      </c>
      <c r="G372" s="26"/>
      <c r="H372" s="26"/>
      <c r="I372" s="26"/>
    </row>
    <row r="373" spans="1:9" x14ac:dyDescent="0.25">
      <c r="A373" s="26">
        <v>8510725</v>
      </c>
      <c r="B373" s="26" t="s">
        <v>711</v>
      </c>
      <c r="C373" s="26">
        <v>0</v>
      </c>
      <c r="D373" s="26">
        <v>0</v>
      </c>
      <c r="E373" s="26">
        <v>0</v>
      </c>
      <c r="F373" s="26">
        <v>0</v>
      </c>
      <c r="G373" s="26"/>
      <c r="H373" s="26"/>
      <c r="I373" s="26"/>
    </row>
    <row r="374" spans="1:9" x14ac:dyDescent="0.25">
      <c r="A374" s="26">
        <v>8510905</v>
      </c>
      <c r="B374" s="26" t="s">
        <v>711</v>
      </c>
      <c r="C374" s="26">
        <v>0</v>
      </c>
      <c r="D374" s="26">
        <v>0</v>
      </c>
      <c r="E374" s="26">
        <v>0</v>
      </c>
      <c r="F374" s="26">
        <v>0</v>
      </c>
      <c r="G374" s="26"/>
      <c r="H374" s="26"/>
      <c r="I374" s="26"/>
    </row>
    <row r="375" spans="1:9" x14ac:dyDescent="0.25">
      <c r="A375" s="26">
        <v>8511232</v>
      </c>
      <c r="B375" s="26" t="s">
        <v>711</v>
      </c>
      <c r="C375" s="26">
        <v>0</v>
      </c>
      <c r="D375" s="26">
        <v>0</v>
      </c>
      <c r="E375" s="26">
        <v>0</v>
      </c>
      <c r="F375" s="26">
        <v>0</v>
      </c>
      <c r="G375" s="26"/>
      <c r="H375" s="26"/>
      <c r="I375" s="26"/>
    </row>
    <row r="376" spans="1:9" x14ac:dyDescent="0.25">
      <c r="A376" s="26">
        <v>85116753</v>
      </c>
      <c r="B376" s="26" t="s">
        <v>711</v>
      </c>
      <c r="C376" s="26">
        <v>0</v>
      </c>
      <c r="D376" s="26">
        <v>0</v>
      </c>
      <c r="E376" s="26">
        <v>0</v>
      </c>
      <c r="F376" s="26">
        <v>0</v>
      </c>
      <c r="G376" s="26"/>
      <c r="H376" s="26"/>
      <c r="I376" s="26"/>
    </row>
    <row r="377" spans="1:9" x14ac:dyDescent="0.25">
      <c r="A377" s="26">
        <v>85116999</v>
      </c>
      <c r="B377" s="26" t="s">
        <v>711</v>
      </c>
      <c r="C377" s="26">
        <v>0</v>
      </c>
      <c r="D377" s="26">
        <v>0</v>
      </c>
      <c r="E377" s="26">
        <v>0</v>
      </c>
      <c r="F377" s="26">
        <v>0</v>
      </c>
      <c r="G377" s="26"/>
      <c r="H377" s="26"/>
      <c r="I377" s="26"/>
    </row>
    <row r="378" spans="1:9" x14ac:dyDescent="0.25">
      <c r="A378" s="26">
        <v>8512652</v>
      </c>
      <c r="B378" s="26" t="s">
        <v>595</v>
      </c>
      <c r="C378" s="26">
        <v>0</v>
      </c>
      <c r="D378" s="26">
        <v>0</v>
      </c>
      <c r="E378" s="26">
        <v>0</v>
      </c>
      <c r="F378" s="26">
        <v>0</v>
      </c>
      <c r="G378" s="26"/>
      <c r="H378" s="26"/>
      <c r="I378" s="26"/>
    </row>
    <row r="379" spans="1:9" x14ac:dyDescent="0.25">
      <c r="A379" s="26">
        <v>8530853</v>
      </c>
      <c r="B379" s="26" t="s">
        <v>547</v>
      </c>
      <c r="C379" s="26">
        <v>0</v>
      </c>
      <c r="D379" s="26">
        <v>0</v>
      </c>
      <c r="E379" s="26">
        <v>0</v>
      </c>
      <c r="F379" s="26">
        <v>0</v>
      </c>
      <c r="G379" s="26"/>
      <c r="H379" s="26"/>
      <c r="I379" s="26"/>
    </row>
    <row r="380" spans="1:9" x14ac:dyDescent="0.25">
      <c r="A380" s="26">
        <v>9711728</v>
      </c>
      <c r="B380" s="26" t="s">
        <v>741</v>
      </c>
      <c r="C380" s="26">
        <v>0</v>
      </c>
      <c r="D380" s="26">
        <v>0</v>
      </c>
      <c r="E380" s="26">
        <v>0</v>
      </c>
      <c r="F380" s="26">
        <v>0</v>
      </c>
      <c r="G380" s="26"/>
      <c r="H380" s="26"/>
      <c r="I380" s="26"/>
    </row>
    <row r="381" spans="1:9" x14ac:dyDescent="0.25">
      <c r="A381" s="26">
        <v>98111901</v>
      </c>
      <c r="B381" s="26" t="s">
        <v>489</v>
      </c>
      <c r="C381" s="26">
        <v>0</v>
      </c>
      <c r="D381" s="26">
        <v>0</v>
      </c>
      <c r="E381" s="26">
        <v>0</v>
      </c>
      <c r="F381" s="26">
        <v>0</v>
      </c>
      <c r="G381" s="26"/>
      <c r="H381" s="26"/>
      <c r="I381" s="26"/>
    </row>
    <row r="382" spans="1:9" x14ac:dyDescent="0.25">
      <c r="A382" s="26">
        <v>9816908</v>
      </c>
      <c r="B382" s="26" t="s">
        <v>559</v>
      </c>
      <c r="C382" s="26">
        <v>0</v>
      </c>
      <c r="D382" s="26">
        <v>0</v>
      </c>
      <c r="E382" s="26">
        <v>0</v>
      </c>
      <c r="F382" s="26">
        <v>0</v>
      </c>
      <c r="G382" s="26"/>
      <c r="H382" s="26"/>
      <c r="I382" s="26"/>
    </row>
    <row r="383" spans="1:9" x14ac:dyDescent="0.25">
      <c r="A383" s="26">
        <v>1010090</v>
      </c>
      <c r="B383" s="26" t="s">
        <v>1012</v>
      </c>
      <c r="C383" s="26">
        <v>0</v>
      </c>
      <c r="D383" s="26">
        <v>0</v>
      </c>
      <c r="E383" s="26">
        <v>0</v>
      </c>
      <c r="F383" s="26">
        <v>0</v>
      </c>
      <c r="G383" s="26"/>
      <c r="H383" s="26"/>
      <c r="I383" s="26"/>
    </row>
    <row r="384" spans="1:9" x14ac:dyDescent="0.25">
      <c r="A384" s="26">
        <v>1030011</v>
      </c>
      <c r="B384" s="26" t="s">
        <v>1013</v>
      </c>
      <c r="C384" s="26">
        <v>0</v>
      </c>
      <c r="D384" s="26">
        <v>0</v>
      </c>
      <c r="E384" s="26">
        <v>0</v>
      </c>
      <c r="F384" s="26">
        <v>0</v>
      </c>
      <c r="G384" s="26"/>
      <c r="H384" s="26"/>
      <c r="I384" s="26"/>
    </row>
    <row r="385" spans="1:9" x14ac:dyDescent="0.25">
      <c r="A385" s="26">
        <v>2030055</v>
      </c>
      <c r="B385" s="26" t="s">
        <v>1014</v>
      </c>
      <c r="C385" s="26">
        <v>0</v>
      </c>
      <c r="D385" s="26">
        <v>0</v>
      </c>
      <c r="E385" s="26">
        <v>0</v>
      </c>
      <c r="F385" s="26">
        <v>0</v>
      </c>
      <c r="G385" s="26"/>
      <c r="H385" s="26"/>
      <c r="I385" s="26"/>
    </row>
    <row r="386" spans="1:9" x14ac:dyDescent="0.25">
      <c r="A386" s="26">
        <v>2050050</v>
      </c>
      <c r="B386" s="26" t="s">
        <v>1015</v>
      </c>
      <c r="C386" s="26">
        <v>0</v>
      </c>
      <c r="D386" s="26">
        <v>0</v>
      </c>
      <c r="E386" s="26">
        <v>0</v>
      </c>
      <c r="F386" s="26">
        <v>0</v>
      </c>
      <c r="G386" s="26"/>
      <c r="H386" s="26"/>
      <c r="I386" s="26"/>
    </row>
    <row r="387" spans="1:9" x14ac:dyDescent="0.25">
      <c r="A387" s="26">
        <v>2510200</v>
      </c>
      <c r="B387" s="26" t="s">
        <v>1016</v>
      </c>
      <c r="C387" s="26">
        <v>0</v>
      </c>
      <c r="D387" s="26">
        <v>0</v>
      </c>
      <c r="E387" s="26">
        <v>0</v>
      </c>
      <c r="F387" s="26">
        <v>0</v>
      </c>
      <c r="G387" s="26"/>
      <c r="H387" s="26"/>
      <c r="I387" s="26"/>
    </row>
    <row r="388" spans="1:9" x14ac:dyDescent="0.25">
      <c r="A388" s="26">
        <v>3010190</v>
      </c>
      <c r="B388" s="26" t="s">
        <v>400</v>
      </c>
      <c r="C388" s="26">
        <v>0</v>
      </c>
      <c r="D388" s="26">
        <v>0</v>
      </c>
      <c r="E388" s="26">
        <v>0</v>
      </c>
      <c r="F388" s="26">
        <v>0</v>
      </c>
      <c r="G388" s="26"/>
      <c r="H388" s="26"/>
      <c r="I388" s="26"/>
    </row>
    <row r="389" spans="1:9" x14ac:dyDescent="0.25">
      <c r="A389" s="26">
        <v>30201011</v>
      </c>
      <c r="B389" s="26" t="s">
        <v>392</v>
      </c>
      <c r="C389" s="26">
        <v>0</v>
      </c>
      <c r="D389" s="26">
        <v>0</v>
      </c>
      <c r="E389" s="26">
        <v>0</v>
      </c>
      <c r="F389" s="26">
        <v>0</v>
      </c>
      <c r="G389" s="26"/>
      <c r="H389" s="26"/>
      <c r="I389" s="26"/>
    </row>
    <row r="390" spans="1:9" x14ac:dyDescent="0.25">
      <c r="A390" s="26">
        <v>3530130</v>
      </c>
      <c r="B390" s="26" t="s">
        <v>1017</v>
      </c>
      <c r="C390" s="26">
        <v>0</v>
      </c>
      <c r="D390" s="26">
        <v>0</v>
      </c>
      <c r="E390" s="26">
        <v>0</v>
      </c>
      <c r="F390" s="26">
        <v>0</v>
      </c>
      <c r="G390" s="26"/>
      <c r="H390" s="26"/>
      <c r="I390" s="26"/>
    </row>
    <row r="391" spans="1:9" x14ac:dyDescent="0.25">
      <c r="A391" s="26">
        <v>35702282</v>
      </c>
      <c r="B391" s="26" t="s">
        <v>509</v>
      </c>
      <c r="C391" s="26">
        <v>0</v>
      </c>
      <c r="D391" s="26">
        <v>0</v>
      </c>
      <c r="E391" s="26">
        <v>0</v>
      </c>
      <c r="F391" s="26">
        <v>0</v>
      </c>
      <c r="G391" s="26"/>
      <c r="H391" s="26"/>
      <c r="I391" s="26"/>
    </row>
    <row r="392" spans="1:9" x14ac:dyDescent="0.25">
      <c r="A392" s="26">
        <v>4020045</v>
      </c>
      <c r="B392" s="26" t="s">
        <v>1019</v>
      </c>
      <c r="C392" s="26">
        <v>0</v>
      </c>
      <c r="D392" s="26">
        <v>0</v>
      </c>
      <c r="E392" s="26">
        <v>0</v>
      </c>
      <c r="F392" s="26">
        <v>0</v>
      </c>
      <c r="G392" s="26"/>
      <c r="H392" s="26"/>
      <c r="I392" s="26"/>
    </row>
    <row r="393" spans="1:9" x14ac:dyDescent="0.25">
      <c r="A393" s="26">
        <v>4020060</v>
      </c>
      <c r="B393" s="26" t="s">
        <v>1020</v>
      </c>
      <c r="C393" s="26">
        <v>0</v>
      </c>
      <c r="D393" s="26">
        <v>0</v>
      </c>
      <c r="E393" s="26">
        <v>0</v>
      </c>
      <c r="F393" s="26">
        <v>0</v>
      </c>
      <c r="G393" s="26"/>
      <c r="H393" s="26"/>
      <c r="I393" s="26"/>
    </row>
    <row r="394" spans="1:9" x14ac:dyDescent="0.25">
      <c r="A394" s="26">
        <v>4040040</v>
      </c>
      <c r="B394" s="26" t="s">
        <v>1021</v>
      </c>
      <c r="C394" s="26">
        <v>0</v>
      </c>
      <c r="D394" s="26">
        <v>0</v>
      </c>
      <c r="E394" s="26">
        <v>0</v>
      </c>
      <c r="F394" s="26">
        <v>0</v>
      </c>
      <c r="G394" s="26"/>
      <c r="H394" s="26"/>
      <c r="I394" s="26"/>
    </row>
    <row r="395" spans="1:9" x14ac:dyDescent="0.25">
      <c r="A395" s="26">
        <v>4040050</v>
      </c>
      <c r="B395" s="26" t="s">
        <v>544</v>
      </c>
      <c r="C395" s="26">
        <v>0</v>
      </c>
      <c r="D395" s="26">
        <v>0</v>
      </c>
      <c r="E395" s="26">
        <v>0</v>
      </c>
      <c r="F395" s="26">
        <v>0</v>
      </c>
      <c r="G395" s="26"/>
      <c r="H395" s="26"/>
      <c r="I395" s="26"/>
    </row>
    <row r="396" spans="1:9" x14ac:dyDescent="0.25">
      <c r="A396" s="26">
        <v>40901555</v>
      </c>
      <c r="B396" s="26" t="s">
        <v>1022</v>
      </c>
      <c r="C396" s="26">
        <v>0</v>
      </c>
      <c r="D396" s="26">
        <v>0</v>
      </c>
      <c r="E396" s="26">
        <v>0</v>
      </c>
      <c r="F396" s="26">
        <v>0</v>
      </c>
      <c r="G396" s="26"/>
      <c r="H396" s="26"/>
      <c r="I396" s="26"/>
    </row>
    <row r="397" spans="1:9" x14ac:dyDescent="0.25">
      <c r="A397" s="26">
        <v>4091107</v>
      </c>
      <c r="B397" s="26" t="s">
        <v>1024</v>
      </c>
      <c r="C397" s="26">
        <v>0</v>
      </c>
      <c r="D397" s="26">
        <v>0</v>
      </c>
      <c r="E397" s="26">
        <v>0</v>
      </c>
      <c r="F397" s="26">
        <v>0</v>
      </c>
      <c r="G397" s="26"/>
      <c r="H397" s="26"/>
      <c r="I397" s="26"/>
    </row>
    <row r="398" spans="1:9" x14ac:dyDescent="0.25">
      <c r="A398" s="26">
        <v>5520320</v>
      </c>
      <c r="B398" s="26" t="s">
        <v>737</v>
      </c>
      <c r="C398" s="26">
        <v>0</v>
      </c>
      <c r="D398" s="26">
        <v>0</v>
      </c>
      <c r="E398" s="26">
        <v>0</v>
      </c>
      <c r="F398" s="26">
        <v>0</v>
      </c>
      <c r="G398" s="26"/>
      <c r="H398" s="26"/>
      <c r="I398" s="26"/>
    </row>
    <row r="399" spans="1:9" x14ac:dyDescent="0.25">
      <c r="A399" s="26">
        <v>6010060</v>
      </c>
      <c r="B399" s="26" t="s">
        <v>753</v>
      </c>
      <c r="C399" s="26">
        <v>0</v>
      </c>
      <c r="D399" s="26">
        <v>0</v>
      </c>
      <c r="E399" s="26">
        <v>0</v>
      </c>
      <c r="F399" s="26">
        <v>0</v>
      </c>
      <c r="G399" s="26"/>
      <c r="H399" s="26"/>
      <c r="I399" s="26"/>
    </row>
    <row r="400" spans="1:9" x14ac:dyDescent="0.25">
      <c r="A400" s="26">
        <v>60101210</v>
      </c>
      <c r="B400" s="26" t="s">
        <v>1025</v>
      </c>
      <c r="C400" s="26">
        <v>0</v>
      </c>
      <c r="D400" s="26">
        <v>0</v>
      </c>
      <c r="E400" s="26">
        <v>0</v>
      </c>
      <c r="F400" s="26">
        <v>0</v>
      </c>
      <c r="G400" s="26"/>
      <c r="H400" s="26"/>
      <c r="I400" s="26"/>
    </row>
    <row r="401" spans="1:9" x14ac:dyDescent="0.25">
      <c r="A401" s="26">
        <v>6111931</v>
      </c>
      <c r="B401" s="26" t="s">
        <v>1026</v>
      </c>
      <c r="C401" s="26">
        <v>0</v>
      </c>
      <c r="D401" s="26">
        <v>0</v>
      </c>
      <c r="E401" s="26">
        <v>0</v>
      </c>
      <c r="F401" s="26">
        <v>0</v>
      </c>
      <c r="G401" s="26"/>
      <c r="H401" s="26"/>
      <c r="I401" s="26"/>
    </row>
    <row r="402" spans="1:9" x14ac:dyDescent="0.25">
      <c r="A402" s="26">
        <v>6510120</v>
      </c>
      <c r="B402" s="26" t="s">
        <v>1028</v>
      </c>
      <c r="C402" s="26">
        <v>0</v>
      </c>
      <c r="D402" s="26">
        <v>0</v>
      </c>
      <c r="E402" s="26">
        <v>0</v>
      </c>
      <c r="F402" s="26">
        <v>0</v>
      </c>
      <c r="G402" s="26"/>
      <c r="H402" s="26"/>
      <c r="I402" s="26"/>
    </row>
    <row r="403" spans="1:9" x14ac:dyDescent="0.25">
      <c r="A403" s="26">
        <v>7540030</v>
      </c>
      <c r="B403" s="26" t="s">
        <v>1029</v>
      </c>
      <c r="C403" s="26">
        <v>0</v>
      </c>
      <c r="D403" s="26">
        <v>0</v>
      </c>
      <c r="E403" s="26">
        <v>0</v>
      </c>
      <c r="F403" s="26">
        <v>0</v>
      </c>
      <c r="G403" s="26"/>
      <c r="H403" s="26"/>
      <c r="I403" s="26"/>
    </row>
    <row r="404" spans="1:9" x14ac:dyDescent="0.25">
      <c r="A404" s="26">
        <v>9811170</v>
      </c>
      <c r="B404" s="26" t="s">
        <v>504</v>
      </c>
      <c r="C404" s="26">
        <v>0</v>
      </c>
      <c r="D404" s="26">
        <v>0</v>
      </c>
      <c r="E404" s="26">
        <v>0</v>
      </c>
      <c r="F404" s="26">
        <v>0</v>
      </c>
      <c r="G404" s="26"/>
      <c r="H404" s="26"/>
      <c r="I404" s="26"/>
    </row>
    <row r="405" spans="1:9" x14ac:dyDescent="0.25">
      <c r="A405" s="26" t="s">
        <v>1031</v>
      </c>
      <c r="B405" s="26"/>
      <c r="C405" s="26">
        <v>0</v>
      </c>
      <c r="D405" s="26">
        <v>0</v>
      </c>
      <c r="E405" s="26">
        <v>0</v>
      </c>
      <c r="F405" s="26">
        <v>0</v>
      </c>
      <c r="G405" s="26"/>
      <c r="H405" s="26"/>
      <c r="I405" s="26"/>
    </row>
    <row r="406" spans="1:9" x14ac:dyDescent="0.25">
      <c r="A406" s="26"/>
      <c r="B406" s="26"/>
      <c r="C406" s="26"/>
      <c r="D406" s="26"/>
      <c r="E406" s="26"/>
      <c r="F406" s="26"/>
      <c r="G406" s="26"/>
      <c r="H406" s="26"/>
      <c r="I406" s="26"/>
    </row>
    <row r="407" spans="1:9" x14ac:dyDescent="0.25">
      <c r="A407" s="26"/>
      <c r="B407" s="26"/>
      <c r="C407" s="26"/>
      <c r="D407" s="26"/>
      <c r="E407" s="26"/>
      <c r="F407" s="26"/>
      <c r="G407" s="26"/>
      <c r="H407" s="26"/>
      <c r="I407" s="26"/>
    </row>
    <row r="408" spans="1:9" x14ac:dyDescent="0.25">
      <c r="A408" s="26"/>
      <c r="B408" s="26"/>
      <c r="C408" s="26"/>
      <c r="D408" s="26"/>
      <c r="E408" s="26"/>
      <c r="F408" s="26"/>
      <c r="G408" s="26"/>
      <c r="H408" s="26"/>
      <c r="I408" s="26"/>
    </row>
    <row r="409" spans="1:9" x14ac:dyDescent="0.25">
      <c r="A409" s="26"/>
      <c r="B409" s="26"/>
      <c r="C409" s="26"/>
      <c r="D409" s="26"/>
      <c r="E409" s="26"/>
      <c r="F409" s="26"/>
      <c r="G409" s="26"/>
      <c r="H409" s="26"/>
      <c r="I409" s="26"/>
    </row>
    <row r="410" spans="1:9" x14ac:dyDescent="0.25">
      <c r="A410" s="26"/>
      <c r="B410" s="26"/>
      <c r="C410" s="26"/>
      <c r="D410" s="26"/>
      <c r="E410" s="26"/>
      <c r="F410" s="26"/>
      <c r="G410" s="26"/>
      <c r="H410" s="26"/>
      <c r="I410" s="26"/>
    </row>
    <row r="411" spans="1:9" x14ac:dyDescent="0.25">
      <c r="A411" s="26"/>
      <c r="B411" s="26"/>
      <c r="C411" s="26"/>
      <c r="D411" s="26"/>
      <c r="E411" s="26"/>
      <c r="F411" s="26"/>
      <c r="G411" s="26"/>
      <c r="H411" s="26"/>
      <c r="I411" s="26"/>
    </row>
    <row r="412" spans="1:9" x14ac:dyDescent="0.25">
      <c r="A412" s="26"/>
      <c r="B412" s="26"/>
      <c r="C412" s="26"/>
      <c r="D412" s="26"/>
      <c r="E412" s="26"/>
      <c r="F412" s="26"/>
      <c r="G412" s="26"/>
      <c r="H412" s="26"/>
      <c r="I412" s="26"/>
    </row>
    <row r="413" spans="1:9" x14ac:dyDescent="0.25">
      <c r="A413" s="26"/>
      <c r="B413" s="26"/>
      <c r="C413" s="26"/>
      <c r="D413" s="26"/>
      <c r="E413" s="26"/>
      <c r="F413" s="26"/>
      <c r="G413" s="26"/>
      <c r="H413" s="26"/>
      <c r="I413" s="26"/>
    </row>
    <row r="414" spans="1:9" x14ac:dyDescent="0.25">
      <c r="A414" s="26"/>
      <c r="B414" s="26"/>
      <c r="C414" s="26"/>
      <c r="D414" s="26"/>
      <c r="E414" s="26"/>
      <c r="F414" s="26"/>
      <c r="G414" s="26"/>
      <c r="H414" s="26"/>
      <c r="I414" s="26"/>
    </row>
    <row r="415" spans="1:9" x14ac:dyDescent="0.25">
      <c r="A415" s="26"/>
      <c r="B415" s="26"/>
      <c r="C415" s="26"/>
      <c r="D415" s="26"/>
      <c r="E415" s="26"/>
      <c r="F415" s="26"/>
      <c r="G415" s="26"/>
      <c r="H415" s="26"/>
      <c r="I415" s="26"/>
    </row>
    <row r="416" spans="1:9" x14ac:dyDescent="0.25">
      <c r="A416" s="26"/>
      <c r="B416" s="26"/>
      <c r="C416" s="26"/>
      <c r="D416" s="26"/>
      <c r="E416" s="26"/>
      <c r="F416" s="26"/>
      <c r="G416" s="26"/>
      <c r="H416" s="26"/>
      <c r="I416" s="26"/>
    </row>
    <row r="417" spans="1:9" x14ac:dyDescent="0.25">
      <c r="A417" s="26"/>
      <c r="B417" s="26"/>
      <c r="C417" s="26"/>
      <c r="D417" s="26"/>
      <c r="E417" s="26"/>
      <c r="F417" s="26"/>
      <c r="G417" s="26"/>
      <c r="H417" s="26"/>
      <c r="I417" s="26"/>
    </row>
    <row r="418" spans="1:9" x14ac:dyDescent="0.25">
      <c r="A418" s="26"/>
      <c r="B418" s="26"/>
      <c r="C418" s="26"/>
      <c r="D418" s="26"/>
      <c r="E418" s="26"/>
      <c r="F418" s="26"/>
      <c r="G418" s="26"/>
      <c r="H418" s="26"/>
      <c r="I418" s="26"/>
    </row>
    <row r="419" spans="1:9" x14ac:dyDescent="0.25">
      <c r="A419" s="26"/>
      <c r="B419" s="26"/>
      <c r="C419" s="26"/>
      <c r="D419" s="26"/>
      <c r="E419" s="26"/>
      <c r="F419" s="26"/>
      <c r="G419" s="26"/>
      <c r="H419" s="26"/>
      <c r="I419" s="26"/>
    </row>
    <row r="420" spans="1:9" x14ac:dyDescent="0.25">
      <c r="A420" s="26"/>
      <c r="B420" s="26"/>
      <c r="C420" s="26"/>
      <c r="D420" s="26"/>
      <c r="E420" s="26"/>
      <c r="F420" s="26"/>
      <c r="G420" s="26"/>
      <c r="H420" s="26"/>
      <c r="I420" s="26"/>
    </row>
    <row r="421" spans="1:9" x14ac:dyDescent="0.25">
      <c r="A421" s="26"/>
      <c r="B421" s="26"/>
      <c r="C421" s="26"/>
      <c r="D421" s="26"/>
      <c r="E421" s="26"/>
      <c r="F421" s="26"/>
      <c r="G421" s="26"/>
      <c r="H421" s="26"/>
      <c r="I421" s="26"/>
    </row>
    <row r="422" spans="1:9" x14ac:dyDescent="0.25">
      <c r="A422" s="26"/>
      <c r="B422" s="26"/>
      <c r="C422" s="26"/>
      <c r="D422" s="26"/>
      <c r="E422" s="26"/>
      <c r="F422" s="26"/>
      <c r="G422" s="26"/>
      <c r="H422" s="26"/>
      <c r="I422" s="26"/>
    </row>
    <row r="423" spans="1:9" x14ac:dyDescent="0.25">
      <c r="A423" s="26"/>
      <c r="B423" s="26"/>
      <c r="C423" s="26"/>
      <c r="D423" s="26"/>
      <c r="E423" s="26"/>
      <c r="F423" s="26"/>
      <c r="G423" s="26"/>
      <c r="H423" s="26"/>
      <c r="I423" s="26"/>
    </row>
    <row r="424" spans="1:9" x14ac:dyDescent="0.25">
      <c r="A424" s="26"/>
      <c r="B424" s="26"/>
      <c r="C424" s="26"/>
      <c r="D424" s="26"/>
      <c r="E424" s="26"/>
      <c r="F424" s="26"/>
      <c r="G424" s="26"/>
      <c r="H424" s="26"/>
      <c r="I424" s="26"/>
    </row>
    <row r="425" spans="1:9" x14ac:dyDescent="0.25">
      <c r="A425" s="26"/>
      <c r="B425" s="26"/>
      <c r="C425" s="26"/>
      <c r="D425" s="26"/>
      <c r="E425" s="26"/>
      <c r="F425" s="26"/>
      <c r="G425" s="26"/>
      <c r="H425" s="26"/>
      <c r="I425" s="26"/>
    </row>
    <row r="426" spans="1:9" x14ac:dyDescent="0.25">
      <c r="A426" s="26"/>
      <c r="B426" s="26"/>
      <c r="C426" s="26"/>
      <c r="D426" s="26"/>
      <c r="E426" s="26"/>
      <c r="F426" s="26"/>
      <c r="G426" s="26"/>
      <c r="H426" s="26"/>
      <c r="I426" s="26"/>
    </row>
    <row r="427" spans="1:9" x14ac:dyDescent="0.25">
      <c r="A427" s="26"/>
      <c r="B427" s="26"/>
      <c r="C427" s="26"/>
      <c r="D427" s="26"/>
      <c r="E427" s="26"/>
      <c r="F427" s="26"/>
      <c r="G427" s="26"/>
      <c r="H427" s="26"/>
      <c r="I427" s="26"/>
    </row>
    <row r="428" spans="1:9" x14ac:dyDescent="0.25">
      <c r="A428" s="26"/>
      <c r="B428" s="26"/>
      <c r="C428" s="26"/>
      <c r="D428" s="26"/>
      <c r="E428" s="26"/>
      <c r="F428" s="26"/>
      <c r="G428" s="26"/>
      <c r="H428" s="26"/>
      <c r="I428" s="26"/>
    </row>
    <row r="429" spans="1:9" x14ac:dyDescent="0.25">
      <c r="A429" s="26"/>
      <c r="B429" s="26"/>
      <c r="C429" s="26"/>
      <c r="D429" s="26"/>
      <c r="E429" s="26"/>
      <c r="F429" s="26"/>
      <c r="G429" s="26"/>
      <c r="H429" s="26"/>
      <c r="I429" s="26"/>
    </row>
    <row r="430" spans="1:9" x14ac:dyDescent="0.25">
      <c r="A430" s="26"/>
      <c r="B430" s="26"/>
      <c r="C430" s="26"/>
      <c r="D430" s="26"/>
      <c r="E430" s="26"/>
      <c r="F430" s="26"/>
      <c r="G430" s="26"/>
      <c r="H430" s="26"/>
      <c r="I430" s="26"/>
    </row>
    <row r="431" spans="1:9" x14ac:dyDescent="0.25">
      <c r="A431" s="26"/>
      <c r="B431" s="26"/>
      <c r="C431" s="26"/>
      <c r="D431" s="26"/>
      <c r="E431" s="26"/>
      <c r="F431" s="26"/>
      <c r="G431" s="26"/>
      <c r="H431" s="26"/>
      <c r="I431" s="26"/>
    </row>
    <row r="432" spans="1:9" x14ac:dyDescent="0.25">
      <c r="A432" s="26"/>
      <c r="B432" s="26"/>
      <c r="C432" s="26"/>
      <c r="D432" s="26"/>
      <c r="E432" s="26"/>
      <c r="F432" s="26"/>
      <c r="G432" s="26"/>
      <c r="H432" s="26"/>
      <c r="I432" s="26"/>
    </row>
    <row r="433" spans="1:9" x14ac:dyDescent="0.25">
      <c r="A433" s="26"/>
      <c r="B433" s="26"/>
      <c r="C433" s="26"/>
      <c r="D433" s="26"/>
      <c r="E433" s="26"/>
      <c r="F433" s="26"/>
      <c r="G433" s="26"/>
      <c r="H433" s="26"/>
      <c r="I433" s="26"/>
    </row>
    <row r="434" spans="1:9" x14ac:dyDescent="0.25">
      <c r="A434" s="26"/>
      <c r="B434" s="26"/>
      <c r="C434" s="26"/>
      <c r="D434" s="26"/>
      <c r="E434" s="26"/>
      <c r="F434" s="26"/>
      <c r="G434" s="26"/>
      <c r="H434" s="26"/>
      <c r="I434" s="26"/>
    </row>
    <row r="435" spans="1:9" x14ac:dyDescent="0.25">
      <c r="A435" s="26"/>
      <c r="B435" s="26"/>
      <c r="C435" s="26"/>
      <c r="D435" s="26"/>
      <c r="E435" s="26"/>
      <c r="F435" s="26"/>
      <c r="G435" s="26"/>
      <c r="H435" s="26"/>
      <c r="I435" s="26"/>
    </row>
    <row r="436" spans="1:9" x14ac:dyDescent="0.25">
      <c r="A436" s="26"/>
      <c r="B436" s="26"/>
      <c r="C436" s="26"/>
      <c r="D436" s="26"/>
      <c r="E436" s="26"/>
      <c r="F436" s="26"/>
      <c r="G436" s="26"/>
      <c r="H436" s="26"/>
      <c r="I436" s="26"/>
    </row>
    <row r="437" spans="1:9" x14ac:dyDescent="0.25">
      <c r="A437" s="26"/>
      <c r="B437" s="26"/>
      <c r="C437" s="26"/>
      <c r="D437" s="26"/>
      <c r="E437" s="26"/>
      <c r="F437" s="26"/>
      <c r="G437" s="26"/>
      <c r="H437" s="26"/>
      <c r="I437" s="26"/>
    </row>
    <row r="438" spans="1:9" x14ac:dyDescent="0.25">
      <c r="A438" s="26"/>
      <c r="B438" s="26"/>
      <c r="C438" s="26"/>
      <c r="D438" s="26"/>
      <c r="E438" s="26"/>
      <c r="F438" s="26"/>
      <c r="G438" s="26"/>
      <c r="H438" s="26"/>
      <c r="I438" s="26"/>
    </row>
    <row r="439" spans="1:9" x14ac:dyDescent="0.25">
      <c r="A439" s="26"/>
      <c r="B439" s="26"/>
      <c r="C439" s="26"/>
      <c r="D439" s="26"/>
      <c r="E439" s="26"/>
      <c r="F439" s="26"/>
      <c r="G439" s="26"/>
      <c r="H439" s="26"/>
      <c r="I439" s="26"/>
    </row>
    <row r="440" spans="1:9" x14ac:dyDescent="0.25">
      <c r="A440" s="26"/>
      <c r="B440" s="26"/>
      <c r="C440" s="26"/>
      <c r="D440" s="26"/>
      <c r="E440" s="26"/>
      <c r="F440" s="26"/>
      <c r="G440" s="26"/>
      <c r="H440" s="26"/>
      <c r="I440" s="26"/>
    </row>
    <row r="441" spans="1:9" x14ac:dyDescent="0.25">
      <c r="A441" s="26"/>
      <c r="B441" s="26"/>
      <c r="C441" s="26"/>
      <c r="D441" s="26"/>
      <c r="E441" s="26"/>
      <c r="F441" s="26"/>
      <c r="G441" s="26"/>
      <c r="H441" s="26"/>
      <c r="I441" s="26"/>
    </row>
    <row r="442" spans="1:9" x14ac:dyDescent="0.25">
      <c r="A442" s="26"/>
      <c r="B442" s="26"/>
      <c r="C442" s="26"/>
      <c r="D442" s="26"/>
      <c r="E442" s="26"/>
      <c r="F442" s="26"/>
      <c r="G442" s="26"/>
      <c r="H442" s="26"/>
      <c r="I442" s="26"/>
    </row>
    <row r="443" spans="1:9" x14ac:dyDescent="0.25">
      <c r="A443" s="26"/>
      <c r="B443" s="26"/>
      <c r="C443" s="26"/>
      <c r="D443" s="26"/>
      <c r="E443" s="26"/>
      <c r="F443" s="26"/>
      <c r="G443" s="26"/>
      <c r="H443" s="26"/>
      <c r="I443" s="26"/>
    </row>
    <row r="444" spans="1:9" x14ac:dyDescent="0.25">
      <c r="A444" s="26"/>
      <c r="B444" s="26"/>
      <c r="C444" s="26"/>
      <c r="D444" s="26"/>
      <c r="E444" s="26"/>
      <c r="F444" s="26"/>
      <c r="G444" s="26"/>
      <c r="H444" s="26"/>
      <c r="I444" s="26"/>
    </row>
    <row r="445" spans="1:9" x14ac:dyDescent="0.25">
      <c r="A445" s="26"/>
      <c r="B445" s="26"/>
      <c r="C445" s="26"/>
      <c r="D445" s="26"/>
      <c r="E445" s="26"/>
      <c r="F445" s="26"/>
      <c r="G445" s="26"/>
      <c r="H445" s="26"/>
      <c r="I445" s="26"/>
    </row>
    <row r="446" spans="1:9" x14ac:dyDescent="0.25">
      <c r="A446" s="26"/>
      <c r="B446" s="26"/>
      <c r="C446" s="26"/>
      <c r="D446" s="26"/>
      <c r="E446" s="26"/>
      <c r="F446" s="26"/>
      <c r="G446" s="26"/>
      <c r="H446" s="26"/>
      <c r="I446" s="26"/>
    </row>
    <row r="447" spans="1:9" x14ac:dyDescent="0.25">
      <c r="A447" s="26"/>
      <c r="B447" s="26"/>
      <c r="C447" s="26"/>
      <c r="D447" s="26"/>
      <c r="E447" s="26"/>
      <c r="F447" s="26"/>
      <c r="G447" s="26"/>
      <c r="H447" s="26"/>
      <c r="I447" s="26"/>
    </row>
    <row r="448" spans="1:9" x14ac:dyDescent="0.25">
      <c r="A448" s="26"/>
      <c r="B448" s="26"/>
      <c r="C448" s="26"/>
      <c r="D448" s="26"/>
      <c r="E448" s="26"/>
      <c r="F448" s="26"/>
      <c r="G448" s="26"/>
      <c r="H448" s="26"/>
      <c r="I448" s="26"/>
    </row>
    <row r="449" spans="1:9" x14ac:dyDescent="0.25">
      <c r="A449" s="26"/>
      <c r="B449" s="26"/>
      <c r="C449" s="26"/>
      <c r="D449" s="26"/>
      <c r="E449" s="26"/>
      <c r="F449" s="26"/>
      <c r="G449" s="26"/>
      <c r="H449" s="26"/>
      <c r="I449" s="26"/>
    </row>
    <row r="450" spans="1:9" x14ac:dyDescent="0.25">
      <c r="A450" s="26"/>
      <c r="B450" s="26"/>
      <c r="C450" s="26"/>
      <c r="D450" s="26"/>
      <c r="E450" s="26"/>
      <c r="F450" s="26"/>
      <c r="G450" s="26"/>
      <c r="H450" s="26"/>
      <c r="I450" s="26"/>
    </row>
    <row r="451" spans="1:9" x14ac:dyDescent="0.25">
      <c r="A451" s="26"/>
      <c r="B451" s="26"/>
      <c r="C451" s="26"/>
      <c r="D451" s="26"/>
      <c r="E451" s="26"/>
      <c r="F451" s="26"/>
      <c r="G451" s="26"/>
      <c r="H451" s="26"/>
      <c r="I451" s="26"/>
    </row>
    <row r="452" spans="1:9" x14ac:dyDescent="0.25">
      <c r="A452" s="26"/>
      <c r="B452" s="26"/>
      <c r="C452" s="26"/>
      <c r="D452" s="26"/>
      <c r="E452" s="26"/>
      <c r="F452" s="26"/>
      <c r="G452" s="26"/>
      <c r="H452" s="26"/>
      <c r="I452" s="26"/>
    </row>
    <row r="453" spans="1:9" x14ac:dyDescent="0.25">
      <c r="A453" s="26"/>
      <c r="B453" s="26"/>
      <c r="C453" s="26"/>
      <c r="D453" s="26"/>
      <c r="E453" s="26"/>
      <c r="F453" s="26"/>
      <c r="G453" s="26"/>
      <c r="H453" s="26"/>
      <c r="I453" s="26"/>
    </row>
    <row r="454" spans="1:9" x14ac:dyDescent="0.25">
      <c r="A454" s="26"/>
      <c r="B454" s="26"/>
      <c r="C454" s="26"/>
      <c r="D454" s="26"/>
      <c r="E454" s="26"/>
      <c r="F454" s="26"/>
      <c r="G454" s="26"/>
      <c r="H454" s="26"/>
      <c r="I454" s="26"/>
    </row>
    <row r="455" spans="1:9" x14ac:dyDescent="0.25">
      <c r="A455" s="26"/>
      <c r="B455" s="26"/>
      <c r="C455" s="26"/>
      <c r="D455" s="26"/>
      <c r="E455" s="26"/>
      <c r="F455" s="26"/>
      <c r="G455" s="26"/>
      <c r="H455" s="26"/>
      <c r="I455" s="26"/>
    </row>
    <row r="456" spans="1:9" x14ac:dyDescent="0.25">
      <c r="A456" s="26"/>
      <c r="B456" s="26"/>
      <c r="C456" s="26"/>
      <c r="D456" s="26"/>
      <c r="E456" s="26"/>
      <c r="F456" s="26"/>
      <c r="G456" s="26"/>
      <c r="H456" s="26"/>
      <c r="I456" s="26"/>
    </row>
    <row r="457" spans="1:9" x14ac:dyDescent="0.25">
      <c r="A457" s="26"/>
      <c r="B457" s="26"/>
      <c r="C457" s="26"/>
      <c r="D457" s="26"/>
      <c r="E457" s="26"/>
      <c r="F457" s="26"/>
      <c r="G457" s="26"/>
      <c r="H457" s="26"/>
      <c r="I457" s="26"/>
    </row>
    <row r="458" spans="1:9" x14ac:dyDescent="0.25">
      <c r="A458" s="26"/>
      <c r="B458" s="26"/>
      <c r="C458" s="26"/>
      <c r="D458" s="26"/>
      <c r="E458" s="26"/>
      <c r="F458" s="26"/>
      <c r="G458" s="26"/>
      <c r="H458" s="26"/>
      <c r="I458" s="26"/>
    </row>
    <row r="459" spans="1:9" x14ac:dyDescent="0.25">
      <c r="A459" s="26"/>
      <c r="B459" s="26"/>
      <c r="C459" s="26"/>
      <c r="D459" s="26"/>
      <c r="E459" s="26"/>
      <c r="F459" s="26"/>
      <c r="G459" s="26"/>
      <c r="H459" s="26"/>
      <c r="I459" s="26"/>
    </row>
    <row r="460" spans="1:9" x14ac:dyDescent="0.25">
      <c r="A460" s="26"/>
      <c r="B460" s="26"/>
      <c r="C460" s="26"/>
      <c r="D460" s="26"/>
      <c r="E460" s="26"/>
      <c r="F460" s="26"/>
      <c r="G460" s="26"/>
      <c r="H460" s="26"/>
      <c r="I460" s="26"/>
    </row>
    <row r="461" spans="1:9" x14ac:dyDescent="0.25">
      <c r="A461" s="26"/>
      <c r="B461" s="26"/>
      <c r="C461" s="26"/>
      <c r="D461" s="26"/>
      <c r="E461" s="26"/>
      <c r="F461" s="26"/>
      <c r="G461" s="26"/>
      <c r="H461" s="26"/>
      <c r="I461" s="26"/>
    </row>
    <row r="462" spans="1:9" x14ac:dyDescent="0.25">
      <c r="A462" s="26"/>
      <c r="B462" s="26"/>
      <c r="C462" s="26"/>
      <c r="D462" s="26"/>
      <c r="E462" s="26"/>
      <c r="F462" s="26"/>
      <c r="G462" s="26"/>
      <c r="H462" s="26"/>
      <c r="I462" s="26"/>
    </row>
    <row r="463" spans="1:9" x14ac:dyDescent="0.25">
      <c r="A463" s="26"/>
      <c r="B463" s="26"/>
      <c r="C463" s="26"/>
      <c r="D463" s="26"/>
      <c r="E463" s="26"/>
      <c r="F463" s="26"/>
      <c r="G463" s="26"/>
      <c r="H463" s="26"/>
      <c r="I463" s="26"/>
    </row>
    <row r="464" spans="1:9" x14ac:dyDescent="0.25">
      <c r="A464" s="26"/>
      <c r="B464" s="26"/>
      <c r="C464" s="26"/>
      <c r="D464" s="26"/>
      <c r="E464" s="26"/>
      <c r="F464" s="26"/>
      <c r="G464" s="26"/>
      <c r="H464" s="26"/>
      <c r="I464" s="26"/>
    </row>
    <row r="465" spans="1:9" x14ac:dyDescent="0.25">
      <c r="A465" s="26"/>
      <c r="B465" s="26"/>
      <c r="C465" s="26"/>
      <c r="D465" s="26"/>
      <c r="E465" s="26"/>
      <c r="F465" s="26"/>
      <c r="G465" s="26"/>
      <c r="H465" s="26"/>
      <c r="I465" s="26"/>
    </row>
    <row r="466" spans="1:9" x14ac:dyDescent="0.25">
      <c r="A466" s="26"/>
      <c r="B466" s="26"/>
      <c r="C466" s="26"/>
      <c r="D466" s="26"/>
      <c r="E466" s="26"/>
      <c r="F466" s="26"/>
      <c r="G466" s="26"/>
      <c r="H466" s="26"/>
      <c r="I466" s="26"/>
    </row>
    <row r="467" spans="1:9" x14ac:dyDescent="0.25">
      <c r="A467" s="26"/>
      <c r="B467" s="26"/>
      <c r="C467" s="26"/>
      <c r="D467" s="26"/>
      <c r="E467" s="26"/>
      <c r="F467" s="26"/>
      <c r="G467" s="26"/>
      <c r="H467" s="26"/>
      <c r="I467" s="26"/>
    </row>
    <row r="468" spans="1:9" x14ac:dyDescent="0.25">
      <c r="A468" s="26"/>
      <c r="B468" s="26"/>
      <c r="C468" s="26"/>
      <c r="D468" s="26"/>
      <c r="E468" s="26"/>
      <c r="F468" s="26"/>
      <c r="G468" s="26"/>
      <c r="H468" s="26"/>
      <c r="I468" s="26"/>
    </row>
    <row r="469" spans="1:9" x14ac:dyDescent="0.25">
      <c r="A469" s="26"/>
      <c r="B469" s="26"/>
      <c r="C469" s="26"/>
      <c r="D469" s="26"/>
      <c r="E469" s="26"/>
      <c r="F469" s="26"/>
      <c r="G469" s="26"/>
      <c r="H469" s="26"/>
      <c r="I469" s="26"/>
    </row>
    <row r="470" spans="1:9" x14ac:dyDescent="0.25">
      <c r="A470" s="26"/>
      <c r="B470" s="26"/>
      <c r="C470" s="26"/>
      <c r="D470" s="26"/>
      <c r="E470" s="26"/>
      <c r="F470" s="26"/>
      <c r="G470" s="26"/>
      <c r="H470" s="26"/>
      <c r="I470" s="26"/>
    </row>
    <row r="471" spans="1:9" x14ac:dyDescent="0.25">
      <c r="A471" s="26"/>
      <c r="B471" s="26"/>
      <c r="C471" s="26"/>
      <c r="D471" s="26"/>
      <c r="E471" s="26"/>
      <c r="F471" s="26"/>
      <c r="G471" s="26"/>
      <c r="H471" s="26"/>
      <c r="I471" s="26"/>
    </row>
    <row r="472" spans="1:9" x14ac:dyDescent="0.25">
      <c r="A472" s="26"/>
      <c r="B472" s="26"/>
      <c r="C472" s="26"/>
      <c r="D472" s="26"/>
      <c r="E472" s="26"/>
      <c r="F472" s="26"/>
      <c r="G472" s="26"/>
      <c r="H472" s="26"/>
      <c r="I472" s="26"/>
    </row>
    <row r="473" spans="1:9" x14ac:dyDescent="0.25">
      <c r="A473" s="26"/>
      <c r="B473" s="26"/>
      <c r="C473" s="26"/>
      <c r="D473" s="26"/>
      <c r="E473" s="26"/>
      <c r="F473" s="26"/>
      <c r="G473" s="26"/>
      <c r="H473" s="26"/>
      <c r="I473" s="26"/>
    </row>
    <row r="474" spans="1:9" x14ac:dyDescent="0.25">
      <c r="A474" s="26"/>
      <c r="B474" s="26"/>
      <c r="C474" s="26"/>
      <c r="D474" s="26"/>
      <c r="E474" s="26"/>
      <c r="F474" s="26"/>
      <c r="G474" s="26"/>
      <c r="H474" s="26"/>
      <c r="I474" s="26"/>
    </row>
    <row r="475" spans="1:9" x14ac:dyDescent="0.25">
      <c r="A475" s="26"/>
      <c r="B475" s="26"/>
      <c r="C475" s="26"/>
      <c r="D475" s="26"/>
      <c r="E475" s="26"/>
      <c r="F475" s="26"/>
      <c r="G475" s="26"/>
      <c r="H475" s="26"/>
      <c r="I475" s="26"/>
    </row>
    <row r="476" spans="1:9" x14ac:dyDescent="0.25">
      <c r="A476" s="26"/>
      <c r="B476" s="26"/>
      <c r="C476" s="26"/>
      <c r="D476" s="26"/>
      <c r="E476" s="26"/>
      <c r="F476" s="26"/>
      <c r="G476" s="26"/>
      <c r="H476" s="26"/>
      <c r="I476" s="26"/>
    </row>
    <row r="477" spans="1:9" x14ac:dyDescent="0.25">
      <c r="A477" s="26"/>
      <c r="B477" s="26"/>
      <c r="C477" s="26"/>
      <c r="D477" s="26"/>
      <c r="E477" s="26"/>
      <c r="F477" s="26"/>
      <c r="G477" s="26"/>
      <c r="H477" s="26"/>
      <c r="I477" s="26"/>
    </row>
    <row r="478" spans="1:9" x14ac:dyDescent="0.25">
      <c r="A478" s="26"/>
      <c r="B478" s="26"/>
      <c r="C478" s="26"/>
      <c r="D478" s="26"/>
      <c r="E478" s="26"/>
      <c r="F478" s="26"/>
      <c r="G478" s="26"/>
      <c r="H478" s="26"/>
      <c r="I478" s="26"/>
    </row>
    <row r="479" spans="1:9" x14ac:dyDescent="0.25">
      <c r="A479" s="26"/>
      <c r="B479" s="26"/>
      <c r="C479" s="26"/>
      <c r="D479" s="26"/>
      <c r="E479" s="26"/>
      <c r="F479" s="26"/>
      <c r="G479" s="26"/>
      <c r="H479" s="26"/>
      <c r="I479" s="26"/>
    </row>
    <row r="480" spans="1:9" x14ac:dyDescent="0.25">
      <c r="A480" s="26"/>
      <c r="B480" s="26"/>
      <c r="C480" s="26"/>
      <c r="D480" s="26"/>
      <c r="E480" s="26"/>
      <c r="F480" s="26"/>
      <c r="G480" s="26"/>
      <c r="H480" s="26"/>
      <c r="I480" s="26"/>
    </row>
    <row r="481" spans="1:9" x14ac:dyDescent="0.25">
      <c r="A481" s="26"/>
      <c r="B481" s="26"/>
      <c r="C481" s="26"/>
      <c r="D481" s="26"/>
      <c r="E481" s="26"/>
      <c r="F481" s="26"/>
      <c r="G481" s="26"/>
      <c r="H481" s="26"/>
      <c r="I481" s="26"/>
    </row>
    <row r="482" spans="1:9" x14ac:dyDescent="0.25">
      <c r="A482" s="26"/>
      <c r="B482" s="26"/>
      <c r="C482" s="26"/>
      <c r="D482" s="26"/>
      <c r="E482" s="26"/>
      <c r="F482" s="26"/>
      <c r="G482" s="26"/>
      <c r="H482" s="26"/>
      <c r="I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-0.249977111117893"/>
    <pageSetUpPr fitToPage="1"/>
  </sheetPr>
  <dimension ref="A1:J482"/>
  <sheetViews>
    <sheetView showGridLines="0" workbookViewId="0">
      <pane ySplit="4" topLeftCell="A5" activePane="bottomLeft" state="frozen"/>
      <selection pane="bottomLeft" activeCell="B15" sqref="B15"/>
    </sheetView>
  </sheetViews>
  <sheetFormatPr defaultRowHeight="15" x14ac:dyDescent="0.25"/>
  <cols>
    <col min="1" max="1" width="15" style="31" customWidth="1"/>
    <col min="2" max="2" width="45" style="31" customWidth="1"/>
    <col min="3" max="5" width="18" style="31" customWidth="1"/>
    <col min="6" max="6" width="16" style="31" customWidth="1"/>
    <col min="7" max="8" width="20" style="31" customWidth="1"/>
    <col min="9" max="9" width="22" style="31" customWidth="1"/>
    <col min="10" max="10" width="26" style="31" customWidth="1"/>
  </cols>
  <sheetData>
    <row r="1" spans="1:10" ht="23.25" x14ac:dyDescent="0.35">
      <c r="A1" s="111" t="s">
        <v>956</v>
      </c>
      <c r="B1" s="109"/>
      <c r="C1" s="109"/>
      <c r="D1" s="109"/>
      <c r="E1" s="109"/>
      <c r="F1" s="109"/>
      <c r="G1" s="109"/>
      <c r="H1" s="109"/>
    </row>
    <row r="2" spans="1:10" x14ac:dyDescent="0.25">
      <c r="A2" s="108" t="s">
        <v>957</v>
      </c>
      <c r="B2" s="109"/>
      <c r="C2" s="109"/>
      <c r="D2" s="109"/>
      <c r="E2" s="109"/>
      <c r="F2" s="109"/>
      <c r="G2" s="109"/>
      <c r="H2" s="109"/>
    </row>
    <row r="4" spans="1:10" x14ac:dyDescent="0.25">
      <c r="A4" s="33" t="s">
        <v>103</v>
      </c>
      <c r="B4" s="33" t="s">
        <v>95</v>
      </c>
      <c r="C4" s="33" t="s">
        <v>104</v>
      </c>
      <c r="D4" s="33" t="s">
        <v>958</v>
      </c>
      <c r="E4" s="33" t="s">
        <v>959</v>
      </c>
      <c r="F4" s="33" t="s">
        <v>960</v>
      </c>
      <c r="G4" s="33" t="s">
        <v>961</v>
      </c>
      <c r="H4" s="33" t="s">
        <v>962</v>
      </c>
      <c r="I4" s="33" t="s">
        <v>963</v>
      </c>
      <c r="J4" s="33" t="s">
        <v>947</v>
      </c>
    </row>
    <row r="5" spans="1:10" x14ac:dyDescent="0.25">
      <c r="A5" s="26">
        <v>1010010</v>
      </c>
      <c r="B5" s="26" t="s">
        <v>107</v>
      </c>
      <c r="C5" s="26">
        <v>0</v>
      </c>
      <c r="D5" s="38">
        <v>0</v>
      </c>
      <c r="E5" s="38">
        <v>0</v>
      </c>
      <c r="F5" s="38">
        <v>0</v>
      </c>
      <c r="G5" s="59">
        <v>0</v>
      </c>
      <c r="H5" s="38">
        <v>0</v>
      </c>
      <c r="I5" s="38" t="str">
        <f>IF(OR(H5="",'START HERE'!$F$8=0),"",H5/'START HERE'!$F$8)</f>
        <v/>
      </c>
      <c r="J5" s="64" t="str">
        <f t="shared" ref="J5:J68" si="0">IF(G5="","MISSING PHYSICAL",IF(H5&lt;0,"CHECK: NEGATIVE CONSUMPTION","OK"))</f>
        <v>OK</v>
      </c>
    </row>
    <row r="6" spans="1:10" x14ac:dyDescent="0.25">
      <c r="A6" s="26">
        <v>1010015</v>
      </c>
      <c r="B6" s="26" t="s">
        <v>107</v>
      </c>
      <c r="C6" s="26">
        <v>0</v>
      </c>
      <c r="D6" s="38">
        <v>0</v>
      </c>
      <c r="E6" s="38">
        <v>0</v>
      </c>
      <c r="F6" s="38">
        <v>0</v>
      </c>
      <c r="G6" s="59">
        <v>0</v>
      </c>
      <c r="H6" s="38">
        <v>0</v>
      </c>
      <c r="I6" s="38" t="str">
        <f>IF(OR(H6="",'START HERE'!$F$8=0),"",H6/'START HERE'!$F$8)</f>
        <v/>
      </c>
      <c r="J6" s="64" t="str">
        <f t="shared" si="0"/>
        <v>OK</v>
      </c>
    </row>
    <row r="7" spans="1:10" x14ac:dyDescent="0.25">
      <c r="A7" s="26">
        <v>1010030</v>
      </c>
      <c r="B7" s="26" t="s">
        <v>107</v>
      </c>
      <c r="C7" s="26">
        <v>0</v>
      </c>
      <c r="D7" s="38">
        <v>0</v>
      </c>
      <c r="E7" s="38">
        <v>0</v>
      </c>
      <c r="F7" s="38">
        <v>0</v>
      </c>
      <c r="G7" s="59">
        <v>0</v>
      </c>
      <c r="H7" s="38">
        <v>0</v>
      </c>
      <c r="I7" s="38" t="str">
        <f>IF(OR(H7="",'START HERE'!$F$8=0),"",H7/'START HERE'!$F$8)</f>
        <v/>
      </c>
      <c r="J7" s="64" t="str">
        <f t="shared" si="0"/>
        <v>OK</v>
      </c>
    </row>
    <row r="8" spans="1:10" x14ac:dyDescent="0.25">
      <c r="A8" s="26">
        <v>1010070</v>
      </c>
      <c r="B8" s="26" t="s">
        <v>107</v>
      </c>
      <c r="C8" s="26">
        <v>0</v>
      </c>
      <c r="D8" s="38">
        <v>0</v>
      </c>
      <c r="E8" s="38">
        <v>0</v>
      </c>
      <c r="F8" s="38">
        <v>0</v>
      </c>
      <c r="G8" s="59">
        <v>0</v>
      </c>
      <c r="H8" s="38">
        <v>0</v>
      </c>
      <c r="I8" s="38" t="str">
        <f>IF(OR(H8="",'START HERE'!$F$8=0),"",H8/'START HERE'!$F$8)</f>
        <v/>
      </c>
      <c r="J8" s="64" t="str">
        <f t="shared" si="0"/>
        <v>OK</v>
      </c>
    </row>
    <row r="9" spans="1:10" x14ac:dyDescent="0.25">
      <c r="A9" s="26">
        <v>1010105</v>
      </c>
      <c r="B9" s="26" t="s">
        <v>107</v>
      </c>
      <c r="C9" s="26">
        <v>0</v>
      </c>
      <c r="D9" s="38">
        <v>0</v>
      </c>
      <c r="E9" s="38">
        <v>0</v>
      </c>
      <c r="F9" s="38">
        <v>0</v>
      </c>
      <c r="G9" s="59">
        <v>0</v>
      </c>
      <c r="H9" s="38">
        <v>0</v>
      </c>
      <c r="I9" s="38" t="str">
        <f>IF(OR(H9="",'START HERE'!$F$8=0),"",H9/'START HERE'!$F$8)</f>
        <v/>
      </c>
      <c r="J9" s="64" t="str">
        <f t="shared" si="0"/>
        <v>OK</v>
      </c>
    </row>
    <row r="10" spans="1:10" x14ac:dyDescent="0.25">
      <c r="A10" s="26">
        <v>1010120</v>
      </c>
      <c r="B10" s="26" t="s">
        <v>107</v>
      </c>
      <c r="C10" s="26">
        <v>0</v>
      </c>
      <c r="D10" s="38">
        <v>0</v>
      </c>
      <c r="E10" s="38">
        <v>0</v>
      </c>
      <c r="F10" s="38">
        <v>0</v>
      </c>
      <c r="G10" s="59">
        <v>0</v>
      </c>
      <c r="H10" s="38">
        <v>0</v>
      </c>
      <c r="I10" s="38" t="str">
        <f>IF(OR(H10="",'START HERE'!$F$8=0),"",H10/'START HERE'!$F$8)</f>
        <v/>
      </c>
      <c r="J10" s="64" t="str">
        <f t="shared" si="0"/>
        <v>OK</v>
      </c>
    </row>
    <row r="11" spans="1:10" x14ac:dyDescent="0.25">
      <c r="A11" s="26">
        <v>1010130</v>
      </c>
      <c r="B11" s="26" t="s">
        <v>107</v>
      </c>
      <c r="C11" s="26">
        <v>0</v>
      </c>
      <c r="D11" s="38">
        <v>0</v>
      </c>
      <c r="E11" s="38">
        <v>0</v>
      </c>
      <c r="F11" s="38">
        <v>0</v>
      </c>
      <c r="G11" s="59">
        <v>0</v>
      </c>
      <c r="H11" s="38">
        <v>0</v>
      </c>
      <c r="I11" s="38" t="str">
        <f>IF(OR(H11="",'START HERE'!$F$8=0),"",H11/'START HERE'!$F$8)</f>
        <v/>
      </c>
      <c r="J11" s="64" t="str">
        <f t="shared" si="0"/>
        <v>OK</v>
      </c>
    </row>
    <row r="12" spans="1:10" x14ac:dyDescent="0.25">
      <c r="A12" s="26">
        <v>1010140</v>
      </c>
      <c r="B12" s="26" t="s">
        <v>107</v>
      </c>
      <c r="C12" s="26">
        <v>0</v>
      </c>
      <c r="D12" s="38">
        <v>0</v>
      </c>
      <c r="E12" s="38">
        <v>0</v>
      </c>
      <c r="F12" s="38">
        <v>0</v>
      </c>
      <c r="G12" s="59">
        <v>0</v>
      </c>
      <c r="H12" s="38">
        <v>0</v>
      </c>
      <c r="I12" s="38" t="str">
        <f>IF(OR(H12="",'START HERE'!$F$8=0),"",H12/'START HERE'!$F$8)</f>
        <v/>
      </c>
      <c r="J12" s="64" t="str">
        <f t="shared" si="0"/>
        <v>OK</v>
      </c>
    </row>
    <row r="13" spans="1:10" x14ac:dyDescent="0.25">
      <c r="A13" s="26">
        <v>1010170</v>
      </c>
      <c r="B13" s="26" t="s">
        <v>107</v>
      </c>
      <c r="C13" s="26">
        <v>0</v>
      </c>
      <c r="D13" s="38">
        <v>0</v>
      </c>
      <c r="E13" s="38">
        <v>0</v>
      </c>
      <c r="F13" s="38">
        <v>0</v>
      </c>
      <c r="G13" s="59">
        <v>0</v>
      </c>
      <c r="H13" s="38">
        <v>0</v>
      </c>
      <c r="I13" s="38" t="str">
        <f>IF(OR(H13="",'START HERE'!$F$8=0),"",H13/'START HERE'!$F$8)</f>
        <v/>
      </c>
      <c r="J13" s="64" t="str">
        <f t="shared" si="0"/>
        <v>OK</v>
      </c>
    </row>
    <row r="14" spans="1:10" x14ac:dyDescent="0.25">
      <c r="A14" s="26">
        <v>1030010</v>
      </c>
      <c r="B14" s="26" t="s">
        <v>124</v>
      </c>
      <c r="C14" s="26">
        <v>0</v>
      </c>
      <c r="D14" s="38">
        <v>0</v>
      </c>
      <c r="E14" s="38">
        <v>0</v>
      </c>
      <c r="F14" s="38">
        <v>0</v>
      </c>
      <c r="G14" s="59">
        <v>0</v>
      </c>
      <c r="H14" s="38">
        <v>0</v>
      </c>
      <c r="I14" s="38" t="str">
        <f>IF(OR(H14="",'START HERE'!$F$8=0),"",H14/'START HERE'!$F$8)</f>
        <v/>
      </c>
      <c r="J14" s="64" t="str">
        <f t="shared" si="0"/>
        <v>OK</v>
      </c>
    </row>
    <row r="15" spans="1:10" x14ac:dyDescent="0.25">
      <c r="A15" s="26">
        <v>1030040</v>
      </c>
      <c r="B15" s="26" t="s">
        <v>124</v>
      </c>
      <c r="C15" s="26">
        <v>0</v>
      </c>
      <c r="D15" s="38">
        <v>0</v>
      </c>
      <c r="E15" s="38">
        <v>0</v>
      </c>
      <c r="F15" s="38">
        <v>0</v>
      </c>
      <c r="G15" s="59">
        <v>0</v>
      </c>
      <c r="H15" s="38">
        <v>0</v>
      </c>
      <c r="I15" s="38" t="str">
        <f>IF(OR(H15="",'START HERE'!$F$8=0),"",H15/'START HERE'!$F$8)</f>
        <v/>
      </c>
      <c r="J15" s="64" t="str">
        <f t="shared" si="0"/>
        <v>OK</v>
      </c>
    </row>
    <row r="16" spans="1:10" x14ac:dyDescent="0.25">
      <c r="A16" s="26">
        <v>1030050</v>
      </c>
      <c r="B16" s="26" t="s">
        <v>124</v>
      </c>
      <c r="C16" s="26">
        <v>0</v>
      </c>
      <c r="D16" s="38">
        <v>0</v>
      </c>
      <c r="E16" s="38">
        <v>0</v>
      </c>
      <c r="F16" s="38">
        <v>0</v>
      </c>
      <c r="G16" s="59">
        <v>0</v>
      </c>
      <c r="H16" s="38">
        <v>0</v>
      </c>
      <c r="I16" s="38" t="str">
        <f>IF(OR(H16="",'START HERE'!$F$8=0),"",H16/'START HERE'!$F$8)</f>
        <v/>
      </c>
      <c r="J16" s="64" t="str">
        <f t="shared" si="0"/>
        <v>OK</v>
      </c>
    </row>
    <row r="17" spans="1:10" x14ac:dyDescent="0.25">
      <c r="A17" s="26">
        <v>1050020</v>
      </c>
      <c r="B17" s="26" t="s">
        <v>129</v>
      </c>
      <c r="C17" s="26">
        <v>0</v>
      </c>
      <c r="D17" s="38">
        <v>0</v>
      </c>
      <c r="E17" s="38">
        <v>0</v>
      </c>
      <c r="F17" s="38">
        <v>0</v>
      </c>
      <c r="G17" s="59">
        <v>0</v>
      </c>
      <c r="H17" s="38">
        <v>0</v>
      </c>
      <c r="I17" s="38" t="str">
        <f>IF(OR(H17="",'START HERE'!$F$8=0),"",H17/'START HERE'!$F$8)</f>
        <v/>
      </c>
      <c r="J17" s="64" t="str">
        <f t="shared" si="0"/>
        <v>OK</v>
      </c>
    </row>
    <row r="18" spans="1:10" x14ac:dyDescent="0.25">
      <c r="A18" s="26">
        <v>1050030</v>
      </c>
      <c r="B18" s="26" t="s">
        <v>129</v>
      </c>
      <c r="C18" s="26">
        <v>0</v>
      </c>
      <c r="D18" s="38">
        <v>0</v>
      </c>
      <c r="E18" s="38">
        <v>0</v>
      </c>
      <c r="F18" s="38">
        <v>0</v>
      </c>
      <c r="G18" s="59">
        <v>0</v>
      </c>
      <c r="H18" s="38">
        <v>0</v>
      </c>
      <c r="I18" s="38" t="str">
        <f>IF(OR(H18="",'START HERE'!$F$8=0),"",H18/'START HERE'!$F$8)</f>
        <v/>
      </c>
      <c r="J18" s="64" t="str">
        <f t="shared" si="0"/>
        <v>OK</v>
      </c>
    </row>
    <row r="19" spans="1:10" x14ac:dyDescent="0.25">
      <c r="A19" s="26">
        <v>1050050</v>
      </c>
      <c r="B19" s="26" t="s">
        <v>129</v>
      </c>
      <c r="C19" s="26">
        <v>0</v>
      </c>
      <c r="D19" s="38">
        <v>0</v>
      </c>
      <c r="E19" s="38">
        <v>0</v>
      </c>
      <c r="F19" s="38">
        <v>0</v>
      </c>
      <c r="G19" s="59">
        <v>0</v>
      </c>
      <c r="H19" s="38">
        <v>0</v>
      </c>
      <c r="I19" s="38" t="str">
        <f>IF(OR(H19="",'START HERE'!$F$8=0),"",H19/'START HERE'!$F$8)</f>
        <v/>
      </c>
      <c r="J19" s="64" t="str">
        <f t="shared" si="0"/>
        <v>OK</v>
      </c>
    </row>
    <row r="20" spans="1:10" x14ac:dyDescent="0.25">
      <c r="A20" s="26">
        <v>1050100</v>
      </c>
      <c r="B20" s="26" t="s">
        <v>129</v>
      </c>
      <c r="C20" s="26">
        <v>0</v>
      </c>
      <c r="D20" s="38">
        <v>0</v>
      </c>
      <c r="E20" s="38">
        <v>0</v>
      </c>
      <c r="F20" s="38">
        <v>0</v>
      </c>
      <c r="G20" s="59">
        <v>0</v>
      </c>
      <c r="H20" s="38">
        <v>0</v>
      </c>
      <c r="I20" s="38" t="str">
        <f>IF(OR(H20="",'START HERE'!$F$8=0),"",H20/'START HERE'!$F$8)</f>
        <v/>
      </c>
      <c r="J20" s="64" t="str">
        <f t="shared" si="0"/>
        <v>OK</v>
      </c>
    </row>
    <row r="21" spans="1:10" x14ac:dyDescent="0.25">
      <c r="A21" s="26">
        <v>1050120</v>
      </c>
      <c r="B21" s="26" t="s">
        <v>129</v>
      </c>
      <c r="C21" s="26">
        <v>0</v>
      </c>
      <c r="D21" s="38">
        <v>0</v>
      </c>
      <c r="E21" s="38">
        <v>0</v>
      </c>
      <c r="F21" s="38">
        <v>0</v>
      </c>
      <c r="G21" s="59">
        <v>0</v>
      </c>
      <c r="H21" s="38">
        <v>0</v>
      </c>
      <c r="I21" s="38" t="str">
        <f>IF(OR(H21="",'START HERE'!$F$8=0),"",H21/'START HERE'!$F$8)</f>
        <v/>
      </c>
      <c r="J21" s="64" t="str">
        <f t="shared" si="0"/>
        <v>OK</v>
      </c>
    </row>
    <row r="22" spans="1:10" x14ac:dyDescent="0.25">
      <c r="A22" s="26">
        <v>1050140</v>
      </c>
      <c r="B22" s="26" t="s">
        <v>129</v>
      </c>
      <c r="C22" s="26">
        <v>0</v>
      </c>
      <c r="D22" s="38">
        <v>0</v>
      </c>
      <c r="E22" s="38">
        <v>0</v>
      </c>
      <c r="F22" s="38">
        <v>0</v>
      </c>
      <c r="G22" s="59">
        <v>0</v>
      </c>
      <c r="H22" s="38">
        <v>0</v>
      </c>
      <c r="I22" s="38" t="str">
        <f>IF(OR(H22="",'START HERE'!$F$8=0),"",H22/'START HERE'!$F$8)</f>
        <v/>
      </c>
      <c r="J22" s="64" t="str">
        <f t="shared" si="0"/>
        <v>OK</v>
      </c>
    </row>
    <row r="23" spans="1:10" x14ac:dyDescent="0.25">
      <c r="A23" s="26">
        <v>1050170</v>
      </c>
      <c r="B23" s="26" t="s">
        <v>129</v>
      </c>
      <c r="C23" s="26">
        <v>0</v>
      </c>
      <c r="D23" s="38">
        <v>0</v>
      </c>
      <c r="E23" s="38">
        <v>0</v>
      </c>
      <c r="F23" s="38">
        <v>0</v>
      </c>
      <c r="G23" s="59">
        <v>0</v>
      </c>
      <c r="H23" s="38">
        <v>0</v>
      </c>
      <c r="I23" s="38" t="str">
        <f>IF(OR(H23="",'START HERE'!$F$8=0),"",H23/'START HERE'!$F$8)</f>
        <v/>
      </c>
      <c r="J23" s="64" t="str">
        <f t="shared" si="0"/>
        <v>OK</v>
      </c>
    </row>
    <row r="24" spans="1:10" x14ac:dyDescent="0.25">
      <c r="A24" s="26">
        <v>1050190</v>
      </c>
      <c r="B24" s="26" t="s">
        <v>129</v>
      </c>
      <c r="C24" s="26">
        <v>0</v>
      </c>
      <c r="D24" s="38">
        <v>0</v>
      </c>
      <c r="E24" s="38">
        <v>0</v>
      </c>
      <c r="F24" s="38">
        <v>0</v>
      </c>
      <c r="G24" s="59">
        <v>0</v>
      </c>
      <c r="H24" s="38">
        <v>0</v>
      </c>
      <c r="I24" s="38" t="str">
        <f>IF(OR(H24="",'START HERE'!$F$8=0),"",H24/'START HERE'!$F$8)</f>
        <v/>
      </c>
      <c r="J24" s="64" t="str">
        <f t="shared" si="0"/>
        <v>OK</v>
      </c>
    </row>
    <row r="25" spans="1:10" x14ac:dyDescent="0.25">
      <c r="A25" s="26">
        <v>1060010</v>
      </c>
      <c r="B25" s="26" t="s">
        <v>146</v>
      </c>
      <c r="C25" s="26">
        <v>0</v>
      </c>
      <c r="D25" s="38">
        <v>0</v>
      </c>
      <c r="E25" s="38">
        <v>0</v>
      </c>
      <c r="F25" s="38">
        <v>0</v>
      </c>
      <c r="G25" s="59">
        <v>0</v>
      </c>
      <c r="H25" s="38">
        <v>0</v>
      </c>
      <c r="I25" s="38" t="str">
        <f>IF(OR(H25="",'START HERE'!$F$8=0),"",H25/'START HERE'!$F$8)</f>
        <v/>
      </c>
      <c r="J25" s="64" t="str">
        <f t="shared" si="0"/>
        <v>OK</v>
      </c>
    </row>
    <row r="26" spans="1:10" x14ac:dyDescent="0.25">
      <c r="A26" s="26">
        <v>1060020</v>
      </c>
      <c r="B26" s="26" t="s">
        <v>146</v>
      </c>
      <c r="C26" s="26">
        <v>0</v>
      </c>
      <c r="D26" s="38">
        <v>0</v>
      </c>
      <c r="E26" s="38">
        <v>0</v>
      </c>
      <c r="F26" s="38">
        <v>0</v>
      </c>
      <c r="G26" s="59">
        <v>0</v>
      </c>
      <c r="H26" s="38">
        <v>0</v>
      </c>
      <c r="I26" s="38" t="str">
        <f>IF(OR(H26="",'START HERE'!$F$8=0),"",H26/'START HERE'!$F$8)</f>
        <v/>
      </c>
      <c r="J26" s="64" t="str">
        <f t="shared" si="0"/>
        <v>OK</v>
      </c>
    </row>
    <row r="27" spans="1:10" x14ac:dyDescent="0.25">
      <c r="A27" s="26">
        <v>1060030</v>
      </c>
      <c r="B27" s="26" t="s">
        <v>146</v>
      </c>
      <c r="C27" s="26">
        <v>0</v>
      </c>
      <c r="D27" s="38">
        <v>0</v>
      </c>
      <c r="E27" s="38">
        <v>0</v>
      </c>
      <c r="F27" s="38">
        <v>0</v>
      </c>
      <c r="G27" s="59">
        <v>0</v>
      </c>
      <c r="H27" s="38">
        <v>0</v>
      </c>
      <c r="I27" s="38" t="str">
        <f>IF(OR(H27="",'START HERE'!$F$8=0),"",H27/'START HERE'!$F$8)</f>
        <v/>
      </c>
      <c r="J27" s="64" t="str">
        <f t="shared" si="0"/>
        <v>OK</v>
      </c>
    </row>
    <row r="28" spans="1:10" x14ac:dyDescent="0.25">
      <c r="A28" s="26">
        <v>1060041</v>
      </c>
      <c r="B28" s="26" t="s">
        <v>146</v>
      </c>
      <c r="C28" s="26">
        <v>0</v>
      </c>
      <c r="D28" s="38">
        <v>0</v>
      </c>
      <c r="E28" s="38">
        <v>0</v>
      </c>
      <c r="F28" s="38">
        <v>0</v>
      </c>
      <c r="G28" s="59">
        <v>0</v>
      </c>
      <c r="H28" s="38">
        <v>0</v>
      </c>
      <c r="I28" s="38" t="str">
        <f>IF(OR(H28="",'START HERE'!$F$8=0),"",H28/'START HERE'!$F$8)</f>
        <v/>
      </c>
      <c r="J28" s="64" t="str">
        <f t="shared" si="0"/>
        <v>OK</v>
      </c>
    </row>
    <row r="29" spans="1:10" x14ac:dyDescent="0.25">
      <c r="A29" s="26">
        <v>1060050</v>
      </c>
      <c r="B29" s="26" t="s">
        <v>146</v>
      </c>
      <c r="C29" s="26">
        <v>0</v>
      </c>
      <c r="D29" s="38">
        <v>0</v>
      </c>
      <c r="E29" s="38">
        <v>0</v>
      </c>
      <c r="F29" s="38">
        <v>0</v>
      </c>
      <c r="G29" s="59">
        <v>0</v>
      </c>
      <c r="H29" s="38">
        <v>0</v>
      </c>
      <c r="I29" s="38" t="str">
        <f>IF(OR(H29="",'START HERE'!$F$8=0),"",H29/'START HERE'!$F$8)</f>
        <v/>
      </c>
      <c r="J29" s="64" t="str">
        <f t="shared" si="0"/>
        <v>OK</v>
      </c>
    </row>
    <row r="30" spans="1:10" x14ac:dyDescent="0.25">
      <c r="A30" s="26">
        <v>1060070</v>
      </c>
      <c r="B30" s="26" t="s">
        <v>146</v>
      </c>
      <c r="C30" s="26">
        <v>0</v>
      </c>
      <c r="D30" s="38">
        <v>0</v>
      </c>
      <c r="E30" s="38">
        <v>0</v>
      </c>
      <c r="F30" s="38">
        <v>0</v>
      </c>
      <c r="G30" s="59">
        <v>0</v>
      </c>
      <c r="H30" s="38">
        <v>0</v>
      </c>
      <c r="I30" s="38" t="str">
        <f>IF(OR(H30="",'START HERE'!$F$8=0),"",H30/'START HERE'!$F$8)</f>
        <v/>
      </c>
      <c r="J30" s="64" t="str">
        <f t="shared" si="0"/>
        <v>OK</v>
      </c>
    </row>
    <row r="31" spans="1:10" x14ac:dyDescent="0.25">
      <c r="A31" s="26">
        <v>1060080</v>
      </c>
      <c r="B31" s="26" t="s">
        <v>146</v>
      </c>
      <c r="C31" s="26">
        <v>0</v>
      </c>
      <c r="D31" s="38">
        <v>0</v>
      </c>
      <c r="E31" s="38">
        <v>0</v>
      </c>
      <c r="F31" s="38">
        <v>0</v>
      </c>
      <c r="G31" s="59">
        <v>0</v>
      </c>
      <c r="H31" s="38">
        <v>0</v>
      </c>
      <c r="I31" s="38" t="str">
        <f>IF(OR(H31="",'START HERE'!$F$8=0),"",H31/'START HERE'!$F$8)</f>
        <v/>
      </c>
      <c r="J31" s="64" t="str">
        <f t="shared" si="0"/>
        <v>OK</v>
      </c>
    </row>
    <row r="32" spans="1:10" x14ac:dyDescent="0.25">
      <c r="A32" s="26">
        <v>1060090</v>
      </c>
      <c r="B32" s="26" t="s">
        <v>146</v>
      </c>
      <c r="C32" s="26">
        <v>0</v>
      </c>
      <c r="D32" s="38">
        <v>0</v>
      </c>
      <c r="E32" s="38">
        <v>0</v>
      </c>
      <c r="F32" s="38">
        <v>0</v>
      </c>
      <c r="G32" s="59">
        <v>0</v>
      </c>
      <c r="H32" s="38">
        <v>0</v>
      </c>
      <c r="I32" s="38" t="str">
        <f>IF(OR(H32="",'START HERE'!$F$8=0),"",H32/'START HERE'!$F$8)</f>
        <v/>
      </c>
      <c r="J32" s="64" t="str">
        <f t="shared" si="0"/>
        <v>OK</v>
      </c>
    </row>
    <row r="33" spans="1:10" x14ac:dyDescent="0.25">
      <c r="A33" s="26">
        <v>1080010</v>
      </c>
      <c r="B33" s="26" t="s">
        <v>163</v>
      </c>
      <c r="C33" s="26">
        <v>0</v>
      </c>
      <c r="D33" s="38">
        <v>0</v>
      </c>
      <c r="E33" s="38">
        <v>0</v>
      </c>
      <c r="F33" s="38">
        <v>0</v>
      </c>
      <c r="G33" s="59">
        <v>0</v>
      </c>
      <c r="H33" s="38">
        <v>0</v>
      </c>
      <c r="I33" s="38" t="str">
        <f>IF(OR(H33="",'START HERE'!$F$8=0),"",H33/'START HERE'!$F$8)</f>
        <v/>
      </c>
      <c r="J33" s="64" t="str">
        <f t="shared" si="0"/>
        <v>OK</v>
      </c>
    </row>
    <row r="34" spans="1:10" x14ac:dyDescent="0.25">
      <c r="A34" s="26">
        <v>1510020</v>
      </c>
      <c r="B34" s="26" t="s">
        <v>166</v>
      </c>
      <c r="C34" s="26">
        <v>0</v>
      </c>
      <c r="D34" s="38">
        <v>0</v>
      </c>
      <c r="E34" s="38">
        <v>0</v>
      </c>
      <c r="F34" s="38">
        <v>0</v>
      </c>
      <c r="G34" s="59">
        <v>0</v>
      </c>
      <c r="H34" s="38">
        <v>0</v>
      </c>
      <c r="I34" s="38" t="str">
        <f>IF(OR(H34="",'START HERE'!$F$8=0),"",H34/'START HERE'!$F$8)</f>
        <v/>
      </c>
      <c r="J34" s="64" t="str">
        <f t="shared" si="0"/>
        <v>OK</v>
      </c>
    </row>
    <row r="35" spans="1:10" x14ac:dyDescent="0.25">
      <c r="A35" s="26">
        <v>1520040</v>
      </c>
      <c r="B35" s="26" t="s">
        <v>169</v>
      </c>
      <c r="C35" s="26">
        <v>0</v>
      </c>
      <c r="D35" s="38">
        <v>0</v>
      </c>
      <c r="E35" s="38">
        <v>0</v>
      </c>
      <c r="F35" s="38">
        <v>0</v>
      </c>
      <c r="G35" s="59">
        <v>0</v>
      </c>
      <c r="H35" s="38">
        <v>0</v>
      </c>
      <c r="I35" s="38" t="str">
        <f>IF(OR(H35="",'START HERE'!$F$8=0),"",H35/'START HERE'!$F$8)</f>
        <v/>
      </c>
      <c r="J35" s="64" t="str">
        <f t="shared" si="0"/>
        <v>OK</v>
      </c>
    </row>
    <row r="36" spans="1:10" x14ac:dyDescent="0.25">
      <c r="A36" s="26">
        <v>1520050</v>
      </c>
      <c r="B36" s="26" t="s">
        <v>169</v>
      </c>
      <c r="C36" s="26">
        <v>0</v>
      </c>
      <c r="D36" s="38">
        <v>0</v>
      </c>
      <c r="E36" s="38">
        <v>0</v>
      </c>
      <c r="F36" s="38">
        <v>0</v>
      </c>
      <c r="G36" s="59">
        <v>0</v>
      </c>
      <c r="H36" s="38">
        <v>0</v>
      </c>
      <c r="I36" s="38" t="str">
        <f>IF(OR(H36="",'START HERE'!$F$8=0),"",H36/'START HERE'!$F$8)</f>
        <v/>
      </c>
      <c r="J36" s="64" t="str">
        <f t="shared" si="0"/>
        <v>OK</v>
      </c>
    </row>
    <row r="37" spans="1:10" x14ac:dyDescent="0.25">
      <c r="A37" s="26">
        <v>1530020</v>
      </c>
      <c r="B37" s="26" t="s">
        <v>174</v>
      </c>
      <c r="C37" s="26">
        <v>0</v>
      </c>
      <c r="D37" s="38">
        <v>0</v>
      </c>
      <c r="E37" s="38">
        <v>0</v>
      </c>
      <c r="F37" s="38">
        <v>0</v>
      </c>
      <c r="G37" s="59">
        <v>0</v>
      </c>
      <c r="H37" s="38">
        <v>0</v>
      </c>
      <c r="I37" s="38" t="str">
        <f>IF(OR(H37="",'START HERE'!$F$8=0),"",H37/'START HERE'!$F$8)</f>
        <v/>
      </c>
      <c r="J37" s="64" t="str">
        <f t="shared" si="0"/>
        <v>OK</v>
      </c>
    </row>
    <row r="38" spans="1:10" x14ac:dyDescent="0.25">
      <c r="A38" s="26">
        <v>1530030</v>
      </c>
      <c r="B38" s="26" t="s">
        <v>174</v>
      </c>
      <c r="C38" s="26">
        <v>0</v>
      </c>
      <c r="D38" s="38">
        <v>0</v>
      </c>
      <c r="E38" s="38">
        <v>0</v>
      </c>
      <c r="F38" s="38">
        <v>0</v>
      </c>
      <c r="G38" s="59">
        <v>0</v>
      </c>
      <c r="H38" s="38">
        <v>0</v>
      </c>
      <c r="I38" s="38" t="str">
        <f>IF(OR(H38="",'START HERE'!$F$8=0),"",H38/'START HERE'!$F$8)</f>
        <v/>
      </c>
      <c r="J38" s="64" t="str">
        <f t="shared" si="0"/>
        <v>OK</v>
      </c>
    </row>
    <row r="39" spans="1:10" x14ac:dyDescent="0.25">
      <c r="A39" s="26">
        <v>1530040</v>
      </c>
      <c r="B39" s="26" t="s">
        <v>174</v>
      </c>
      <c r="C39" s="26">
        <v>0</v>
      </c>
      <c r="D39" s="38">
        <v>0</v>
      </c>
      <c r="E39" s="38">
        <v>0</v>
      </c>
      <c r="F39" s="38">
        <v>0</v>
      </c>
      <c r="G39" s="59">
        <v>0</v>
      </c>
      <c r="H39" s="38">
        <v>0</v>
      </c>
      <c r="I39" s="38" t="str">
        <f>IF(OR(H39="",'START HERE'!$F$8=0),"",H39/'START HERE'!$F$8)</f>
        <v/>
      </c>
      <c r="J39" s="64" t="str">
        <f t="shared" si="0"/>
        <v>OK</v>
      </c>
    </row>
    <row r="40" spans="1:10" x14ac:dyDescent="0.25">
      <c r="A40" s="26">
        <v>1540010</v>
      </c>
      <c r="B40" s="26" t="s">
        <v>181</v>
      </c>
      <c r="C40" s="26">
        <v>0</v>
      </c>
      <c r="D40" s="38">
        <v>0</v>
      </c>
      <c r="E40" s="38">
        <v>0</v>
      </c>
      <c r="F40" s="38">
        <v>0</v>
      </c>
      <c r="G40" s="59">
        <v>0</v>
      </c>
      <c r="H40" s="38">
        <v>0</v>
      </c>
      <c r="I40" s="38" t="str">
        <f>IF(OR(H40="",'START HERE'!$F$8=0),"",H40/'START HERE'!$F$8)</f>
        <v/>
      </c>
      <c r="J40" s="64" t="str">
        <f t="shared" si="0"/>
        <v>OK</v>
      </c>
    </row>
    <row r="41" spans="1:10" x14ac:dyDescent="0.25">
      <c r="A41" s="26">
        <v>15601043</v>
      </c>
      <c r="B41" s="26" t="s">
        <v>183</v>
      </c>
      <c r="C41" s="26">
        <v>0</v>
      </c>
      <c r="D41" s="38">
        <v>0</v>
      </c>
      <c r="E41" s="38">
        <v>0</v>
      </c>
      <c r="F41" s="38">
        <v>0</v>
      </c>
      <c r="G41" s="59">
        <v>0</v>
      </c>
      <c r="H41" s="38">
        <v>0</v>
      </c>
      <c r="I41" s="38" t="str">
        <f>IF(OR(H41="",'START HERE'!$F$8=0),"",H41/'START HERE'!$F$8)</f>
        <v/>
      </c>
      <c r="J41" s="64" t="str">
        <f t="shared" si="0"/>
        <v>OK</v>
      </c>
    </row>
    <row r="42" spans="1:10" x14ac:dyDescent="0.25">
      <c r="A42" s="26">
        <v>1560113</v>
      </c>
      <c r="B42" s="26" t="s">
        <v>183</v>
      </c>
      <c r="C42" s="26">
        <v>0</v>
      </c>
      <c r="D42" s="38">
        <v>0</v>
      </c>
      <c r="E42" s="38">
        <v>0</v>
      </c>
      <c r="F42" s="38">
        <v>0</v>
      </c>
      <c r="G42" s="59">
        <v>0</v>
      </c>
      <c r="H42" s="38">
        <v>0</v>
      </c>
      <c r="I42" s="38" t="str">
        <f>IF(OR(H42="",'START HERE'!$F$8=0),"",H42/'START HERE'!$F$8)</f>
        <v/>
      </c>
      <c r="J42" s="64" t="str">
        <f t="shared" si="0"/>
        <v>OK</v>
      </c>
    </row>
    <row r="43" spans="1:10" x14ac:dyDescent="0.25">
      <c r="A43" s="26">
        <v>1560146</v>
      </c>
      <c r="B43" s="26" t="s">
        <v>183</v>
      </c>
      <c r="C43" s="26">
        <v>0</v>
      </c>
      <c r="D43" s="38">
        <v>0</v>
      </c>
      <c r="E43" s="38">
        <v>0</v>
      </c>
      <c r="F43" s="38">
        <v>0</v>
      </c>
      <c r="G43" s="59">
        <v>0</v>
      </c>
      <c r="H43" s="38">
        <v>0</v>
      </c>
      <c r="I43" s="38" t="str">
        <f>IF(OR(H43="",'START HERE'!$F$8=0),"",H43/'START HERE'!$F$8)</f>
        <v/>
      </c>
      <c r="J43" s="64" t="str">
        <f t="shared" si="0"/>
        <v>OK</v>
      </c>
    </row>
    <row r="44" spans="1:10" x14ac:dyDescent="0.25">
      <c r="A44" s="26">
        <v>1605050</v>
      </c>
      <c r="B44" s="26" t="s">
        <v>189</v>
      </c>
      <c r="C44" s="26">
        <v>0</v>
      </c>
      <c r="D44" s="38">
        <v>0</v>
      </c>
      <c r="E44" s="38">
        <v>0</v>
      </c>
      <c r="F44" s="38">
        <v>0</v>
      </c>
      <c r="G44" s="59">
        <v>0</v>
      </c>
      <c r="H44" s="38">
        <v>0</v>
      </c>
      <c r="I44" s="38" t="str">
        <f>IF(OR(H44="",'START HERE'!$F$8=0),"",H44/'START HERE'!$F$8)</f>
        <v/>
      </c>
      <c r="J44" s="64" t="str">
        <f t="shared" si="0"/>
        <v>OK</v>
      </c>
    </row>
    <row r="45" spans="1:10" x14ac:dyDescent="0.25">
      <c r="A45" s="26">
        <v>1605088</v>
      </c>
      <c r="B45" s="26" t="s">
        <v>193</v>
      </c>
      <c r="C45" s="26">
        <v>0</v>
      </c>
      <c r="D45" s="38">
        <v>0</v>
      </c>
      <c r="E45" s="38">
        <v>0</v>
      </c>
      <c r="F45" s="38">
        <v>0</v>
      </c>
      <c r="G45" s="59">
        <v>0</v>
      </c>
      <c r="H45" s="38">
        <v>0</v>
      </c>
      <c r="I45" s="38" t="str">
        <f>IF(OR(H45="",'START HERE'!$F$8=0),"",H45/'START HERE'!$F$8)</f>
        <v/>
      </c>
      <c r="J45" s="64" t="str">
        <f t="shared" si="0"/>
        <v>OK</v>
      </c>
    </row>
    <row r="46" spans="1:10" x14ac:dyDescent="0.25">
      <c r="A46" s="26">
        <v>1615607</v>
      </c>
      <c r="B46" s="26" t="s">
        <v>129</v>
      </c>
      <c r="C46" s="26">
        <v>0</v>
      </c>
      <c r="D46" s="38">
        <v>0</v>
      </c>
      <c r="E46" s="38">
        <v>0</v>
      </c>
      <c r="F46" s="38">
        <v>0</v>
      </c>
      <c r="G46" s="59">
        <v>0</v>
      </c>
      <c r="H46" s="38">
        <v>0</v>
      </c>
      <c r="I46" s="38" t="str">
        <f>IF(OR(H46="",'START HERE'!$F$8=0),"",H46/'START HERE'!$F$8)</f>
        <v/>
      </c>
      <c r="J46" s="64" t="str">
        <f t="shared" si="0"/>
        <v>OK</v>
      </c>
    </row>
    <row r="47" spans="1:10" x14ac:dyDescent="0.25">
      <c r="A47" s="26">
        <v>2010010</v>
      </c>
      <c r="B47" s="26" t="s">
        <v>197</v>
      </c>
      <c r="C47" s="26">
        <v>0</v>
      </c>
      <c r="D47" s="38">
        <v>0</v>
      </c>
      <c r="E47" s="38">
        <v>0</v>
      </c>
      <c r="F47" s="38">
        <v>0</v>
      </c>
      <c r="G47" s="59">
        <v>0</v>
      </c>
      <c r="H47" s="38">
        <v>0</v>
      </c>
      <c r="I47" s="38" t="str">
        <f>IF(OR(H47="",'START HERE'!$F$8=0),"",H47/'START HERE'!$F$8)</f>
        <v/>
      </c>
      <c r="J47" s="64" t="str">
        <f t="shared" si="0"/>
        <v>OK</v>
      </c>
    </row>
    <row r="48" spans="1:10" x14ac:dyDescent="0.25">
      <c r="A48" s="26">
        <v>2010040</v>
      </c>
      <c r="B48" s="26" t="s">
        <v>197</v>
      </c>
      <c r="C48" s="26">
        <v>0</v>
      </c>
      <c r="D48" s="38">
        <v>0</v>
      </c>
      <c r="E48" s="38">
        <v>0</v>
      </c>
      <c r="F48" s="38">
        <v>0</v>
      </c>
      <c r="G48" s="59">
        <v>0</v>
      </c>
      <c r="H48" s="38">
        <v>0</v>
      </c>
      <c r="I48" s="38" t="str">
        <f>IF(OR(H48="",'START HERE'!$F$8=0),"",H48/'START HERE'!$F$8)</f>
        <v/>
      </c>
      <c r="J48" s="64" t="str">
        <f t="shared" si="0"/>
        <v>OK</v>
      </c>
    </row>
    <row r="49" spans="1:10" x14ac:dyDescent="0.25">
      <c r="A49" s="26">
        <v>2010060</v>
      </c>
      <c r="B49" s="26" t="s">
        <v>197</v>
      </c>
      <c r="C49" s="26">
        <v>0</v>
      </c>
      <c r="D49" s="38">
        <v>0</v>
      </c>
      <c r="E49" s="38">
        <v>0</v>
      </c>
      <c r="F49" s="38">
        <v>0</v>
      </c>
      <c r="G49" s="59">
        <v>0</v>
      </c>
      <c r="H49" s="38">
        <v>0</v>
      </c>
      <c r="I49" s="38" t="str">
        <f>IF(OR(H49="",'START HERE'!$F$8=0),"",H49/'START HERE'!$F$8)</f>
        <v/>
      </c>
      <c r="J49" s="64" t="str">
        <f t="shared" si="0"/>
        <v>OK</v>
      </c>
    </row>
    <row r="50" spans="1:10" x14ac:dyDescent="0.25">
      <c r="A50" s="26">
        <v>2030060</v>
      </c>
      <c r="B50" s="26" t="s">
        <v>204</v>
      </c>
      <c r="C50" s="26">
        <v>0</v>
      </c>
      <c r="D50" s="38">
        <v>0</v>
      </c>
      <c r="E50" s="38">
        <v>0</v>
      </c>
      <c r="F50" s="38">
        <v>0</v>
      </c>
      <c r="G50" s="59">
        <v>0</v>
      </c>
      <c r="H50" s="38">
        <v>0</v>
      </c>
      <c r="I50" s="38" t="str">
        <f>IF(OR(H50="",'START HERE'!$F$8=0),"",H50/'START HERE'!$F$8)</f>
        <v/>
      </c>
      <c r="J50" s="64" t="str">
        <f t="shared" si="0"/>
        <v>OK</v>
      </c>
    </row>
    <row r="51" spans="1:10" x14ac:dyDescent="0.25">
      <c r="A51" s="26">
        <v>2030090</v>
      </c>
      <c r="B51" s="26" t="s">
        <v>204</v>
      </c>
      <c r="C51" s="26">
        <v>0</v>
      </c>
      <c r="D51" s="38">
        <v>0</v>
      </c>
      <c r="E51" s="38">
        <v>0</v>
      </c>
      <c r="F51" s="38">
        <v>0</v>
      </c>
      <c r="G51" s="59">
        <v>0</v>
      </c>
      <c r="H51" s="38">
        <v>0</v>
      </c>
      <c r="I51" s="38" t="str">
        <f>IF(OR(H51="",'START HERE'!$F$8=0),"",H51/'START HERE'!$F$8)</f>
        <v/>
      </c>
      <c r="J51" s="64" t="str">
        <f t="shared" si="0"/>
        <v>OK</v>
      </c>
    </row>
    <row r="52" spans="1:10" x14ac:dyDescent="0.25">
      <c r="A52" s="26">
        <v>2030120</v>
      </c>
      <c r="B52" s="26" t="s">
        <v>204</v>
      </c>
      <c r="C52" s="26">
        <v>0</v>
      </c>
      <c r="D52" s="38">
        <v>0</v>
      </c>
      <c r="E52" s="38">
        <v>0</v>
      </c>
      <c r="F52" s="38">
        <v>0</v>
      </c>
      <c r="G52" s="59">
        <v>0</v>
      </c>
      <c r="H52" s="38">
        <v>0</v>
      </c>
      <c r="I52" s="38" t="str">
        <f>IF(OR(H52="",'START HERE'!$F$8=0),"",H52/'START HERE'!$F$8)</f>
        <v/>
      </c>
      <c r="J52" s="64" t="str">
        <f t="shared" si="0"/>
        <v>OK</v>
      </c>
    </row>
    <row r="53" spans="1:10" x14ac:dyDescent="0.25">
      <c r="A53" s="26">
        <v>2030130</v>
      </c>
      <c r="B53" s="26" t="s">
        <v>204</v>
      </c>
      <c r="C53" s="26">
        <v>0</v>
      </c>
      <c r="D53" s="38">
        <v>0</v>
      </c>
      <c r="E53" s="38">
        <v>0</v>
      </c>
      <c r="F53" s="38">
        <v>0</v>
      </c>
      <c r="G53" s="59">
        <v>0</v>
      </c>
      <c r="H53" s="38">
        <v>0</v>
      </c>
      <c r="I53" s="38" t="str">
        <f>IF(OR(H53="",'START HERE'!$F$8=0),"",H53/'START HERE'!$F$8)</f>
        <v/>
      </c>
      <c r="J53" s="64" t="str">
        <f t="shared" si="0"/>
        <v>OK</v>
      </c>
    </row>
    <row r="54" spans="1:10" x14ac:dyDescent="0.25">
      <c r="A54" s="26">
        <v>2030140</v>
      </c>
      <c r="B54" s="26" t="s">
        <v>204</v>
      </c>
      <c r="C54" s="26">
        <v>0</v>
      </c>
      <c r="D54" s="38">
        <v>0</v>
      </c>
      <c r="E54" s="38">
        <v>0</v>
      </c>
      <c r="F54" s="38">
        <v>0</v>
      </c>
      <c r="G54" s="59">
        <v>0</v>
      </c>
      <c r="H54" s="38">
        <v>0</v>
      </c>
      <c r="I54" s="38" t="str">
        <f>IF(OR(H54="",'START HERE'!$F$8=0),"",H54/'START HERE'!$F$8)</f>
        <v/>
      </c>
      <c r="J54" s="64" t="str">
        <f t="shared" si="0"/>
        <v>OK</v>
      </c>
    </row>
    <row r="55" spans="1:10" x14ac:dyDescent="0.25">
      <c r="A55" s="26">
        <v>2030170</v>
      </c>
      <c r="B55" s="26" t="s">
        <v>204</v>
      </c>
      <c r="C55" s="26">
        <v>0</v>
      </c>
      <c r="D55" s="38">
        <v>0</v>
      </c>
      <c r="E55" s="38">
        <v>0</v>
      </c>
      <c r="F55" s="38">
        <v>0</v>
      </c>
      <c r="G55" s="59">
        <v>0</v>
      </c>
      <c r="H55" s="38">
        <v>0</v>
      </c>
      <c r="I55" s="38" t="str">
        <f>IF(OR(H55="",'START HERE'!$F$8=0),"",H55/'START HERE'!$F$8)</f>
        <v/>
      </c>
      <c r="J55" s="64" t="str">
        <f t="shared" si="0"/>
        <v>OK</v>
      </c>
    </row>
    <row r="56" spans="1:10" x14ac:dyDescent="0.25">
      <c r="A56" s="26">
        <v>2030387</v>
      </c>
      <c r="B56" s="26" t="s">
        <v>204</v>
      </c>
      <c r="C56" s="26">
        <v>0</v>
      </c>
      <c r="D56" s="38">
        <v>0</v>
      </c>
      <c r="E56" s="38">
        <v>0</v>
      </c>
      <c r="F56" s="38">
        <v>0</v>
      </c>
      <c r="G56" s="59">
        <v>0</v>
      </c>
      <c r="H56" s="38">
        <v>0</v>
      </c>
      <c r="I56" s="38" t="str">
        <f>IF(OR(H56="",'START HERE'!$F$8=0),"",H56/'START HERE'!$F$8)</f>
        <v/>
      </c>
      <c r="J56" s="64" t="str">
        <f t="shared" si="0"/>
        <v>OK</v>
      </c>
    </row>
    <row r="57" spans="1:10" x14ac:dyDescent="0.25">
      <c r="A57" s="26">
        <v>2050010</v>
      </c>
      <c r="B57" s="26" t="s">
        <v>216</v>
      </c>
      <c r="C57" s="26">
        <v>0</v>
      </c>
      <c r="D57" s="38">
        <v>0</v>
      </c>
      <c r="E57" s="38">
        <v>0</v>
      </c>
      <c r="F57" s="38">
        <v>0</v>
      </c>
      <c r="G57" s="59">
        <v>0</v>
      </c>
      <c r="H57" s="38">
        <v>0</v>
      </c>
      <c r="I57" s="38" t="str">
        <f>IF(OR(H57="",'START HERE'!$F$8=0),"",H57/'START HERE'!$F$8)</f>
        <v/>
      </c>
      <c r="J57" s="64" t="str">
        <f t="shared" si="0"/>
        <v>OK</v>
      </c>
    </row>
    <row r="58" spans="1:10" x14ac:dyDescent="0.25">
      <c r="A58" s="26">
        <v>2050030</v>
      </c>
      <c r="B58" s="26" t="s">
        <v>216</v>
      </c>
      <c r="C58" s="26">
        <v>0</v>
      </c>
      <c r="D58" s="38">
        <v>0</v>
      </c>
      <c r="E58" s="38">
        <v>0</v>
      </c>
      <c r="F58" s="38">
        <v>0</v>
      </c>
      <c r="G58" s="59">
        <v>0</v>
      </c>
      <c r="H58" s="38">
        <v>0</v>
      </c>
      <c r="I58" s="38" t="str">
        <f>IF(OR(H58="",'START HERE'!$F$8=0),"",H58/'START HERE'!$F$8)</f>
        <v/>
      </c>
      <c r="J58" s="64" t="str">
        <f t="shared" si="0"/>
        <v>OK</v>
      </c>
    </row>
    <row r="59" spans="1:10" x14ac:dyDescent="0.25">
      <c r="A59" s="26">
        <v>2050080</v>
      </c>
      <c r="B59" s="26" t="s">
        <v>216</v>
      </c>
      <c r="C59" s="26">
        <v>0</v>
      </c>
      <c r="D59" s="38">
        <v>0</v>
      </c>
      <c r="E59" s="38">
        <v>0</v>
      </c>
      <c r="F59" s="38">
        <v>0</v>
      </c>
      <c r="G59" s="59">
        <v>0</v>
      </c>
      <c r="H59" s="38">
        <v>0</v>
      </c>
      <c r="I59" s="38" t="str">
        <f>IF(OR(H59="",'START HERE'!$F$8=0),"",H59/'START HERE'!$F$8)</f>
        <v/>
      </c>
      <c r="J59" s="64" t="str">
        <f t="shared" si="0"/>
        <v>OK</v>
      </c>
    </row>
    <row r="60" spans="1:10" x14ac:dyDescent="0.25">
      <c r="A60" s="26">
        <v>2050120</v>
      </c>
      <c r="B60" s="26" t="s">
        <v>216</v>
      </c>
      <c r="C60" s="26">
        <v>0</v>
      </c>
      <c r="D60" s="38">
        <v>0</v>
      </c>
      <c r="E60" s="38">
        <v>0</v>
      </c>
      <c r="F60" s="38">
        <v>0</v>
      </c>
      <c r="G60" s="59">
        <v>0</v>
      </c>
      <c r="H60" s="38">
        <v>0</v>
      </c>
      <c r="I60" s="38" t="str">
        <f>IF(OR(H60="",'START HERE'!$F$8=0),"",H60/'START HERE'!$F$8)</f>
        <v/>
      </c>
      <c r="J60" s="64" t="str">
        <f t="shared" si="0"/>
        <v>OK</v>
      </c>
    </row>
    <row r="61" spans="1:10" x14ac:dyDescent="0.25">
      <c r="A61" s="26">
        <v>2050140</v>
      </c>
      <c r="B61" s="26" t="s">
        <v>216</v>
      </c>
      <c r="C61" s="26">
        <v>0</v>
      </c>
      <c r="D61" s="38">
        <v>0</v>
      </c>
      <c r="E61" s="38">
        <v>0</v>
      </c>
      <c r="F61" s="38">
        <v>0</v>
      </c>
      <c r="G61" s="59">
        <v>0</v>
      </c>
      <c r="H61" s="38">
        <v>0</v>
      </c>
      <c r="I61" s="38" t="str">
        <f>IF(OR(H61="",'START HERE'!$F$8=0),"",H61/'START HERE'!$F$8)</f>
        <v/>
      </c>
      <c r="J61" s="64" t="str">
        <f t="shared" si="0"/>
        <v>OK</v>
      </c>
    </row>
    <row r="62" spans="1:10" x14ac:dyDescent="0.25">
      <c r="A62" s="26">
        <v>2050166</v>
      </c>
      <c r="B62" s="26" t="s">
        <v>216</v>
      </c>
      <c r="C62" s="26">
        <v>0</v>
      </c>
      <c r="D62" s="38">
        <v>0</v>
      </c>
      <c r="E62" s="38">
        <v>0</v>
      </c>
      <c r="F62" s="38">
        <v>0</v>
      </c>
      <c r="G62" s="59">
        <v>0</v>
      </c>
      <c r="H62" s="38">
        <v>0</v>
      </c>
      <c r="I62" s="38" t="str">
        <f>IF(OR(H62="",'START HERE'!$F$8=0),"",H62/'START HERE'!$F$8)</f>
        <v/>
      </c>
      <c r="J62" s="64" t="str">
        <f t="shared" si="0"/>
        <v>OK</v>
      </c>
    </row>
    <row r="63" spans="1:10" x14ac:dyDescent="0.25">
      <c r="A63" s="26">
        <v>2050220</v>
      </c>
      <c r="B63" s="26" t="s">
        <v>216</v>
      </c>
      <c r="C63" s="26">
        <v>0</v>
      </c>
      <c r="D63" s="38">
        <v>0</v>
      </c>
      <c r="E63" s="38">
        <v>0</v>
      </c>
      <c r="F63" s="38">
        <v>0</v>
      </c>
      <c r="G63" s="59">
        <v>0</v>
      </c>
      <c r="H63" s="38">
        <v>0</v>
      </c>
      <c r="I63" s="38" t="str">
        <f>IF(OR(H63="",'START HERE'!$F$8=0),"",H63/'START HERE'!$F$8)</f>
        <v/>
      </c>
      <c r="J63" s="64" t="str">
        <f t="shared" si="0"/>
        <v>OK</v>
      </c>
    </row>
    <row r="64" spans="1:10" x14ac:dyDescent="0.25">
      <c r="A64" s="26">
        <v>2060239</v>
      </c>
      <c r="B64" s="26" t="s">
        <v>231</v>
      </c>
      <c r="C64" s="26">
        <v>0</v>
      </c>
      <c r="D64" s="38">
        <v>0</v>
      </c>
      <c r="E64" s="38">
        <v>0</v>
      </c>
      <c r="F64" s="38">
        <v>0</v>
      </c>
      <c r="G64" s="59">
        <v>0</v>
      </c>
      <c r="H64" s="38">
        <v>0</v>
      </c>
      <c r="I64" s="38" t="str">
        <f>IF(OR(H64="",'START HERE'!$F$8=0),"",H64/'START HERE'!$F$8)</f>
        <v/>
      </c>
      <c r="J64" s="64" t="str">
        <f t="shared" si="0"/>
        <v>OK</v>
      </c>
    </row>
    <row r="65" spans="1:10" x14ac:dyDescent="0.25">
      <c r="A65" s="26">
        <v>2060243</v>
      </c>
      <c r="B65" s="26" t="s">
        <v>231</v>
      </c>
      <c r="C65" s="26">
        <v>0</v>
      </c>
      <c r="D65" s="38">
        <v>0</v>
      </c>
      <c r="E65" s="38">
        <v>0</v>
      </c>
      <c r="F65" s="38">
        <v>0</v>
      </c>
      <c r="G65" s="59">
        <v>0</v>
      </c>
      <c r="H65" s="38">
        <v>0</v>
      </c>
      <c r="I65" s="38" t="str">
        <f>IF(OR(H65="",'START HERE'!$F$8=0),"",H65/'START HERE'!$F$8)</f>
        <v/>
      </c>
      <c r="J65" s="64" t="str">
        <f t="shared" si="0"/>
        <v>OK</v>
      </c>
    </row>
    <row r="66" spans="1:10" x14ac:dyDescent="0.25">
      <c r="A66" s="26">
        <v>2060315</v>
      </c>
      <c r="B66" s="26" t="s">
        <v>231</v>
      </c>
      <c r="C66" s="26">
        <v>0</v>
      </c>
      <c r="D66" s="38">
        <v>0</v>
      </c>
      <c r="E66" s="38">
        <v>0</v>
      </c>
      <c r="F66" s="38">
        <v>0</v>
      </c>
      <c r="G66" s="59">
        <v>0</v>
      </c>
      <c r="H66" s="38">
        <v>0</v>
      </c>
      <c r="I66" s="38" t="str">
        <f>IF(OR(H66="",'START HERE'!$F$8=0),"",H66/'START HERE'!$F$8)</f>
        <v/>
      </c>
      <c r="J66" s="64" t="str">
        <f t="shared" si="0"/>
        <v>OK</v>
      </c>
    </row>
    <row r="67" spans="1:10" x14ac:dyDescent="0.25">
      <c r="A67" s="26">
        <v>2510030</v>
      </c>
      <c r="B67" s="26" t="s">
        <v>237</v>
      </c>
      <c r="C67" s="26">
        <v>0</v>
      </c>
      <c r="D67" s="38">
        <v>0</v>
      </c>
      <c r="E67" s="38">
        <v>0</v>
      </c>
      <c r="F67" s="38">
        <v>0</v>
      </c>
      <c r="G67" s="59">
        <v>0</v>
      </c>
      <c r="H67" s="38">
        <v>0</v>
      </c>
      <c r="I67" s="38" t="str">
        <f>IF(OR(H67="",'START HERE'!$F$8=0),"",H67/'START HERE'!$F$8)</f>
        <v/>
      </c>
      <c r="J67" s="64" t="str">
        <f t="shared" si="0"/>
        <v>OK</v>
      </c>
    </row>
    <row r="68" spans="1:10" x14ac:dyDescent="0.25">
      <c r="A68" s="26">
        <v>2510045</v>
      </c>
      <c r="B68" s="26" t="s">
        <v>237</v>
      </c>
      <c r="C68" s="26">
        <v>0</v>
      </c>
      <c r="D68" s="38">
        <v>0</v>
      </c>
      <c r="E68" s="38">
        <v>0</v>
      </c>
      <c r="F68" s="38">
        <v>0</v>
      </c>
      <c r="G68" s="59">
        <v>0</v>
      </c>
      <c r="H68" s="38">
        <v>0</v>
      </c>
      <c r="I68" s="38" t="str">
        <f>IF(OR(H68="",'START HERE'!$F$8=0),"",H68/'START HERE'!$F$8)</f>
        <v/>
      </c>
      <c r="J68" s="64" t="str">
        <f t="shared" si="0"/>
        <v>OK</v>
      </c>
    </row>
    <row r="69" spans="1:10" x14ac:dyDescent="0.25">
      <c r="A69" s="26">
        <v>2510050</v>
      </c>
      <c r="B69" s="26" t="s">
        <v>237</v>
      </c>
      <c r="C69" s="26">
        <v>0</v>
      </c>
      <c r="D69" s="38">
        <v>0</v>
      </c>
      <c r="E69" s="38">
        <v>0</v>
      </c>
      <c r="F69" s="38">
        <v>0</v>
      </c>
      <c r="G69" s="59">
        <v>0</v>
      </c>
      <c r="H69" s="38">
        <v>0</v>
      </c>
      <c r="I69" s="38" t="str">
        <f>IF(OR(H69="",'START HERE'!$F$8=0),"",H69/'START HERE'!$F$8)</f>
        <v/>
      </c>
      <c r="J69" s="64" t="str">
        <f t="shared" ref="J69:J132" si="1">IF(G69="","MISSING PHYSICAL",IF(H69&lt;0,"CHECK: NEGATIVE CONSUMPTION","OK"))</f>
        <v>OK</v>
      </c>
    </row>
    <row r="70" spans="1:10" x14ac:dyDescent="0.25">
      <c r="A70" s="26">
        <v>2510055</v>
      </c>
      <c r="B70" s="26" t="s">
        <v>237</v>
      </c>
      <c r="C70" s="26">
        <v>0</v>
      </c>
      <c r="D70" s="38">
        <v>0</v>
      </c>
      <c r="E70" s="38">
        <v>0</v>
      </c>
      <c r="F70" s="38">
        <v>0</v>
      </c>
      <c r="G70" s="59">
        <v>0</v>
      </c>
      <c r="H70" s="38">
        <v>0</v>
      </c>
      <c r="I70" s="38" t="str">
        <f>IF(OR(H70="",'START HERE'!$F$8=0),"",H70/'START HERE'!$F$8)</f>
        <v/>
      </c>
      <c r="J70" s="64" t="str">
        <f t="shared" si="1"/>
        <v>OK</v>
      </c>
    </row>
    <row r="71" spans="1:10" x14ac:dyDescent="0.25">
      <c r="A71" s="26">
        <v>2510060</v>
      </c>
      <c r="B71" s="26" t="s">
        <v>237</v>
      </c>
      <c r="C71" s="26">
        <v>0</v>
      </c>
      <c r="D71" s="38">
        <v>0</v>
      </c>
      <c r="E71" s="38">
        <v>0</v>
      </c>
      <c r="F71" s="38">
        <v>0</v>
      </c>
      <c r="G71" s="59">
        <v>0</v>
      </c>
      <c r="H71" s="38">
        <v>0</v>
      </c>
      <c r="I71" s="38" t="str">
        <f>IF(OR(H71="",'START HERE'!$F$8=0),"",H71/'START HERE'!$F$8)</f>
        <v/>
      </c>
      <c r="J71" s="64" t="str">
        <f t="shared" si="1"/>
        <v>OK</v>
      </c>
    </row>
    <row r="72" spans="1:10" x14ac:dyDescent="0.25">
      <c r="A72" s="26">
        <v>2510080</v>
      </c>
      <c r="B72" s="26" t="s">
        <v>237</v>
      </c>
      <c r="C72" s="26">
        <v>0</v>
      </c>
      <c r="D72" s="38">
        <v>0</v>
      </c>
      <c r="E72" s="38">
        <v>0</v>
      </c>
      <c r="F72" s="38">
        <v>0</v>
      </c>
      <c r="G72" s="59">
        <v>0</v>
      </c>
      <c r="H72" s="38">
        <v>0</v>
      </c>
      <c r="I72" s="38" t="str">
        <f>IF(OR(H72="",'START HERE'!$F$8=0),"",H72/'START HERE'!$F$8)</f>
        <v/>
      </c>
      <c r="J72" s="64" t="str">
        <f t="shared" si="1"/>
        <v>OK</v>
      </c>
    </row>
    <row r="73" spans="1:10" x14ac:dyDescent="0.25">
      <c r="A73" s="26">
        <v>2510090</v>
      </c>
      <c r="B73" s="26" t="s">
        <v>237</v>
      </c>
      <c r="C73" s="26">
        <v>0</v>
      </c>
      <c r="D73" s="38">
        <v>0</v>
      </c>
      <c r="E73" s="38">
        <v>0</v>
      </c>
      <c r="F73" s="38">
        <v>0</v>
      </c>
      <c r="G73" s="59">
        <v>0</v>
      </c>
      <c r="H73" s="38">
        <v>0</v>
      </c>
      <c r="I73" s="38" t="str">
        <f>IF(OR(H73="",'START HERE'!$F$8=0),"",H73/'START HERE'!$F$8)</f>
        <v/>
      </c>
      <c r="J73" s="64" t="str">
        <f t="shared" si="1"/>
        <v>OK</v>
      </c>
    </row>
    <row r="74" spans="1:10" x14ac:dyDescent="0.25">
      <c r="A74" s="26">
        <v>2510100</v>
      </c>
      <c r="B74" s="26" t="s">
        <v>237</v>
      </c>
      <c r="C74" s="26">
        <v>0</v>
      </c>
      <c r="D74" s="38">
        <v>0</v>
      </c>
      <c r="E74" s="38">
        <v>0</v>
      </c>
      <c r="F74" s="38">
        <v>0</v>
      </c>
      <c r="G74" s="59">
        <v>0</v>
      </c>
      <c r="H74" s="38">
        <v>0</v>
      </c>
      <c r="I74" s="38" t="str">
        <f>IF(OR(H74="",'START HERE'!$F$8=0),"",H74/'START HERE'!$F$8)</f>
        <v/>
      </c>
      <c r="J74" s="64" t="str">
        <f t="shared" si="1"/>
        <v>OK</v>
      </c>
    </row>
    <row r="75" spans="1:10" x14ac:dyDescent="0.25">
      <c r="A75" s="26">
        <v>2510110</v>
      </c>
      <c r="B75" s="26" t="s">
        <v>237</v>
      </c>
      <c r="C75" s="26">
        <v>0</v>
      </c>
      <c r="D75" s="38">
        <v>0</v>
      </c>
      <c r="E75" s="38">
        <v>0</v>
      </c>
      <c r="F75" s="38">
        <v>0</v>
      </c>
      <c r="G75" s="59">
        <v>0</v>
      </c>
      <c r="H75" s="38">
        <v>0</v>
      </c>
      <c r="I75" s="38" t="str">
        <f>IF(OR(H75="",'START HERE'!$F$8=0),"",H75/'START HERE'!$F$8)</f>
        <v/>
      </c>
      <c r="J75" s="64" t="str">
        <f t="shared" si="1"/>
        <v>OK</v>
      </c>
    </row>
    <row r="76" spans="1:10" x14ac:dyDescent="0.25">
      <c r="A76" s="26">
        <v>2510120</v>
      </c>
      <c r="B76" s="26" t="s">
        <v>237</v>
      </c>
      <c r="C76" s="26">
        <v>0</v>
      </c>
      <c r="D76" s="38">
        <v>0</v>
      </c>
      <c r="E76" s="38">
        <v>0</v>
      </c>
      <c r="F76" s="38">
        <v>0</v>
      </c>
      <c r="G76" s="59">
        <v>0</v>
      </c>
      <c r="H76" s="38">
        <v>0</v>
      </c>
      <c r="I76" s="38" t="str">
        <f>IF(OR(H76="",'START HERE'!$F$8=0),"",H76/'START HERE'!$F$8)</f>
        <v/>
      </c>
      <c r="J76" s="64" t="str">
        <f t="shared" si="1"/>
        <v>OK</v>
      </c>
    </row>
    <row r="77" spans="1:10" x14ac:dyDescent="0.25">
      <c r="A77" s="26">
        <v>2510130</v>
      </c>
      <c r="B77" s="26" t="s">
        <v>237</v>
      </c>
      <c r="C77" s="26">
        <v>0</v>
      </c>
      <c r="D77" s="38">
        <v>0</v>
      </c>
      <c r="E77" s="38">
        <v>0</v>
      </c>
      <c r="F77" s="38">
        <v>0</v>
      </c>
      <c r="G77" s="59">
        <v>0</v>
      </c>
      <c r="H77" s="38">
        <v>0</v>
      </c>
      <c r="I77" s="38" t="str">
        <f>IF(OR(H77="",'START HERE'!$F$8=0),"",H77/'START HERE'!$F$8)</f>
        <v/>
      </c>
      <c r="J77" s="64" t="str">
        <f t="shared" si="1"/>
        <v>OK</v>
      </c>
    </row>
    <row r="78" spans="1:10" x14ac:dyDescent="0.25">
      <c r="A78" s="26">
        <v>2510140</v>
      </c>
      <c r="B78" s="26" t="s">
        <v>237</v>
      </c>
      <c r="C78" s="26">
        <v>0</v>
      </c>
      <c r="D78" s="38">
        <v>0</v>
      </c>
      <c r="E78" s="38">
        <v>0</v>
      </c>
      <c r="F78" s="38">
        <v>0</v>
      </c>
      <c r="G78" s="59">
        <v>0</v>
      </c>
      <c r="H78" s="38">
        <v>0</v>
      </c>
      <c r="I78" s="38" t="str">
        <f>IF(OR(H78="",'START HERE'!$F$8=0),"",H78/'START HERE'!$F$8)</f>
        <v/>
      </c>
      <c r="J78" s="64" t="str">
        <f t="shared" si="1"/>
        <v>OK</v>
      </c>
    </row>
    <row r="79" spans="1:10" x14ac:dyDescent="0.25">
      <c r="A79" s="26">
        <v>2510150</v>
      </c>
      <c r="B79" s="26" t="s">
        <v>237</v>
      </c>
      <c r="C79" s="26">
        <v>0</v>
      </c>
      <c r="D79" s="38">
        <v>0</v>
      </c>
      <c r="E79" s="38">
        <v>0</v>
      </c>
      <c r="F79" s="38">
        <v>0</v>
      </c>
      <c r="G79" s="59">
        <v>0</v>
      </c>
      <c r="H79" s="38">
        <v>0</v>
      </c>
      <c r="I79" s="38" t="str">
        <f>IF(OR(H79="",'START HERE'!$F$8=0),"",H79/'START HERE'!$F$8)</f>
        <v/>
      </c>
      <c r="J79" s="64" t="str">
        <f t="shared" si="1"/>
        <v>OK</v>
      </c>
    </row>
    <row r="80" spans="1:10" x14ac:dyDescent="0.25">
      <c r="A80" s="26">
        <v>2510160</v>
      </c>
      <c r="B80" s="26" t="s">
        <v>237</v>
      </c>
      <c r="C80" s="26">
        <v>0</v>
      </c>
      <c r="D80" s="38">
        <v>0</v>
      </c>
      <c r="E80" s="38">
        <v>0</v>
      </c>
      <c r="F80" s="38">
        <v>0</v>
      </c>
      <c r="G80" s="59">
        <v>0</v>
      </c>
      <c r="H80" s="38">
        <v>0</v>
      </c>
      <c r="I80" s="38" t="str">
        <f>IF(OR(H80="",'START HERE'!$F$8=0),"",H80/'START HERE'!$F$8)</f>
        <v/>
      </c>
      <c r="J80" s="64" t="str">
        <f t="shared" si="1"/>
        <v>OK</v>
      </c>
    </row>
    <row r="81" spans="1:10" x14ac:dyDescent="0.25">
      <c r="A81" s="26">
        <v>2510170</v>
      </c>
      <c r="B81" s="26" t="s">
        <v>237</v>
      </c>
      <c r="C81" s="26">
        <v>0</v>
      </c>
      <c r="D81" s="38">
        <v>0</v>
      </c>
      <c r="E81" s="38">
        <v>0</v>
      </c>
      <c r="F81" s="38">
        <v>0</v>
      </c>
      <c r="G81" s="59">
        <v>0</v>
      </c>
      <c r="H81" s="38">
        <v>0</v>
      </c>
      <c r="I81" s="38" t="str">
        <f>IF(OR(H81="",'START HERE'!$F$8=0),"",H81/'START HERE'!$F$8)</f>
        <v/>
      </c>
      <c r="J81" s="64" t="str">
        <f t="shared" si="1"/>
        <v>OK</v>
      </c>
    </row>
    <row r="82" spans="1:10" x14ac:dyDescent="0.25">
      <c r="A82" s="26">
        <v>2510180</v>
      </c>
      <c r="B82" s="26" t="s">
        <v>237</v>
      </c>
      <c r="C82" s="26">
        <v>0</v>
      </c>
      <c r="D82" s="38">
        <v>0</v>
      </c>
      <c r="E82" s="38">
        <v>0</v>
      </c>
      <c r="F82" s="38">
        <v>0</v>
      </c>
      <c r="G82" s="59">
        <v>0</v>
      </c>
      <c r="H82" s="38">
        <v>0</v>
      </c>
      <c r="I82" s="38" t="str">
        <f>IF(OR(H82="",'START HERE'!$F$8=0),"",H82/'START HERE'!$F$8)</f>
        <v/>
      </c>
      <c r="J82" s="64" t="str">
        <f t="shared" si="1"/>
        <v>OK</v>
      </c>
    </row>
    <row r="83" spans="1:10" x14ac:dyDescent="0.25">
      <c r="A83" s="26">
        <v>2510230</v>
      </c>
      <c r="B83" s="26" t="s">
        <v>237</v>
      </c>
      <c r="C83" s="26">
        <v>0</v>
      </c>
      <c r="D83" s="38">
        <v>0</v>
      </c>
      <c r="E83" s="38">
        <v>0</v>
      </c>
      <c r="F83" s="38">
        <v>0</v>
      </c>
      <c r="G83" s="59">
        <v>0</v>
      </c>
      <c r="H83" s="38">
        <v>0</v>
      </c>
      <c r="I83" s="38" t="str">
        <f>IF(OR(H83="",'START HERE'!$F$8=0),"",H83/'START HERE'!$F$8)</f>
        <v/>
      </c>
      <c r="J83" s="64" t="str">
        <f t="shared" si="1"/>
        <v>OK</v>
      </c>
    </row>
    <row r="84" spans="1:10" x14ac:dyDescent="0.25">
      <c r="A84" s="26">
        <v>2510240</v>
      </c>
      <c r="B84" s="26" t="s">
        <v>237</v>
      </c>
      <c r="C84" s="26">
        <v>0</v>
      </c>
      <c r="D84" s="38">
        <v>0</v>
      </c>
      <c r="E84" s="38">
        <v>0</v>
      </c>
      <c r="F84" s="38">
        <v>0</v>
      </c>
      <c r="G84" s="59">
        <v>0</v>
      </c>
      <c r="H84" s="38">
        <v>0</v>
      </c>
      <c r="I84" s="38" t="str">
        <f>IF(OR(H84="",'START HERE'!$F$8=0),"",H84/'START HERE'!$F$8)</f>
        <v/>
      </c>
      <c r="J84" s="64" t="str">
        <f t="shared" si="1"/>
        <v>OK</v>
      </c>
    </row>
    <row r="85" spans="1:10" x14ac:dyDescent="0.25">
      <c r="A85" s="26">
        <v>2510250</v>
      </c>
      <c r="B85" s="26" t="s">
        <v>237</v>
      </c>
      <c r="C85" s="26">
        <v>0</v>
      </c>
      <c r="D85" s="38">
        <v>0</v>
      </c>
      <c r="E85" s="38">
        <v>0</v>
      </c>
      <c r="F85" s="38">
        <v>0</v>
      </c>
      <c r="G85" s="59">
        <v>0</v>
      </c>
      <c r="H85" s="38">
        <v>0</v>
      </c>
      <c r="I85" s="38" t="str">
        <f>IF(OR(H85="",'START HERE'!$F$8=0),"",H85/'START HERE'!$F$8)</f>
        <v/>
      </c>
      <c r="J85" s="64" t="str">
        <f t="shared" si="1"/>
        <v>OK</v>
      </c>
    </row>
    <row r="86" spans="1:10" x14ac:dyDescent="0.25">
      <c r="A86" s="26">
        <v>2510260</v>
      </c>
      <c r="B86" s="26" t="s">
        <v>237</v>
      </c>
      <c r="C86" s="26">
        <v>0</v>
      </c>
      <c r="D86" s="38">
        <v>0</v>
      </c>
      <c r="E86" s="38">
        <v>0</v>
      </c>
      <c r="F86" s="38">
        <v>0</v>
      </c>
      <c r="G86" s="59">
        <v>0</v>
      </c>
      <c r="H86" s="38">
        <v>0</v>
      </c>
      <c r="I86" s="38" t="str">
        <f>IF(OR(H86="",'START HERE'!$F$8=0),"",H86/'START HERE'!$F$8)</f>
        <v/>
      </c>
      <c r="J86" s="64" t="str">
        <f t="shared" si="1"/>
        <v>OK</v>
      </c>
    </row>
    <row r="87" spans="1:10" x14ac:dyDescent="0.25">
      <c r="A87" s="26">
        <v>2510271</v>
      </c>
      <c r="B87" s="26" t="s">
        <v>237</v>
      </c>
      <c r="C87" s="26">
        <v>0</v>
      </c>
      <c r="D87" s="38">
        <v>0</v>
      </c>
      <c r="E87" s="38">
        <v>0</v>
      </c>
      <c r="F87" s="38">
        <v>0</v>
      </c>
      <c r="G87" s="59">
        <v>0</v>
      </c>
      <c r="H87" s="38">
        <v>0</v>
      </c>
      <c r="I87" s="38" t="str">
        <f>IF(OR(H87="",'START HERE'!$F$8=0),"",H87/'START HERE'!$F$8)</f>
        <v/>
      </c>
      <c r="J87" s="64" t="str">
        <f t="shared" si="1"/>
        <v>OK</v>
      </c>
    </row>
    <row r="88" spans="1:10" x14ac:dyDescent="0.25">
      <c r="A88" s="26">
        <v>2510272</v>
      </c>
      <c r="B88" s="26" t="s">
        <v>237</v>
      </c>
      <c r="C88" s="26">
        <v>0</v>
      </c>
      <c r="D88" s="38">
        <v>0</v>
      </c>
      <c r="E88" s="38">
        <v>0</v>
      </c>
      <c r="F88" s="38">
        <v>0</v>
      </c>
      <c r="G88" s="59">
        <v>0</v>
      </c>
      <c r="H88" s="38">
        <v>0</v>
      </c>
      <c r="I88" s="38" t="str">
        <f>IF(OR(H88="",'START HERE'!$F$8=0),"",H88/'START HERE'!$F$8)</f>
        <v/>
      </c>
      <c r="J88" s="64" t="str">
        <f t="shared" si="1"/>
        <v>OK</v>
      </c>
    </row>
    <row r="89" spans="1:10" x14ac:dyDescent="0.25">
      <c r="A89" s="26">
        <v>2510280</v>
      </c>
      <c r="B89" s="26" t="s">
        <v>237</v>
      </c>
      <c r="C89" s="26">
        <v>0</v>
      </c>
      <c r="D89" s="38">
        <v>0</v>
      </c>
      <c r="E89" s="38">
        <v>0</v>
      </c>
      <c r="F89" s="38">
        <v>0</v>
      </c>
      <c r="G89" s="59">
        <v>0</v>
      </c>
      <c r="H89" s="38">
        <v>0</v>
      </c>
      <c r="I89" s="38" t="str">
        <f>IF(OR(H89="",'START HERE'!$F$8=0),"",H89/'START HERE'!$F$8)</f>
        <v/>
      </c>
      <c r="J89" s="64" t="str">
        <f t="shared" si="1"/>
        <v>OK</v>
      </c>
    </row>
    <row r="90" spans="1:10" x14ac:dyDescent="0.25">
      <c r="A90" s="26">
        <v>2510290</v>
      </c>
      <c r="B90" s="26" t="s">
        <v>237</v>
      </c>
      <c r="C90" s="26">
        <v>0</v>
      </c>
      <c r="D90" s="38">
        <v>0</v>
      </c>
      <c r="E90" s="38">
        <v>0</v>
      </c>
      <c r="F90" s="38">
        <v>0</v>
      </c>
      <c r="G90" s="59">
        <v>0</v>
      </c>
      <c r="H90" s="38">
        <v>0</v>
      </c>
      <c r="I90" s="38" t="str">
        <f>IF(OR(H90="",'START HERE'!$F$8=0),"",H90/'START HERE'!$F$8)</f>
        <v/>
      </c>
      <c r="J90" s="64" t="str">
        <f t="shared" si="1"/>
        <v>OK</v>
      </c>
    </row>
    <row r="91" spans="1:10" x14ac:dyDescent="0.25">
      <c r="A91" s="26">
        <v>2510300</v>
      </c>
      <c r="B91" s="26" t="s">
        <v>237</v>
      </c>
      <c r="C91" s="26">
        <v>0</v>
      </c>
      <c r="D91" s="38">
        <v>0</v>
      </c>
      <c r="E91" s="38">
        <v>0</v>
      </c>
      <c r="F91" s="38">
        <v>0</v>
      </c>
      <c r="G91" s="59">
        <v>0</v>
      </c>
      <c r="H91" s="38">
        <v>0</v>
      </c>
      <c r="I91" s="38" t="str">
        <f>IF(OR(H91="",'START HERE'!$F$8=0),"",H91/'START HERE'!$F$8)</f>
        <v/>
      </c>
      <c r="J91" s="64" t="str">
        <f t="shared" si="1"/>
        <v>OK</v>
      </c>
    </row>
    <row r="92" spans="1:10" x14ac:dyDescent="0.25">
      <c r="A92" s="26">
        <v>2510310</v>
      </c>
      <c r="B92" s="26" t="s">
        <v>237</v>
      </c>
      <c r="C92" s="26">
        <v>0</v>
      </c>
      <c r="D92" s="38">
        <v>0</v>
      </c>
      <c r="E92" s="38">
        <v>0</v>
      </c>
      <c r="F92" s="38">
        <v>0</v>
      </c>
      <c r="G92" s="59">
        <v>0</v>
      </c>
      <c r="H92" s="38">
        <v>0</v>
      </c>
      <c r="I92" s="38" t="str">
        <f>IF(OR(H92="",'START HERE'!$F$8=0),"",H92/'START HERE'!$F$8)</f>
        <v/>
      </c>
      <c r="J92" s="64" t="str">
        <f t="shared" si="1"/>
        <v>OK</v>
      </c>
    </row>
    <row r="93" spans="1:10" x14ac:dyDescent="0.25">
      <c r="A93" s="26">
        <v>2510320</v>
      </c>
      <c r="B93" s="26" t="s">
        <v>237</v>
      </c>
      <c r="C93" s="26">
        <v>0</v>
      </c>
      <c r="D93" s="38">
        <v>0</v>
      </c>
      <c r="E93" s="38">
        <v>0</v>
      </c>
      <c r="F93" s="38">
        <v>0</v>
      </c>
      <c r="G93" s="59">
        <v>0</v>
      </c>
      <c r="H93" s="38">
        <v>0</v>
      </c>
      <c r="I93" s="38" t="str">
        <f>IF(OR(H93="",'START HERE'!$F$8=0),"",H93/'START HERE'!$F$8)</f>
        <v/>
      </c>
      <c r="J93" s="64" t="str">
        <f t="shared" si="1"/>
        <v>OK</v>
      </c>
    </row>
    <row r="94" spans="1:10" x14ac:dyDescent="0.25">
      <c r="A94" s="26">
        <v>2510330</v>
      </c>
      <c r="B94" s="26" t="s">
        <v>237</v>
      </c>
      <c r="C94" s="26">
        <v>0</v>
      </c>
      <c r="D94" s="38">
        <v>0</v>
      </c>
      <c r="E94" s="38">
        <v>0</v>
      </c>
      <c r="F94" s="38">
        <v>0</v>
      </c>
      <c r="G94" s="59">
        <v>0</v>
      </c>
      <c r="H94" s="38">
        <v>0</v>
      </c>
      <c r="I94" s="38" t="str">
        <f>IF(OR(H94="",'START HERE'!$F$8=0),"",H94/'START HERE'!$F$8)</f>
        <v/>
      </c>
      <c r="J94" s="64" t="str">
        <f t="shared" si="1"/>
        <v>OK</v>
      </c>
    </row>
    <row r="95" spans="1:10" x14ac:dyDescent="0.25">
      <c r="A95" s="26">
        <v>2510340</v>
      </c>
      <c r="B95" s="26" t="s">
        <v>237</v>
      </c>
      <c r="C95" s="26">
        <v>0</v>
      </c>
      <c r="D95" s="38">
        <v>0</v>
      </c>
      <c r="E95" s="38">
        <v>0</v>
      </c>
      <c r="F95" s="38">
        <v>0</v>
      </c>
      <c r="G95" s="59">
        <v>0</v>
      </c>
      <c r="H95" s="38">
        <v>0</v>
      </c>
      <c r="I95" s="38" t="str">
        <f>IF(OR(H95="",'START HERE'!$F$8=0),"",H95/'START HERE'!$F$8)</f>
        <v/>
      </c>
      <c r="J95" s="64" t="str">
        <f t="shared" si="1"/>
        <v>OK</v>
      </c>
    </row>
    <row r="96" spans="1:10" x14ac:dyDescent="0.25">
      <c r="A96" s="26">
        <v>2510350</v>
      </c>
      <c r="B96" s="26" t="s">
        <v>237</v>
      </c>
      <c r="C96" s="26">
        <v>0</v>
      </c>
      <c r="D96" s="38">
        <v>0</v>
      </c>
      <c r="E96" s="38">
        <v>0</v>
      </c>
      <c r="F96" s="38">
        <v>0</v>
      </c>
      <c r="G96" s="59">
        <v>0</v>
      </c>
      <c r="H96" s="38">
        <v>0</v>
      </c>
      <c r="I96" s="38" t="str">
        <f>IF(OR(H96="",'START HERE'!$F$8=0),"",H96/'START HERE'!$F$8)</f>
        <v/>
      </c>
      <c r="J96" s="64" t="str">
        <f t="shared" si="1"/>
        <v>OK</v>
      </c>
    </row>
    <row r="97" spans="1:10" x14ac:dyDescent="0.25">
      <c r="A97" s="26">
        <v>2510370</v>
      </c>
      <c r="B97" s="26" t="s">
        <v>237</v>
      </c>
      <c r="C97" s="26">
        <v>0</v>
      </c>
      <c r="D97" s="38">
        <v>0</v>
      </c>
      <c r="E97" s="38">
        <v>0</v>
      </c>
      <c r="F97" s="38">
        <v>0</v>
      </c>
      <c r="G97" s="59">
        <v>0</v>
      </c>
      <c r="H97" s="38">
        <v>0</v>
      </c>
      <c r="I97" s="38" t="str">
        <f>IF(OR(H97="",'START HERE'!$F$8=0),"",H97/'START HERE'!$F$8)</f>
        <v/>
      </c>
      <c r="J97" s="64" t="str">
        <f t="shared" si="1"/>
        <v>OK</v>
      </c>
    </row>
    <row r="98" spans="1:10" x14ac:dyDescent="0.25">
      <c r="A98" s="26">
        <v>2510440</v>
      </c>
      <c r="B98" s="26" t="s">
        <v>237</v>
      </c>
      <c r="C98" s="26">
        <v>0</v>
      </c>
      <c r="D98" s="38">
        <v>0</v>
      </c>
      <c r="E98" s="38">
        <v>0</v>
      </c>
      <c r="F98" s="38">
        <v>0</v>
      </c>
      <c r="G98" s="59">
        <v>0</v>
      </c>
      <c r="H98" s="38">
        <v>0</v>
      </c>
      <c r="I98" s="38" t="str">
        <f>IF(OR(H98="",'START HERE'!$F$8=0),"",H98/'START HERE'!$F$8)</f>
        <v/>
      </c>
      <c r="J98" s="64" t="str">
        <f t="shared" si="1"/>
        <v>OK</v>
      </c>
    </row>
    <row r="99" spans="1:10" x14ac:dyDescent="0.25">
      <c r="A99" s="26">
        <v>2520040</v>
      </c>
      <c r="B99" s="26" t="s">
        <v>302</v>
      </c>
      <c r="C99" s="26">
        <v>0</v>
      </c>
      <c r="D99" s="38">
        <v>0</v>
      </c>
      <c r="E99" s="38">
        <v>0</v>
      </c>
      <c r="F99" s="38">
        <v>0</v>
      </c>
      <c r="G99" s="59">
        <v>0</v>
      </c>
      <c r="H99" s="38">
        <v>0</v>
      </c>
      <c r="I99" s="38" t="str">
        <f>IF(OR(H99="",'START HERE'!$F$8=0),"",H99/'START HERE'!$F$8)</f>
        <v/>
      </c>
      <c r="J99" s="64" t="str">
        <f t="shared" si="1"/>
        <v>OK</v>
      </c>
    </row>
    <row r="100" spans="1:10" x14ac:dyDescent="0.25">
      <c r="A100" s="26">
        <v>2520096</v>
      </c>
      <c r="B100" s="26" t="s">
        <v>302</v>
      </c>
      <c r="C100" s="26">
        <v>0</v>
      </c>
      <c r="D100" s="38">
        <v>0</v>
      </c>
      <c r="E100" s="38">
        <v>0</v>
      </c>
      <c r="F100" s="38">
        <v>0</v>
      </c>
      <c r="G100" s="59">
        <v>0</v>
      </c>
      <c r="H100" s="38">
        <v>0</v>
      </c>
      <c r="I100" s="38" t="str">
        <f>IF(OR(H100="",'START HERE'!$F$8=0),"",H100/'START HERE'!$F$8)</f>
        <v/>
      </c>
      <c r="J100" s="64" t="str">
        <f t="shared" si="1"/>
        <v>OK</v>
      </c>
    </row>
    <row r="101" spans="1:10" x14ac:dyDescent="0.25">
      <c r="A101" s="26">
        <v>2530010</v>
      </c>
      <c r="B101" s="26" t="s">
        <v>307</v>
      </c>
      <c r="C101" s="26">
        <v>0</v>
      </c>
      <c r="D101" s="38">
        <v>0</v>
      </c>
      <c r="E101" s="38">
        <v>0</v>
      </c>
      <c r="F101" s="38">
        <v>0</v>
      </c>
      <c r="G101" s="59">
        <v>0</v>
      </c>
      <c r="H101" s="38">
        <v>0</v>
      </c>
      <c r="I101" s="38" t="str">
        <f>IF(OR(H101="",'START HERE'!$F$8=0),"",H101/'START HERE'!$F$8)</f>
        <v/>
      </c>
      <c r="J101" s="64" t="str">
        <f t="shared" si="1"/>
        <v>OK</v>
      </c>
    </row>
    <row r="102" spans="1:10" x14ac:dyDescent="0.25">
      <c r="A102" s="26">
        <v>2530020</v>
      </c>
      <c r="B102" s="26" t="s">
        <v>307</v>
      </c>
      <c r="C102" s="26">
        <v>0</v>
      </c>
      <c r="D102" s="38">
        <v>0</v>
      </c>
      <c r="E102" s="38">
        <v>0</v>
      </c>
      <c r="F102" s="38">
        <v>0</v>
      </c>
      <c r="G102" s="59">
        <v>0</v>
      </c>
      <c r="H102" s="38">
        <v>0</v>
      </c>
      <c r="I102" s="38" t="str">
        <f>IF(OR(H102="",'START HERE'!$F$8=0),"",H102/'START HERE'!$F$8)</f>
        <v/>
      </c>
      <c r="J102" s="64" t="str">
        <f t="shared" si="1"/>
        <v>OK</v>
      </c>
    </row>
    <row r="103" spans="1:10" x14ac:dyDescent="0.25">
      <c r="A103" s="26">
        <v>2530040</v>
      </c>
      <c r="B103" s="26" t="s">
        <v>307</v>
      </c>
      <c r="C103" s="26">
        <v>0</v>
      </c>
      <c r="D103" s="38">
        <v>0</v>
      </c>
      <c r="E103" s="38">
        <v>0</v>
      </c>
      <c r="F103" s="38">
        <v>0</v>
      </c>
      <c r="G103" s="59">
        <v>0</v>
      </c>
      <c r="H103" s="38">
        <v>0</v>
      </c>
      <c r="I103" s="38" t="str">
        <f>IF(OR(H103="",'START HERE'!$F$8=0),"",H103/'START HERE'!$F$8)</f>
        <v/>
      </c>
      <c r="J103" s="64" t="str">
        <f t="shared" si="1"/>
        <v>OK</v>
      </c>
    </row>
    <row r="104" spans="1:10" x14ac:dyDescent="0.25">
      <c r="A104" s="26">
        <v>2530050</v>
      </c>
      <c r="B104" s="26" t="s">
        <v>307</v>
      </c>
      <c r="C104" s="26">
        <v>0</v>
      </c>
      <c r="D104" s="38">
        <v>0</v>
      </c>
      <c r="E104" s="38">
        <v>0</v>
      </c>
      <c r="F104" s="38">
        <v>0</v>
      </c>
      <c r="G104" s="59">
        <v>0</v>
      </c>
      <c r="H104" s="38">
        <v>0</v>
      </c>
      <c r="I104" s="38" t="str">
        <f>IF(OR(H104="",'START HERE'!$F$8=0),"",H104/'START HERE'!$F$8)</f>
        <v/>
      </c>
      <c r="J104" s="64" t="str">
        <f t="shared" si="1"/>
        <v>OK</v>
      </c>
    </row>
    <row r="105" spans="1:10" x14ac:dyDescent="0.25">
      <c r="A105" s="26">
        <v>25300513</v>
      </c>
      <c r="B105" s="26" t="s">
        <v>307</v>
      </c>
      <c r="C105" s="26">
        <v>0</v>
      </c>
      <c r="D105" s="38">
        <v>0</v>
      </c>
      <c r="E105" s="38">
        <v>0</v>
      </c>
      <c r="F105" s="38">
        <v>0</v>
      </c>
      <c r="G105" s="59">
        <v>0</v>
      </c>
      <c r="H105" s="38">
        <v>0</v>
      </c>
      <c r="I105" s="38" t="str">
        <f>IF(OR(H105="",'START HERE'!$F$8=0),"",H105/'START HERE'!$F$8)</f>
        <v/>
      </c>
      <c r="J105" s="64" t="str">
        <f t="shared" si="1"/>
        <v>OK</v>
      </c>
    </row>
    <row r="106" spans="1:10" x14ac:dyDescent="0.25">
      <c r="A106" s="26">
        <v>2530060</v>
      </c>
      <c r="B106" s="26" t="s">
        <v>307</v>
      </c>
      <c r="C106" s="26">
        <v>0</v>
      </c>
      <c r="D106" s="38">
        <v>0</v>
      </c>
      <c r="E106" s="38">
        <v>0</v>
      </c>
      <c r="F106" s="38">
        <v>0</v>
      </c>
      <c r="G106" s="59">
        <v>0</v>
      </c>
      <c r="H106" s="38">
        <v>0</v>
      </c>
      <c r="I106" s="38" t="str">
        <f>IF(OR(H106="",'START HERE'!$F$8=0),"",H106/'START HERE'!$F$8)</f>
        <v/>
      </c>
      <c r="J106" s="64" t="str">
        <f t="shared" si="1"/>
        <v>OK</v>
      </c>
    </row>
    <row r="107" spans="1:10" x14ac:dyDescent="0.25">
      <c r="A107" s="26">
        <v>2530070</v>
      </c>
      <c r="B107" s="26" t="s">
        <v>307</v>
      </c>
      <c r="C107" s="26">
        <v>0</v>
      </c>
      <c r="D107" s="38">
        <v>0</v>
      </c>
      <c r="E107" s="38">
        <v>0</v>
      </c>
      <c r="F107" s="38">
        <v>0</v>
      </c>
      <c r="G107" s="59">
        <v>0</v>
      </c>
      <c r="H107" s="38">
        <v>0</v>
      </c>
      <c r="I107" s="38" t="str">
        <f>IF(OR(H107="",'START HERE'!$F$8=0),"",H107/'START HERE'!$F$8)</f>
        <v/>
      </c>
      <c r="J107" s="64" t="str">
        <f t="shared" si="1"/>
        <v>OK</v>
      </c>
    </row>
    <row r="108" spans="1:10" x14ac:dyDescent="0.25">
      <c r="A108" s="26">
        <v>2530080</v>
      </c>
      <c r="B108" s="26" t="s">
        <v>307</v>
      </c>
      <c r="C108" s="26">
        <v>0</v>
      </c>
      <c r="D108" s="38">
        <v>0</v>
      </c>
      <c r="E108" s="38">
        <v>0</v>
      </c>
      <c r="F108" s="38">
        <v>0</v>
      </c>
      <c r="G108" s="59">
        <v>0</v>
      </c>
      <c r="H108" s="38">
        <v>0</v>
      </c>
      <c r="I108" s="38" t="str">
        <f>IF(OR(H108="",'START HERE'!$F$8=0),"",H108/'START HERE'!$F$8)</f>
        <v/>
      </c>
      <c r="J108" s="64" t="str">
        <f t="shared" si="1"/>
        <v>OK</v>
      </c>
    </row>
    <row r="109" spans="1:10" x14ac:dyDescent="0.25">
      <c r="A109" s="26">
        <v>2530100</v>
      </c>
      <c r="B109" s="26" t="s">
        <v>307</v>
      </c>
      <c r="C109" s="26">
        <v>0</v>
      </c>
      <c r="D109" s="38">
        <v>0</v>
      </c>
      <c r="E109" s="38">
        <v>0</v>
      </c>
      <c r="F109" s="38">
        <v>0</v>
      </c>
      <c r="G109" s="59">
        <v>0</v>
      </c>
      <c r="H109" s="38">
        <v>0</v>
      </c>
      <c r="I109" s="38" t="str">
        <f>IF(OR(H109="",'START HERE'!$F$8=0),"",H109/'START HERE'!$F$8)</f>
        <v/>
      </c>
      <c r="J109" s="64" t="str">
        <f t="shared" si="1"/>
        <v>OK</v>
      </c>
    </row>
    <row r="110" spans="1:10" x14ac:dyDescent="0.25">
      <c r="A110" s="26">
        <v>2530110</v>
      </c>
      <c r="B110" s="26" t="s">
        <v>307</v>
      </c>
      <c r="C110" s="26">
        <v>0</v>
      </c>
      <c r="D110" s="38">
        <v>0</v>
      </c>
      <c r="E110" s="38">
        <v>0</v>
      </c>
      <c r="F110" s="38">
        <v>0</v>
      </c>
      <c r="G110" s="59">
        <v>0</v>
      </c>
      <c r="H110" s="38">
        <v>0</v>
      </c>
      <c r="I110" s="38" t="str">
        <f>IF(OR(H110="",'START HERE'!$F$8=0),"",H110/'START HERE'!$F$8)</f>
        <v/>
      </c>
      <c r="J110" s="64" t="str">
        <f t="shared" si="1"/>
        <v>OK</v>
      </c>
    </row>
    <row r="111" spans="1:10" x14ac:dyDescent="0.25">
      <c r="A111" s="26">
        <v>2530120</v>
      </c>
      <c r="B111" s="26" t="s">
        <v>307</v>
      </c>
      <c r="C111" s="26">
        <v>0</v>
      </c>
      <c r="D111" s="38">
        <v>0</v>
      </c>
      <c r="E111" s="38">
        <v>0</v>
      </c>
      <c r="F111" s="38">
        <v>0</v>
      </c>
      <c r="G111" s="59">
        <v>0</v>
      </c>
      <c r="H111" s="38">
        <v>0</v>
      </c>
      <c r="I111" s="38" t="str">
        <f>IF(OR(H111="",'START HERE'!$F$8=0),"",H111/'START HERE'!$F$8)</f>
        <v/>
      </c>
      <c r="J111" s="64" t="str">
        <f t="shared" si="1"/>
        <v>OK</v>
      </c>
    </row>
    <row r="112" spans="1:10" x14ac:dyDescent="0.25">
      <c r="A112" s="26">
        <v>2530130</v>
      </c>
      <c r="B112" s="26" t="s">
        <v>307</v>
      </c>
      <c r="C112" s="26">
        <v>0</v>
      </c>
      <c r="D112" s="38">
        <v>0</v>
      </c>
      <c r="E112" s="38">
        <v>0</v>
      </c>
      <c r="F112" s="38">
        <v>0</v>
      </c>
      <c r="G112" s="59">
        <v>0</v>
      </c>
      <c r="H112" s="38">
        <v>0</v>
      </c>
      <c r="I112" s="38" t="str">
        <f>IF(OR(H112="",'START HERE'!$F$8=0),"",H112/'START HERE'!$F$8)</f>
        <v/>
      </c>
      <c r="J112" s="64" t="str">
        <f t="shared" si="1"/>
        <v>OK</v>
      </c>
    </row>
    <row r="113" spans="1:10" x14ac:dyDescent="0.25">
      <c r="A113" s="26">
        <v>2530312</v>
      </c>
      <c r="B113" s="26" t="s">
        <v>307</v>
      </c>
      <c r="C113" s="26">
        <v>0</v>
      </c>
      <c r="D113" s="38">
        <v>0</v>
      </c>
      <c r="E113" s="38">
        <v>0</v>
      </c>
      <c r="F113" s="38">
        <v>0</v>
      </c>
      <c r="G113" s="59">
        <v>0</v>
      </c>
      <c r="H113" s="38">
        <v>0</v>
      </c>
      <c r="I113" s="38" t="str">
        <f>IF(OR(H113="",'START HERE'!$F$8=0),"",H113/'START HERE'!$F$8)</f>
        <v/>
      </c>
      <c r="J113" s="64" t="str">
        <f t="shared" si="1"/>
        <v>OK</v>
      </c>
    </row>
    <row r="114" spans="1:10" x14ac:dyDescent="0.25">
      <c r="A114" s="26">
        <v>2530313</v>
      </c>
      <c r="B114" s="26" t="s">
        <v>307</v>
      </c>
      <c r="C114" s="26">
        <v>0</v>
      </c>
      <c r="D114" s="38">
        <v>0</v>
      </c>
      <c r="E114" s="38">
        <v>0</v>
      </c>
      <c r="F114" s="38">
        <v>0</v>
      </c>
      <c r="G114" s="59">
        <v>0</v>
      </c>
      <c r="H114" s="38">
        <v>0</v>
      </c>
      <c r="I114" s="38" t="str">
        <f>IF(OR(H114="",'START HERE'!$F$8=0),"",H114/'START HERE'!$F$8)</f>
        <v/>
      </c>
      <c r="J114" s="64" t="str">
        <f t="shared" si="1"/>
        <v>OK</v>
      </c>
    </row>
    <row r="115" spans="1:10" x14ac:dyDescent="0.25">
      <c r="A115" s="26">
        <v>2530432</v>
      </c>
      <c r="B115" s="26" t="s">
        <v>307</v>
      </c>
      <c r="C115" s="26">
        <v>0</v>
      </c>
      <c r="D115" s="38">
        <v>0</v>
      </c>
      <c r="E115" s="38">
        <v>0</v>
      </c>
      <c r="F115" s="38">
        <v>0</v>
      </c>
      <c r="G115" s="59">
        <v>0</v>
      </c>
      <c r="H115" s="38">
        <v>0</v>
      </c>
      <c r="I115" s="38" t="str">
        <f>IF(OR(H115="",'START HERE'!$F$8=0),"",H115/'START HERE'!$F$8)</f>
        <v/>
      </c>
      <c r="J115" s="64" t="str">
        <f t="shared" si="1"/>
        <v>OK</v>
      </c>
    </row>
    <row r="116" spans="1:10" x14ac:dyDescent="0.25">
      <c r="A116" s="26">
        <v>2530981</v>
      </c>
      <c r="B116" s="26" t="s">
        <v>237</v>
      </c>
      <c r="C116" s="26">
        <v>0</v>
      </c>
      <c r="D116" s="38">
        <v>0</v>
      </c>
      <c r="E116" s="38">
        <v>0</v>
      </c>
      <c r="F116" s="38">
        <v>0</v>
      </c>
      <c r="G116" s="59">
        <v>0</v>
      </c>
      <c r="H116" s="38">
        <v>0</v>
      </c>
      <c r="I116" s="38" t="str">
        <f>IF(OR(H116="",'START HERE'!$F$8=0),"",H116/'START HERE'!$F$8)</f>
        <v/>
      </c>
      <c r="J116" s="64" t="str">
        <f t="shared" si="1"/>
        <v>OK</v>
      </c>
    </row>
    <row r="117" spans="1:10" x14ac:dyDescent="0.25">
      <c r="A117" s="26">
        <v>2540020</v>
      </c>
      <c r="B117" s="26" t="s">
        <v>336</v>
      </c>
      <c r="C117" s="26">
        <v>0</v>
      </c>
      <c r="D117" s="38">
        <v>0</v>
      </c>
      <c r="E117" s="38">
        <v>0</v>
      </c>
      <c r="F117" s="38">
        <v>0</v>
      </c>
      <c r="G117" s="59">
        <v>0</v>
      </c>
      <c r="H117" s="38">
        <v>0</v>
      </c>
      <c r="I117" s="38" t="str">
        <f>IF(OR(H117="",'START HERE'!$F$8=0),"",H117/'START HERE'!$F$8)</f>
        <v/>
      </c>
      <c r="J117" s="64" t="str">
        <f t="shared" si="1"/>
        <v>OK</v>
      </c>
    </row>
    <row r="118" spans="1:10" x14ac:dyDescent="0.25">
      <c r="A118" s="26">
        <v>2540030</v>
      </c>
      <c r="B118" s="26" t="s">
        <v>336</v>
      </c>
      <c r="C118" s="26">
        <v>0</v>
      </c>
      <c r="D118" s="38">
        <v>0</v>
      </c>
      <c r="E118" s="38">
        <v>0</v>
      </c>
      <c r="F118" s="38">
        <v>0</v>
      </c>
      <c r="G118" s="59">
        <v>0</v>
      </c>
      <c r="H118" s="38">
        <v>0</v>
      </c>
      <c r="I118" s="38" t="str">
        <f>IF(OR(H118="",'START HERE'!$F$8=0),"",H118/'START HERE'!$F$8)</f>
        <v/>
      </c>
      <c r="J118" s="64" t="str">
        <f t="shared" si="1"/>
        <v>OK</v>
      </c>
    </row>
    <row r="119" spans="1:10" x14ac:dyDescent="0.25">
      <c r="A119" s="26">
        <v>25400385</v>
      </c>
      <c r="B119" s="26" t="s">
        <v>336</v>
      </c>
      <c r="C119" s="26">
        <v>0</v>
      </c>
      <c r="D119" s="38">
        <v>0</v>
      </c>
      <c r="E119" s="38">
        <v>0</v>
      </c>
      <c r="F119" s="38">
        <v>0</v>
      </c>
      <c r="G119" s="59">
        <v>0</v>
      </c>
      <c r="H119" s="38">
        <v>0</v>
      </c>
      <c r="I119" s="38" t="str">
        <f>IF(OR(H119="",'START HERE'!$F$8=0),"",H119/'START HERE'!$F$8)</f>
        <v/>
      </c>
      <c r="J119" s="64" t="str">
        <f t="shared" si="1"/>
        <v>OK</v>
      </c>
    </row>
    <row r="120" spans="1:10" x14ac:dyDescent="0.25">
      <c r="A120" s="26">
        <v>2540050</v>
      </c>
      <c r="B120" s="26" t="s">
        <v>336</v>
      </c>
      <c r="C120" s="26">
        <v>0</v>
      </c>
      <c r="D120" s="38">
        <v>0</v>
      </c>
      <c r="E120" s="38">
        <v>0</v>
      </c>
      <c r="F120" s="38">
        <v>0</v>
      </c>
      <c r="G120" s="59">
        <v>0</v>
      </c>
      <c r="H120" s="38">
        <v>0</v>
      </c>
      <c r="I120" s="38" t="str">
        <f>IF(OR(H120="",'START HERE'!$F$8=0),"",H120/'START HERE'!$F$8)</f>
        <v/>
      </c>
      <c r="J120" s="64" t="str">
        <f t="shared" si="1"/>
        <v>OK</v>
      </c>
    </row>
    <row r="121" spans="1:10" x14ac:dyDescent="0.25">
      <c r="A121" s="26">
        <v>2540055</v>
      </c>
      <c r="B121" s="26" t="s">
        <v>336</v>
      </c>
      <c r="C121" s="26">
        <v>0</v>
      </c>
      <c r="D121" s="38">
        <v>0</v>
      </c>
      <c r="E121" s="38">
        <v>0</v>
      </c>
      <c r="F121" s="38">
        <v>0</v>
      </c>
      <c r="G121" s="59">
        <v>0</v>
      </c>
      <c r="H121" s="38">
        <v>0</v>
      </c>
      <c r="I121" s="38" t="str">
        <f>IF(OR(H121="",'START HERE'!$F$8=0),"",H121/'START HERE'!$F$8)</f>
        <v/>
      </c>
      <c r="J121" s="64" t="str">
        <f t="shared" si="1"/>
        <v>OK</v>
      </c>
    </row>
    <row r="122" spans="1:10" x14ac:dyDescent="0.25">
      <c r="A122" s="26">
        <v>2540090</v>
      </c>
      <c r="B122" s="26" t="s">
        <v>336</v>
      </c>
      <c r="C122" s="26">
        <v>0</v>
      </c>
      <c r="D122" s="38">
        <v>0</v>
      </c>
      <c r="E122" s="38">
        <v>0</v>
      </c>
      <c r="F122" s="38">
        <v>0</v>
      </c>
      <c r="G122" s="59">
        <v>0</v>
      </c>
      <c r="H122" s="38">
        <v>0</v>
      </c>
      <c r="I122" s="38" t="str">
        <f>IF(OR(H122="",'START HERE'!$F$8=0),"",H122/'START HERE'!$F$8)</f>
        <v/>
      </c>
      <c r="J122" s="64" t="str">
        <f t="shared" si="1"/>
        <v>OK</v>
      </c>
    </row>
    <row r="123" spans="1:10" x14ac:dyDescent="0.25">
      <c r="A123" s="26">
        <v>2540100</v>
      </c>
      <c r="B123" s="26" t="s">
        <v>336</v>
      </c>
      <c r="C123" s="26">
        <v>0</v>
      </c>
      <c r="D123" s="38">
        <v>0</v>
      </c>
      <c r="E123" s="38">
        <v>0</v>
      </c>
      <c r="F123" s="38">
        <v>0</v>
      </c>
      <c r="G123" s="59">
        <v>0</v>
      </c>
      <c r="H123" s="38">
        <v>0</v>
      </c>
      <c r="I123" s="38" t="str">
        <f>IF(OR(H123="",'START HERE'!$F$8=0),"",H123/'START HERE'!$F$8)</f>
        <v/>
      </c>
      <c r="J123" s="64" t="str">
        <f t="shared" si="1"/>
        <v>OK</v>
      </c>
    </row>
    <row r="124" spans="1:10" x14ac:dyDescent="0.25">
      <c r="A124" s="26">
        <v>2550120</v>
      </c>
      <c r="B124" s="26" t="s">
        <v>351</v>
      </c>
      <c r="C124" s="26">
        <v>0</v>
      </c>
      <c r="D124" s="38">
        <v>0</v>
      </c>
      <c r="E124" s="38">
        <v>0</v>
      </c>
      <c r="F124" s="38">
        <v>0</v>
      </c>
      <c r="G124" s="59">
        <v>0</v>
      </c>
      <c r="H124" s="38">
        <v>0</v>
      </c>
      <c r="I124" s="38" t="str">
        <f>IF(OR(H124="",'START HERE'!$F$8=0),"",H124/'START HERE'!$F$8)</f>
        <v/>
      </c>
      <c r="J124" s="64" t="str">
        <f t="shared" si="1"/>
        <v>OK</v>
      </c>
    </row>
    <row r="125" spans="1:10" x14ac:dyDescent="0.25">
      <c r="A125" s="26">
        <v>2550190</v>
      </c>
      <c r="B125" s="26" t="s">
        <v>351</v>
      </c>
      <c r="C125" s="26">
        <v>0</v>
      </c>
      <c r="D125" s="38">
        <v>0</v>
      </c>
      <c r="E125" s="38">
        <v>0</v>
      </c>
      <c r="F125" s="38">
        <v>0</v>
      </c>
      <c r="G125" s="59">
        <v>0</v>
      </c>
      <c r="H125" s="38">
        <v>0</v>
      </c>
      <c r="I125" s="38" t="str">
        <f>IF(OR(H125="",'START HERE'!$F$8=0),"",H125/'START HERE'!$F$8)</f>
        <v/>
      </c>
      <c r="J125" s="64" t="str">
        <f t="shared" si="1"/>
        <v>OK</v>
      </c>
    </row>
    <row r="126" spans="1:10" x14ac:dyDescent="0.25">
      <c r="A126" s="26">
        <v>2550453</v>
      </c>
      <c r="B126" s="26" t="s">
        <v>351</v>
      </c>
      <c r="C126" s="26">
        <v>0</v>
      </c>
      <c r="D126" s="38">
        <v>0</v>
      </c>
      <c r="E126" s="38">
        <v>0</v>
      </c>
      <c r="F126" s="38">
        <v>0</v>
      </c>
      <c r="G126" s="59">
        <v>0</v>
      </c>
      <c r="H126" s="38">
        <v>0</v>
      </c>
      <c r="I126" s="38" t="str">
        <f>IF(OR(H126="",'START HERE'!$F$8=0),"",H126/'START HERE'!$F$8)</f>
        <v/>
      </c>
      <c r="J126" s="64" t="str">
        <f t="shared" si="1"/>
        <v>OK</v>
      </c>
    </row>
    <row r="127" spans="1:10" x14ac:dyDescent="0.25">
      <c r="A127" s="26">
        <v>2550476</v>
      </c>
      <c r="B127" s="26" t="s">
        <v>351</v>
      </c>
      <c r="C127" s="26">
        <v>0</v>
      </c>
      <c r="D127" s="38">
        <v>0</v>
      </c>
      <c r="E127" s="38">
        <v>0</v>
      </c>
      <c r="F127" s="38">
        <v>0</v>
      </c>
      <c r="G127" s="59">
        <v>0</v>
      </c>
      <c r="H127" s="38">
        <v>0</v>
      </c>
      <c r="I127" s="38" t="str">
        <f>IF(OR(H127="",'START HERE'!$F$8=0),"",H127/'START HERE'!$F$8)</f>
        <v/>
      </c>
      <c r="J127" s="64" t="str">
        <f t="shared" si="1"/>
        <v>OK</v>
      </c>
    </row>
    <row r="128" spans="1:10" x14ac:dyDescent="0.25">
      <c r="A128" s="26">
        <v>2550512</v>
      </c>
      <c r="B128" s="26" t="s">
        <v>351</v>
      </c>
      <c r="C128" s="26">
        <v>0</v>
      </c>
      <c r="D128" s="38">
        <v>0</v>
      </c>
      <c r="E128" s="38">
        <v>0</v>
      </c>
      <c r="F128" s="38">
        <v>0</v>
      </c>
      <c r="G128" s="59">
        <v>0</v>
      </c>
      <c r="H128" s="38">
        <v>0</v>
      </c>
      <c r="I128" s="38" t="str">
        <f>IF(OR(H128="",'START HERE'!$F$8=0),"",H128/'START HERE'!$F$8)</f>
        <v/>
      </c>
      <c r="J128" s="64" t="str">
        <f t="shared" si="1"/>
        <v>OK</v>
      </c>
    </row>
    <row r="129" spans="1:10" x14ac:dyDescent="0.25">
      <c r="A129" s="26">
        <v>3010015</v>
      </c>
      <c r="B129" s="26" t="s">
        <v>364</v>
      </c>
      <c r="C129" s="26">
        <v>0</v>
      </c>
      <c r="D129" s="38">
        <v>0</v>
      </c>
      <c r="E129" s="38">
        <v>0</v>
      </c>
      <c r="F129" s="38">
        <v>0</v>
      </c>
      <c r="G129" s="59">
        <v>0</v>
      </c>
      <c r="H129" s="38">
        <v>0</v>
      </c>
      <c r="I129" s="38" t="str">
        <f>IF(OR(H129="",'START HERE'!$F$8=0),"",H129/'START HERE'!$F$8)</f>
        <v/>
      </c>
      <c r="J129" s="64" t="str">
        <f t="shared" si="1"/>
        <v>OK</v>
      </c>
    </row>
    <row r="130" spans="1:10" x14ac:dyDescent="0.25">
      <c r="A130" s="26">
        <v>3010020</v>
      </c>
      <c r="B130" s="26" t="s">
        <v>364</v>
      </c>
      <c r="C130" s="26">
        <v>0</v>
      </c>
      <c r="D130" s="38">
        <v>0</v>
      </c>
      <c r="E130" s="38">
        <v>0</v>
      </c>
      <c r="F130" s="38">
        <v>0</v>
      </c>
      <c r="G130" s="59">
        <v>0</v>
      </c>
      <c r="H130" s="38">
        <v>0</v>
      </c>
      <c r="I130" s="38" t="str">
        <f>IF(OR(H130="",'START HERE'!$F$8=0),"",H130/'START HERE'!$F$8)</f>
        <v/>
      </c>
      <c r="J130" s="64" t="str">
        <f t="shared" si="1"/>
        <v>OK</v>
      </c>
    </row>
    <row r="131" spans="1:10" x14ac:dyDescent="0.25">
      <c r="A131" s="26">
        <v>3010050</v>
      </c>
      <c r="B131" s="26" t="s">
        <v>364</v>
      </c>
      <c r="C131" s="26">
        <v>0</v>
      </c>
      <c r="D131" s="38">
        <v>0</v>
      </c>
      <c r="E131" s="38">
        <v>0</v>
      </c>
      <c r="F131" s="38">
        <v>0</v>
      </c>
      <c r="G131" s="59">
        <v>0</v>
      </c>
      <c r="H131" s="38">
        <v>0</v>
      </c>
      <c r="I131" s="38" t="str">
        <f>IF(OR(H131="",'START HERE'!$F$8=0),"",H131/'START HERE'!$F$8)</f>
        <v/>
      </c>
      <c r="J131" s="64" t="str">
        <f t="shared" si="1"/>
        <v>OK</v>
      </c>
    </row>
    <row r="132" spans="1:10" x14ac:dyDescent="0.25">
      <c r="A132" s="26">
        <v>3010100</v>
      </c>
      <c r="B132" s="26" t="s">
        <v>364</v>
      </c>
      <c r="C132" s="26">
        <v>0</v>
      </c>
      <c r="D132" s="38">
        <v>0</v>
      </c>
      <c r="E132" s="38">
        <v>0</v>
      </c>
      <c r="F132" s="38">
        <v>0</v>
      </c>
      <c r="G132" s="59">
        <v>0</v>
      </c>
      <c r="H132" s="38">
        <v>0</v>
      </c>
      <c r="I132" s="38" t="str">
        <f>IF(OR(H132="",'START HERE'!$F$8=0),"",H132/'START HERE'!$F$8)</f>
        <v/>
      </c>
      <c r="J132" s="64" t="str">
        <f t="shared" si="1"/>
        <v>OK</v>
      </c>
    </row>
    <row r="133" spans="1:10" x14ac:dyDescent="0.25">
      <c r="A133" s="26">
        <v>3010120</v>
      </c>
      <c r="B133" s="26" t="s">
        <v>364</v>
      </c>
      <c r="C133" s="26">
        <v>0</v>
      </c>
      <c r="D133" s="38">
        <v>0</v>
      </c>
      <c r="E133" s="38">
        <v>0</v>
      </c>
      <c r="F133" s="38">
        <v>0</v>
      </c>
      <c r="G133" s="59">
        <v>0</v>
      </c>
      <c r="H133" s="38">
        <v>0</v>
      </c>
      <c r="I133" s="38" t="str">
        <f>IF(OR(H133="",'START HERE'!$F$8=0),"",H133/'START HERE'!$F$8)</f>
        <v/>
      </c>
      <c r="J133" s="64" t="str">
        <f t="shared" ref="J133:J196" si="2">IF(G133="","MISSING PHYSICAL",IF(H133&lt;0,"CHECK: NEGATIVE CONSUMPTION","OK"))</f>
        <v>OK</v>
      </c>
    </row>
    <row r="134" spans="1:10" x14ac:dyDescent="0.25">
      <c r="A134" s="26">
        <v>3010130</v>
      </c>
      <c r="B134" s="26" t="s">
        <v>364</v>
      </c>
      <c r="C134" s="26">
        <v>0</v>
      </c>
      <c r="D134" s="38">
        <v>0</v>
      </c>
      <c r="E134" s="38">
        <v>0</v>
      </c>
      <c r="F134" s="38">
        <v>0</v>
      </c>
      <c r="G134" s="59">
        <v>0</v>
      </c>
      <c r="H134" s="38">
        <v>0</v>
      </c>
      <c r="I134" s="38" t="str">
        <f>IF(OR(H134="",'START HERE'!$F$8=0),"",H134/'START HERE'!$F$8)</f>
        <v/>
      </c>
      <c r="J134" s="64" t="str">
        <f t="shared" si="2"/>
        <v>OK</v>
      </c>
    </row>
    <row r="135" spans="1:10" x14ac:dyDescent="0.25">
      <c r="A135" s="26">
        <v>3010140</v>
      </c>
      <c r="B135" s="26" t="s">
        <v>364</v>
      </c>
      <c r="C135" s="26">
        <v>0</v>
      </c>
      <c r="D135" s="38">
        <v>0</v>
      </c>
      <c r="E135" s="38">
        <v>0</v>
      </c>
      <c r="F135" s="38">
        <v>0</v>
      </c>
      <c r="G135" s="59">
        <v>0</v>
      </c>
      <c r="H135" s="38">
        <v>0</v>
      </c>
      <c r="I135" s="38" t="str">
        <f>IF(OR(H135="",'START HERE'!$F$8=0),"",H135/'START HERE'!$F$8)</f>
        <v/>
      </c>
      <c r="J135" s="64" t="str">
        <f t="shared" si="2"/>
        <v>OK</v>
      </c>
    </row>
    <row r="136" spans="1:10" x14ac:dyDescent="0.25">
      <c r="A136" s="26">
        <v>3010141</v>
      </c>
      <c r="B136" s="26" t="s">
        <v>364</v>
      </c>
      <c r="C136" s="26">
        <v>0</v>
      </c>
      <c r="D136" s="38">
        <v>0</v>
      </c>
      <c r="E136" s="38">
        <v>0</v>
      </c>
      <c r="F136" s="38">
        <v>0</v>
      </c>
      <c r="G136" s="59">
        <v>0</v>
      </c>
      <c r="H136" s="38">
        <v>0</v>
      </c>
      <c r="I136" s="38" t="str">
        <f>IF(OR(H136="",'START HERE'!$F$8=0),"",H136/'START HERE'!$F$8)</f>
        <v/>
      </c>
      <c r="J136" s="64" t="str">
        <f t="shared" si="2"/>
        <v>OK</v>
      </c>
    </row>
    <row r="137" spans="1:10" x14ac:dyDescent="0.25">
      <c r="A137" s="26">
        <v>3010160</v>
      </c>
      <c r="B137" s="26" t="s">
        <v>364</v>
      </c>
      <c r="C137" s="26">
        <v>0</v>
      </c>
      <c r="D137" s="38">
        <v>0</v>
      </c>
      <c r="E137" s="38">
        <v>0</v>
      </c>
      <c r="F137" s="38">
        <v>0</v>
      </c>
      <c r="G137" s="59">
        <v>0</v>
      </c>
      <c r="H137" s="38">
        <v>0</v>
      </c>
      <c r="I137" s="38" t="str">
        <f>IF(OR(H137="",'START HERE'!$F$8=0),"",H137/'START HERE'!$F$8)</f>
        <v/>
      </c>
      <c r="J137" s="64" t="str">
        <f t="shared" si="2"/>
        <v>OK</v>
      </c>
    </row>
    <row r="138" spans="1:10" x14ac:dyDescent="0.25">
      <c r="A138" s="26">
        <v>3010180</v>
      </c>
      <c r="B138" s="26" t="s">
        <v>364</v>
      </c>
      <c r="C138" s="26">
        <v>0</v>
      </c>
      <c r="D138" s="38">
        <v>0</v>
      </c>
      <c r="E138" s="38">
        <v>0</v>
      </c>
      <c r="F138" s="38">
        <v>0</v>
      </c>
      <c r="G138" s="59">
        <v>0</v>
      </c>
      <c r="H138" s="38">
        <v>0</v>
      </c>
      <c r="I138" s="38" t="str">
        <f>IF(OR(H138="",'START HERE'!$F$8=0),"",H138/'START HERE'!$F$8)</f>
        <v/>
      </c>
      <c r="J138" s="64" t="str">
        <f t="shared" si="2"/>
        <v>OK</v>
      </c>
    </row>
    <row r="139" spans="1:10" x14ac:dyDescent="0.25">
      <c r="A139" s="26">
        <v>3010200</v>
      </c>
      <c r="B139" s="26" t="s">
        <v>364</v>
      </c>
      <c r="C139" s="26">
        <v>0</v>
      </c>
      <c r="D139" s="38">
        <v>0</v>
      </c>
      <c r="E139" s="38">
        <v>0</v>
      </c>
      <c r="F139" s="38">
        <v>0</v>
      </c>
      <c r="G139" s="59">
        <v>0</v>
      </c>
      <c r="H139" s="38">
        <v>0</v>
      </c>
      <c r="I139" s="38" t="str">
        <f>IF(OR(H139="",'START HERE'!$F$8=0),"",H139/'START HERE'!$F$8)</f>
        <v/>
      </c>
      <c r="J139" s="64" t="str">
        <f t="shared" si="2"/>
        <v>OK</v>
      </c>
    </row>
    <row r="140" spans="1:10" x14ac:dyDescent="0.25">
      <c r="A140" s="26">
        <v>3010250</v>
      </c>
      <c r="B140" s="26" t="s">
        <v>364</v>
      </c>
      <c r="C140" s="26">
        <v>0</v>
      </c>
      <c r="D140" s="38">
        <v>0</v>
      </c>
      <c r="E140" s="38">
        <v>0</v>
      </c>
      <c r="F140" s="38">
        <v>0</v>
      </c>
      <c r="G140" s="59">
        <v>0</v>
      </c>
      <c r="H140" s="38">
        <v>0</v>
      </c>
      <c r="I140" s="38" t="str">
        <f>IF(OR(H140="",'START HERE'!$F$8=0),"",H140/'START HERE'!$F$8)</f>
        <v/>
      </c>
      <c r="J140" s="64" t="str">
        <f t="shared" si="2"/>
        <v>OK</v>
      </c>
    </row>
    <row r="141" spans="1:10" x14ac:dyDescent="0.25">
      <c r="A141" s="26">
        <v>3020040</v>
      </c>
      <c r="B141" s="26" t="s">
        <v>388</v>
      </c>
      <c r="C141" s="26">
        <v>0</v>
      </c>
      <c r="D141" s="38">
        <v>0</v>
      </c>
      <c r="E141" s="38">
        <v>0</v>
      </c>
      <c r="F141" s="38">
        <v>0</v>
      </c>
      <c r="G141" s="59">
        <v>0</v>
      </c>
      <c r="H141" s="38">
        <v>0</v>
      </c>
      <c r="I141" s="38" t="str">
        <f>IF(OR(H141="",'START HERE'!$F$8=0),"",H141/'START HERE'!$F$8)</f>
        <v/>
      </c>
      <c r="J141" s="64" t="str">
        <f t="shared" si="2"/>
        <v>OK</v>
      </c>
    </row>
    <row r="142" spans="1:10" x14ac:dyDescent="0.25">
      <c r="A142" s="26">
        <v>3020060</v>
      </c>
      <c r="B142" s="26" t="s">
        <v>388</v>
      </c>
      <c r="C142" s="26">
        <v>0</v>
      </c>
      <c r="D142" s="38">
        <v>0</v>
      </c>
      <c r="E142" s="38">
        <v>0</v>
      </c>
      <c r="F142" s="38">
        <v>0</v>
      </c>
      <c r="G142" s="59">
        <v>0</v>
      </c>
      <c r="H142" s="38">
        <v>0</v>
      </c>
      <c r="I142" s="38" t="str">
        <f>IF(OR(H142="",'START HERE'!$F$8=0),"",H142/'START HERE'!$F$8)</f>
        <v/>
      </c>
      <c r="J142" s="64" t="str">
        <f t="shared" si="2"/>
        <v>OK</v>
      </c>
    </row>
    <row r="143" spans="1:10" x14ac:dyDescent="0.25">
      <c r="A143" s="26">
        <v>3020100</v>
      </c>
      <c r="B143" s="26" t="s">
        <v>388</v>
      </c>
      <c r="C143" s="26">
        <v>0</v>
      </c>
      <c r="D143" s="38">
        <v>0</v>
      </c>
      <c r="E143" s="38">
        <v>0</v>
      </c>
      <c r="F143" s="38">
        <v>0</v>
      </c>
      <c r="G143" s="59">
        <v>0</v>
      </c>
      <c r="H143" s="38">
        <v>0</v>
      </c>
      <c r="I143" s="38" t="str">
        <f>IF(OR(H143="",'START HERE'!$F$8=0),"",H143/'START HERE'!$F$8)</f>
        <v/>
      </c>
      <c r="J143" s="64" t="str">
        <f t="shared" si="2"/>
        <v>OK</v>
      </c>
    </row>
    <row r="144" spans="1:10" x14ac:dyDescent="0.25">
      <c r="A144" s="26">
        <v>3020140</v>
      </c>
      <c r="B144" s="26" t="s">
        <v>388</v>
      </c>
      <c r="C144" s="26">
        <v>0</v>
      </c>
      <c r="D144" s="38">
        <v>0</v>
      </c>
      <c r="E144" s="38">
        <v>0</v>
      </c>
      <c r="F144" s="38">
        <v>0</v>
      </c>
      <c r="G144" s="59">
        <v>0</v>
      </c>
      <c r="H144" s="38">
        <v>0</v>
      </c>
      <c r="I144" s="38" t="str">
        <f>IF(OR(H144="",'START HERE'!$F$8=0),"",H144/'START HERE'!$F$8)</f>
        <v/>
      </c>
      <c r="J144" s="64" t="str">
        <f t="shared" si="2"/>
        <v>OK</v>
      </c>
    </row>
    <row r="145" spans="1:10" x14ac:dyDescent="0.25">
      <c r="A145" s="26">
        <v>3020401</v>
      </c>
      <c r="B145" s="26" t="s">
        <v>388</v>
      </c>
      <c r="C145" s="26">
        <v>0</v>
      </c>
      <c r="D145" s="38">
        <v>0</v>
      </c>
      <c r="E145" s="38">
        <v>0</v>
      </c>
      <c r="F145" s="38">
        <v>0</v>
      </c>
      <c r="G145" s="59">
        <v>0</v>
      </c>
      <c r="H145" s="38">
        <v>0</v>
      </c>
      <c r="I145" s="38" t="str">
        <f>IF(OR(H145="",'START HERE'!$F$8=0),"",H145/'START HERE'!$F$8)</f>
        <v/>
      </c>
      <c r="J145" s="64" t="str">
        <f t="shared" si="2"/>
        <v>OK</v>
      </c>
    </row>
    <row r="146" spans="1:10" x14ac:dyDescent="0.25">
      <c r="A146" s="26">
        <v>3020456</v>
      </c>
      <c r="B146" s="26" t="s">
        <v>388</v>
      </c>
      <c r="C146" s="26">
        <v>0</v>
      </c>
      <c r="D146" s="38">
        <v>0</v>
      </c>
      <c r="E146" s="38">
        <v>0</v>
      </c>
      <c r="F146" s="38">
        <v>0</v>
      </c>
      <c r="G146" s="59">
        <v>0</v>
      </c>
      <c r="H146" s="38">
        <v>0</v>
      </c>
      <c r="I146" s="38" t="str">
        <f>IF(OR(H146="",'START HERE'!$F$8=0),"",H146/'START HERE'!$F$8)</f>
        <v/>
      </c>
      <c r="J146" s="64" t="str">
        <f t="shared" si="2"/>
        <v>OK</v>
      </c>
    </row>
    <row r="147" spans="1:10" x14ac:dyDescent="0.25">
      <c r="A147" s="26">
        <v>3030030</v>
      </c>
      <c r="B147" s="26" t="s">
        <v>398</v>
      </c>
      <c r="C147" s="26">
        <v>0</v>
      </c>
      <c r="D147" s="38">
        <v>0</v>
      </c>
      <c r="E147" s="38">
        <v>0</v>
      </c>
      <c r="F147" s="38">
        <v>0</v>
      </c>
      <c r="G147" s="59">
        <v>0</v>
      </c>
      <c r="H147" s="38">
        <v>0</v>
      </c>
      <c r="I147" s="38" t="str">
        <f>IF(OR(H147="",'START HERE'!$F$8=0),"",H147/'START HERE'!$F$8)</f>
        <v/>
      </c>
      <c r="J147" s="64" t="str">
        <f t="shared" si="2"/>
        <v>OK</v>
      </c>
    </row>
    <row r="148" spans="1:10" x14ac:dyDescent="0.25">
      <c r="A148" s="26">
        <v>3030060</v>
      </c>
      <c r="B148" s="26" t="s">
        <v>398</v>
      </c>
      <c r="C148" s="26">
        <v>0</v>
      </c>
      <c r="D148" s="38">
        <v>0</v>
      </c>
      <c r="E148" s="38">
        <v>0</v>
      </c>
      <c r="F148" s="38">
        <v>0</v>
      </c>
      <c r="G148" s="59">
        <v>0</v>
      </c>
      <c r="H148" s="38">
        <v>0</v>
      </c>
      <c r="I148" s="38" t="str">
        <f>IF(OR(H148="",'START HERE'!$F$8=0),"",H148/'START HERE'!$F$8)</f>
        <v/>
      </c>
      <c r="J148" s="64" t="str">
        <f t="shared" si="2"/>
        <v>OK</v>
      </c>
    </row>
    <row r="149" spans="1:10" x14ac:dyDescent="0.25">
      <c r="A149" s="26">
        <v>3030143</v>
      </c>
      <c r="B149" s="26" t="s">
        <v>398</v>
      </c>
      <c r="C149" s="26">
        <v>0</v>
      </c>
      <c r="D149" s="38">
        <v>0</v>
      </c>
      <c r="E149" s="38">
        <v>0</v>
      </c>
      <c r="F149" s="38">
        <v>0</v>
      </c>
      <c r="G149" s="59">
        <v>0</v>
      </c>
      <c r="H149" s="38">
        <v>0</v>
      </c>
      <c r="I149" s="38" t="str">
        <f>IF(OR(H149="",'START HERE'!$F$8=0),"",H149/'START HERE'!$F$8)</f>
        <v/>
      </c>
      <c r="J149" s="64" t="str">
        <f t="shared" si="2"/>
        <v>OK</v>
      </c>
    </row>
    <row r="150" spans="1:10" x14ac:dyDescent="0.25">
      <c r="A150" s="26">
        <v>3030157</v>
      </c>
      <c r="B150" s="26" t="s">
        <v>398</v>
      </c>
      <c r="C150" s="26">
        <v>0</v>
      </c>
      <c r="D150" s="38">
        <v>0</v>
      </c>
      <c r="E150" s="38">
        <v>0</v>
      </c>
      <c r="F150" s="38">
        <v>0</v>
      </c>
      <c r="G150" s="59">
        <v>0</v>
      </c>
      <c r="H150" s="38">
        <v>0</v>
      </c>
      <c r="I150" s="38" t="str">
        <f>IF(OR(H150="",'START HERE'!$F$8=0),"",H150/'START HERE'!$F$8)</f>
        <v/>
      </c>
      <c r="J150" s="64" t="str">
        <f t="shared" si="2"/>
        <v>OK</v>
      </c>
    </row>
    <row r="151" spans="1:10" x14ac:dyDescent="0.25">
      <c r="A151" s="26">
        <v>3030167</v>
      </c>
      <c r="B151" s="26" t="s">
        <v>398</v>
      </c>
      <c r="C151" s="26">
        <v>0</v>
      </c>
      <c r="D151" s="38">
        <v>0</v>
      </c>
      <c r="E151" s="38">
        <v>0</v>
      </c>
      <c r="F151" s="38">
        <v>0</v>
      </c>
      <c r="G151" s="59">
        <v>0</v>
      </c>
      <c r="H151" s="38">
        <v>0</v>
      </c>
      <c r="I151" s="38" t="str">
        <f>IF(OR(H151="",'START HERE'!$F$8=0),"",H151/'START HERE'!$F$8)</f>
        <v/>
      </c>
      <c r="J151" s="64" t="str">
        <f t="shared" si="2"/>
        <v>OK</v>
      </c>
    </row>
    <row r="152" spans="1:10" x14ac:dyDescent="0.25">
      <c r="A152" s="26">
        <v>3030211</v>
      </c>
      <c r="B152" s="26" t="s">
        <v>398</v>
      </c>
      <c r="C152" s="26">
        <v>0</v>
      </c>
      <c r="D152" s="38">
        <v>0</v>
      </c>
      <c r="E152" s="38">
        <v>0</v>
      </c>
      <c r="F152" s="38">
        <v>0</v>
      </c>
      <c r="G152" s="59">
        <v>0</v>
      </c>
      <c r="H152" s="38">
        <v>0</v>
      </c>
      <c r="I152" s="38" t="str">
        <f>IF(OR(H152="",'START HERE'!$F$8=0),"",H152/'START HERE'!$F$8)</f>
        <v/>
      </c>
      <c r="J152" s="64" t="str">
        <f t="shared" si="2"/>
        <v>OK</v>
      </c>
    </row>
    <row r="153" spans="1:10" x14ac:dyDescent="0.25">
      <c r="A153" s="26">
        <v>3510010</v>
      </c>
      <c r="B153" s="26" t="s">
        <v>408</v>
      </c>
      <c r="C153" s="26">
        <v>0</v>
      </c>
      <c r="D153" s="38">
        <v>0</v>
      </c>
      <c r="E153" s="38">
        <v>0</v>
      </c>
      <c r="F153" s="38">
        <v>0</v>
      </c>
      <c r="G153" s="59">
        <v>0</v>
      </c>
      <c r="H153" s="38">
        <v>0</v>
      </c>
      <c r="I153" s="38" t="str">
        <f>IF(OR(H153="",'START HERE'!$F$8=0),"",H153/'START HERE'!$F$8)</f>
        <v/>
      </c>
      <c r="J153" s="64" t="str">
        <f t="shared" si="2"/>
        <v>OK</v>
      </c>
    </row>
    <row r="154" spans="1:10" x14ac:dyDescent="0.25">
      <c r="A154" s="26">
        <v>3510020</v>
      </c>
      <c r="B154" s="26" t="s">
        <v>408</v>
      </c>
      <c r="C154" s="26">
        <v>0</v>
      </c>
      <c r="D154" s="38">
        <v>0</v>
      </c>
      <c r="E154" s="38">
        <v>0</v>
      </c>
      <c r="F154" s="38">
        <v>0</v>
      </c>
      <c r="G154" s="59">
        <v>0</v>
      </c>
      <c r="H154" s="38">
        <v>0</v>
      </c>
      <c r="I154" s="38" t="str">
        <f>IF(OR(H154="",'START HERE'!$F$8=0),"",H154/'START HERE'!$F$8)</f>
        <v/>
      </c>
      <c r="J154" s="64" t="str">
        <f t="shared" si="2"/>
        <v>OK</v>
      </c>
    </row>
    <row r="155" spans="1:10" x14ac:dyDescent="0.25">
      <c r="A155" s="26">
        <v>3510035</v>
      </c>
      <c r="B155" s="26" t="s">
        <v>408</v>
      </c>
      <c r="C155" s="26">
        <v>0</v>
      </c>
      <c r="D155" s="38">
        <v>0</v>
      </c>
      <c r="E155" s="38">
        <v>0</v>
      </c>
      <c r="F155" s="38">
        <v>0</v>
      </c>
      <c r="G155" s="59">
        <v>0</v>
      </c>
      <c r="H155" s="38">
        <v>0</v>
      </c>
      <c r="I155" s="38" t="str">
        <f>IF(OR(H155="",'START HERE'!$F$8=0),"",H155/'START HERE'!$F$8)</f>
        <v/>
      </c>
      <c r="J155" s="64" t="str">
        <f t="shared" si="2"/>
        <v>OK</v>
      </c>
    </row>
    <row r="156" spans="1:10" x14ac:dyDescent="0.25">
      <c r="A156" s="26">
        <v>3510060</v>
      </c>
      <c r="B156" s="26" t="s">
        <v>408</v>
      </c>
      <c r="C156" s="26">
        <v>0</v>
      </c>
      <c r="D156" s="38">
        <v>0</v>
      </c>
      <c r="E156" s="38">
        <v>0</v>
      </c>
      <c r="F156" s="38">
        <v>0</v>
      </c>
      <c r="G156" s="59">
        <v>0</v>
      </c>
      <c r="H156" s="38">
        <v>0</v>
      </c>
      <c r="I156" s="38" t="str">
        <f>IF(OR(H156="",'START HERE'!$F$8=0),"",H156/'START HERE'!$F$8)</f>
        <v/>
      </c>
      <c r="J156" s="64" t="str">
        <f t="shared" si="2"/>
        <v>OK</v>
      </c>
    </row>
    <row r="157" spans="1:10" x14ac:dyDescent="0.25">
      <c r="A157" s="26">
        <v>3510070</v>
      </c>
      <c r="B157" s="26" t="s">
        <v>408</v>
      </c>
      <c r="C157" s="26">
        <v>0</v>
      </c>
      <c r="D157" s="38">
        <v>0</v>
      </c>
      <c r="E157" s="38">
        <v>0</v>
      </c>
      <c r="F157" s="38">
        <v>0</v>
      </c>
      <c r="G157" s="59">
        <v>0</v>
      </c>
      <c r="H157" s="38">
        <v>0</v>
      </c>
      <c r="I157" s="38" t="str">
        <f>IF(OR(H157="",'START HERE'!$F$8=0),"",H157/'START HERE'!$F$8)</f>
        <v/>
      </c>
      <c r="J157" s="64" t="str">
        <f t="shared" si="2"/>
        <v>OK</v>
      </c>
    </row>
    <row r="158" spans="1:10" x14ac:dyDescent="0.25">
      <c r="A158" s="26">
        <v>3510086</v>
      </c>
      <c r="B158" s="26" t="s">
        <v>408</v>
      </c>
      <c r="C158" s="26">
        <v>0</v>
      </c>
      <c r="D158" s="38">
        <v>0</v>
      </c>
      <c r="E158" s="38">
        <v>0</v>
      </c>
      <c r="F158" s="38">
        <v>0</v>
      </c>
      <c r="G158" s="59">
        <v>0</v>
      </c>
      <c r="H158" s="38">
        <v>0</v>
      </c>
      <c r="I158" s="38" t="str">
        <f>IF(OR(H158="",'START HERE'!$F$8=0),"",H158/'START HERE'!$F$8)</f>
        <v/>
      </c>
      <c r="J158" s="64" t="str">
        <f t="shared" si="2"/>
        <v>OK</v>
      </c>
    </row>
    <row r="159" spans="1:10" x14ac:dyDescent="0.25">
      <c r="A159" s="26">
        <v>35101510</v>
      </c>
      <c r="B159" s="26" t="s">
        <v>408</v>
      </c>
      <c r="C159" s="26">
        <v>0</v>
      </c>
      <c r="D159" s="38">
        <v>0</v>
      </c>
      <c r="E159" s="38">
        <v>0</v>
      </c>
      <c r="F159" s="38">
        <v>0</v>
      </c>
      <c r="G159" s="59">
        <v>0</v>
      </c>
      <c r="H159" s="38">
        <v>0</v>
      </c>
      <c r="I159" s="38" t="str">
        <f>IF(OR(H159="",'START HERE'!$F$8=0),"",H159/'START HERE'!$F$8)</f>
        <v/>
      </c>
      <c r="J159" s="64" t="str">
        <f t="shared" si="2"/>
        <v>OK</v>
      </c>
    </row>
    <row r="160" spans="1:10" x14ac:dyDescent="0.25">
      <c r="A160" s="26">
        <v>3520020</v>
      </c>
      <c r="B160" s="26" t="s">
        <v>424</v>
      </c>
      <c r="C160" s="26">
        <v>0</v>
      </c>
      <c r="D160" s="38">
        <v>0</v>
      </c>
      <c r="E160" s="38">
        <v>0</v>
      </c>
      <c r="F160" s="38">
        <v>0</v>
      </c>
      <c r="G160" s="59">
        <v>0</v>
      </c>
      <c r="H160" s="38">
        <v>0</v>
      </c>
      <c r="I160" s="38" t="str">
        <f>IF(OR(H160="",'START HERE'!$F$8=0),"",H160/'START HERE'!$F$8)</f>
        <v/>
      </c>
      <c r="J160" s="64" t="str">
        <f t="shared" si="2"/>
        <v>OK</v>
      </c>
    </row>
    <row r="161" spans="1:10" x14ac:dyDescent="0.25">
      <c r="A161" s="26">
        <v>3520060</v>
      </c>
      <c r="B161" s="26" t="s">
        <v>424</v>
      </c>
      <c r="C161" s="26">
        <v>0</v>
      </c>
      <c r="D161" s="38">
        <v>0</v>
      </c>
      <c r="E161" s="38">
        <v>0</v>
      </c>
      <c r="F161" s="38">
        <v>0</v>
      </c>
      <c r="G161" s="59">
        <v>0</v>
      </c>
      <c r="H161" s="38">
        <v>0</v>
      </c>
      <c r="I161" s="38" t="str">
        <f>IF(OR(H161="",'START HERE'!$F$8=0),"",H161/'START HERE'!$F$8)</f>
        <v/>
      </c>
      <c r="J161" s="64" t="str">
        <f t="shared" si="2"/>
        <v>OK</v>
      </c>
    </row>
    <row r="162" spans="1:10" x14ac:dyDescent="0.25">
      <c r="A162" s="26">
        <v>3520080</v>
      </c>
      <c r="B162" s="26" t="s">
        <v>424</v>
      </c>
      <c r="C162" s="26">
        <v>0</v>
      </c>
      <c r="D162" s="38">
        <v>0</v>
      </c>
      <c r="E162" s="38">
        <v>0</v>
      </c>
      <c r="F162" s="38">
        <v>0</v>
      </c>
      <c r="G162" s="59">
        <v>0</v>
      </c>
      <c r="H162" s="38">
        <v>0</v>
      </c>
      <c r="I162" s="38" t="str">
        <f>IF(OR(H162="",'START HERE'!$F$8=0),"",H162/'START HERE'!$F$8)</f>
        <v/>
      </c>
      <c r="J162" s="64" t="str">
        <f t="shared" si="2"/>
        <v>OK</v>
      </c>
    </row>
    <row r="163" spans="1:10" x14ac:dyDescent="0.25">
      <c r="A163" s="26">
        <v>3530010</v>
      </c>
      <c r="B163" s="26" t="s">
        <v>431</v>
      </c>
      <c r="C163" s="26">
        <v>0</v>
      </c>
      <c r="D163" s="38">
        <v>0</v>
      </c>
      <c r="E163" s="38">
        <v>0</v>
      </c>
      <c r="F163" s="38">
        <v>0</v>
      </c>
      <c r="G163" s="59">
        <v>0</v>
      </c>
      <c r="H163" s="38">
        <v>0</v>
      </c>
      <c r="I163" s="38" t="str">
        <f>IF(OR(H163="",'START HERE'!$F$8=0),"",H163/'START HERE'!$F$8)</f>
        <v/>
      </c>
      <c r="J163" s="64" t="str">
        <f t="shared" si="2"/>
        <v>OK</v>
      </c>
    </row>
    <row r="164" spans="1:10" x14ac:dyDescent="0.25">
      <c r="A164" s="26">
        <v>3530040</v>
      </c>
      <c r="B164" s="26" t="s">
        <v>431</v>
      </c>
      <c r="C164" s="26">
        <v>0</v>
      </c>
      <c r="D164" s="38">
        <v>0</v>
      </c>
      <c r="E164" s="38">
        <v>0</v>
      </c>
      <c r="F164" s="38">
        <v>0</v>
      </c>
      <c r="G164" s="59">
        <v>0</v>
      </c>
      <c r="H164" s="38">
        <v>0</v>
      </c>
      <c r="I164" s="38" t="str">
        <f>IF(OR(H164="",'START HERE'!$F$8=0),"",H164/'START HERE'!$F$8)</f>
        <v/>
      </c>
      <c r="J164" s="64" t="str">
        <f t="shared" si="2"/>
        <v>OK</v>
      </c>
    </row>
    <row r="165" spans="1:10" x14ac:dyDescent="0.25">
      <c r="A165" s="26">
        <v>3530080</v>
      </c>
      <c r="B165" s="26" t="s">
        <v>431</v>
      </c>
      <c r="C165" s="26">
        <v>0</v>
      </c>
      <c r="D165" s="38">
        <v>0</v>
      </c>
      <c r="E165" s="38">
        <v>0</v>
      </c>
      <c r="F165" s="38">
        <v>0</v>
      </c>
      <c r="G165" s="59">
        <v>0</v>
      </c>
      <c r="H165" s="38">
        <v>0</v>
      </c>
      <c r="I165" s="38" t="str">
        <f>IF(OR(H165="",'START HERE'!$F$8=0),"",H165/'START HERE'!$F$8)</f>
        <v/>
      </c>
      <c r="J165" s="64" t="str">
        <f t="shared" si="2"/>
        <v>OK</v>
      </c>
    </row>
    <row r="166" spans="1:10" x14ac:dyDescent="0.25">
      <c r="A166" s="26">
        <v>3540035</v>
      </c>
      <c r="B166" s="26" t="s">
        <v>438</v>
      </c>
      <c r="C166" s="26">
        <v>0</v>
      </c>
      <c r="D166" s="38">
        <v>0</v>
      </c>
      <c r="E166" s="38">
        <v>0</v>
      </c>
      <c r="F166" s="38">
        <v>0</v>
      </c>
      <c r="G166" s="59">
        <v>0</v>
      </c>
      <c r="H166" s="38">
        <v>0</v>
      </c>
      <c r="I166" s="38" t="str">
        <f>IF(OR(H166="",'START HERE'!$F$8=0),"",H166/'START HERE'!$F$8)</f>
        <v/>
      </c>
      <c r="J166" s="64" t="str">
        <f t="shared" si="2"/>
        <v>OK</v>
      </c>
    </row>
    <row r="167" spans="1:10" x14ac:dyDescent="0.25">
      <c r="A167" s="26">
        <v>35401152</v>
      </c>
      <c r="B167" s="26" t="s">
        <v>438</v>
      </c>
      <c r="C167" s="26">
        <v>0</v>
      </c>
      <c r="D167" s="38">
        <v>0</v>
      </c>
      <c r="E167" s="38">
        <v>0</v>
      </c>
      <c r="F167" s="38">
        <v>0</v>
      </c>
      <c r="G167" s="59">
        <v>0</v>
      </c>
      <c r="H167" s="38">
        <v>0</v>
      </c>
      <c r="I167" s="38" t="str">
        <f>IF(OR(H167="",'START HERE'!$F$8=0),"",H167/'START HERE'!$F$8)</f>
        <v/>
      </c>
      <c r="J167" s="64" t="str">
        <f t="shared" si="2"/>
        <v>OK</v>
      </c>
    </row>
    <row r="168" spans="1:10" x14ac:dyDescent="0.25">
      <c r="A168" s="26">
        <v>3540150</v>
      </c>
      <c r="B168" s="26" t="s">
        <v>438</v>
      </c>
      <c r="C168" s="26">
        <v>0</v>
      </c>
      <c r="D168" s="38">
        <v>0</v>
      </c>
      <c r="E168" s="38">
        <v>0</v>
      </c>
      <c r="F168" s="38">
        <v>0</v>
      </c>
      <c r="G168" s="59">
        <v>0</v>
      </c>
      <c r="H168" s="38">
        <v>0</v>
      </c>
      <c r="I168" s="38" t="str">
        <f>IF(OR(H168="",'START HERE'!$F$8=0),"",H168/'START HERE'!$F$8)</f>
        <v/>
      </c>
      <c r="J168" s="64" t="str">
        <f t="shared" si="2"/>
        <v>OK</v>
      </c>
    </row>
    <row r="169" spans="1:10" x14ac:dyDescent="0.25">
      <c r="A169" s="26">
        <v>3540167</v>
      </c>
      <c r="B169" s="26" t="s">
        <v>438</v>
      </c>
      <c r="C169" s="26">
        <v>0</v>
      </c>
      <c r="D169" s="38">
        <v>0</v>
      </c>
      <c r="E169" s="38">
        <v>0</v>
      </c>
      <c r="F169" s="38">
        <v>0</v>
      </c>
      <c r="G169" s="59">
        <v>0</v>
      </c>
      <c r="H169" s="38">
        <v>0</v>
      </c>
      <c r="I169" s="38" t="str">
        <f>IF(OR(H169="",'START HERE'!$F$8=0),"",H169/'START HERE'!$F$8)</f>
        <v/>
      </c>
      <c r="J169" s="64" t="str">
        <f t="shared" si="2"/>
        <v>OK</v>
      </c>
    </row>
    <row r="170" spans="1:10" x14ac:dyDescent="0.25">
      <c r="A170" s="26">
        <v>35403934</v>
      </c>
      <c r="B170" s="26" t="s">
        <v>438</v>
      </c>
      <c r="C170" s="26">
        <v>0</v>
      </c>
      <c r="D170" s="38">
        <v>0</v>
      </c>
      <c r="E170" s="38">
        <v>0</v>
      </c>
      <c r="F170" s="38">
        <v>0</v>
      </c>
      <c r="G170" s="59">
        <v>0</v>
      </c>
      <c r="H170" s="38">
        <v>0</v>
      </c>
      <c r="I170" s="38" t="str">
        <f>IF(OR(H170="",'START HERE'!$F$8=0),"",H170/'START HERE'!$F$8)</f>
        <v/>
      </c>
      <c r="J170" s="64" t="str">
        <f t="shared" si="2"/>
        <v>OK</v>
      </c>
    </row>
    <row r="171" spans="1:10" x14ac:dyDescent="0.25">
      <c r="A171" s="26">
        <v>3540704</v>
      </c>
      <c r="B171" s="26" t="s">
        <v>438</v>
      </c>
      <c r="C171" s="26">
        <v>0</v>
      </c>
      <c r="D171" s="38">
        <v>0</v>
      </c>
      <c r="E171" s="38">
        <v>0</v>
      </c>
      <c r="F171" s="38">
        <v>0</v>
      </c>
      <c r="G171" s="59">
        <v>0</v>
      </c>
      <c r="H171" s="38">
        <v>0</v>
      </c>
      <c r="I171" s="38" t="str">
        <f>IF(OR(H171="",'START HERE'!$F$8=0),"",H171/'START HERE'!$F$8)</f>
        <v/>
      </c>
      <c r="J171" s="64" t="str">
        <f t="shared" si="2"/>
        <v>OK</v>
      </c>
    </row>
    <row r="172" spans="1:10" x14ac:dyDescent="0.25">
      <c r="A172" s="26">
        <v>3541020</v>
      </c>
      <c r="B172" s="26" t="s">
        <v>438</v>
      </c>
      <c r="C172" s="26">
        <v>0</v>
      </c>
      <c r="D172" s="38">
        <v>0</v>
      </c>
      <c r="E172" s="38">
        <v>0</v>
      </c>
      <c r="F172" s="38">
        <v>0</v>
      </c>
      <c r="G172" s="59">
        <v>0</v>
      </c>
      <c r="H172" s="38">
        <v>0</v>
      </c>
      <c r="I172" s="38" t="str">
        <f>IF(OR(H172="",'START HERE'!$F$8=0),"",H172/'START HERE'!$F$8)</f>
        <v/>
      </c>
      <c r="J172" s="64" t="str">
        <f t="shared" si="2"/>
        <v>OK</v>
      </c>
    </row>
    <row r="173" spans="1:10" x14ac:dyDescent="0.25">
      <c r="A173" s="26">
        <v>3550030</v>
      </c>
      <c r="B173" s="26" t="s">
        <v>453</v>
      </c>
      <c r="C173" s="26">
        <v>0</v>
      </c>
      <c r="D173" s="38">
        <v>0</v>
      </c>
      <c r="E173" s="38">
        <v>0</v>
      </c>
      <c r="F173" s="38">
        <v>0</v>
      </c>
      <c r="G173" s="59">
        <v>0</v>
      </c>
      <c r="H173" s="38">
        <v>0</v>
      </c>
      <c r="I173" s="38" t="str">
        <f>IF(OR(H173="",'START HERE'!$F$8=0),"",H173/'START HERE'!$F$8)</f>
        <v/>
      </c>
      <c r="J173" s="64" t="str">
        <f t="shared" si="2"/>
        <v>OK</v>
      </c>
    </row>
    <row r="174" spans="1:10" x14ac:dyDescent="0.25">
      <c r="A174" s="26">
        <v>3550172</v>
      </c>
      <c r="B174" s="26" t="s">
        <v>453</v>
      </c>
      <c r="C174" s="26">
        <v>0</v>
      </c>
      <c r="D174" s="38">
        <v>0</v>
      </c>
      <c r="E174" s="38">
        <v>0</v>
      </c>
      <c r="F174" s="38">
        <v>0</v>
      </c>
      <c r="G174" s="59">
        <v>0</v>
      </c>
      <c r="H174" s="38">
        <v>0</v>
      </c>
      <c r="I174" s="38" t="str">
        <f>IF(OR(H174="",'START HERE'!$F$8=0),"",H174/'START HERE'!$F$8)</f>
        <v/>
      </c>
      <c r="J174" s="64" t="str">
        <f t="shared" si="2"/>
        <v>OK</v>
      </c>
    </row>
    <row r="175" spans="1:10" x14ac:dyDescent="0.25">
      <c r="A175" s="26">
        <v>3550241</v>
      </c>
      <c r="B175" s="26" t="s">
        <v>453</v>
      </c>
      <c r="C175" s="26">
        <v>0</v>
      </c>
      <c r="D175" s="38">
        <v>0</v>
      </c>
      <c r="E175" s="38">
        <v>0</v>
      </c>
      <c r="F175" s="38">
        <v>0</v>
      </c>
      <c r="G175" s="59">
        <v>0</v>
      </c>
      <c r="H175" s="38">
        <v>0</v>
      </c>
      <c r="I175" s="38" t="str">
        <f>IF(OR(H175="",'START HERE'!$F$8=0),"",H175/'START HERE'!$F$8)</f>
        <v/>
      </c>
      <c r="J175" s="64" t="str">
        <f t="shared" si="2"/>
        <v>OK</v>
      </c>
    </row>
    <row r="176" spans="1:10" x14ac:dyDescent="0.25">
      <c r="A176" s="26">
        <v>3550355</v>
      </c>
      <c r="B176" s="26" t="s">
        <v>453</v>
      </c>
      <c r="C176" s="26">
        <v>0</v>
      </c>
      <c r="D176" s="38">
        <v>0</v>
      </c>
      <c r="E176" s="38">
        <v>0</v>
      </c>
      <c r="F176" s="38">
        <v>0</v>
      </c>
      <c r="G176" s="59">
        <v>0</v>
      </c>
      <c r="H176" s="38">
        <v>0</v>
      </c>
      <c r="I176" s="38" t="str">
        <f>IF(OR(H176="",'START HERE'!$F$8=0),"",H176/'START HERE'!$F$8)</f>
        <v/>
      </c>
      <c r="J176" s="64" t="str">
        <f t="shared" si="2"/>
        <v>OK</v>
      </c>
    </row>
    <row r="177" spans="1:10" x14ac:dyDescent="0.25">
      <c r="A177" s="26">
        <v>3560036</v>
      </c>
      <c r="B177" s="26" t="s">
        <v>463</v>
      </c>
      <c r="C177" s="26">
        <v>0</v>
      </c>
      <c r="D177" s="38">
        <v>0</v>
      </c>
      <c r="E177" s="38">
        <v>0</v>
      </c>
      <c r="F177" s="38">
        <v>0</v>
      </c>
      <c r="G177" s="59">
        <v>0</v>
      </c>
      <c r="H177" s="38">
        <v>0</v>
      </c>
      <c r="I177" s="38" t="str">
        <f>IF(OR(H177="",'START HERE'!$F$8=0),"",H177/'START HERE'!$F$8)</f>
        <v/>
      </c>
      <c r="J177" s="64" t="str">
        <f t="shared" si="2"/>
        <v>OK</v>
      </c>
    </row>
    <row r="178" spans="1:10" x14ac:dyDescent="0.25">
      <c r="A178" s="26">
        <v>3560051</v>
      </c>
      <c r="B178" s="26" t="s">
        <v>463</v>
      </c>
      <c r="C178" s="26">
        <v>0</v>
      </c>
      <c r="D178" s="38">
        <v>0</v>
      </c>
      <c r="E178" s="38">
        <v>0</v>
      </c>
      <c r="F178" s="38">
        <v>0</v>
      </c>
      <c r="G178" s="59">
        <v>0</v>
      </c>
      <c r="H178" s="38">
        <v>0</v>
      </c>
      <c r="I178" s="38" t="str">
        <f>IF(OR(H178="",'START HERE'!$F$8=0),"",H178/'START HERE'!$F$8)</f>
        <v/>
      </c>
      <c r="J178" s="64" t="str">
        <f t="shared" si="2"/>
        <v>OK</v>
      </c>
    </row>
    <row r="179" spans="1:10" x14ac:dyDescent="0.25">
      <c r="A179" s="26">
        <v>3560060</v>
      </c>
      <c r="B179" s="26" t="s">
        <v>463</v>
      </c>
      <c r="C179" s="26">
        <v>0</v>
      </c>
      <c r="D179" s="38">
        <v>0</v>
      </c>
      <c r="E179" s="38">
        <v>0</v>
      </c>
      <c r="F179" s="38">
        <v>0</v>
      </c>
      <c r="G179" s="59">
        <v>0</v>
      </c>
      <c r="H179" s="38">
        <v>0</v>
      </c>
      <c r="I179" s="38" t="str">
        <f>IF(OR(H179="",'START HERE'!$F$8=0),"",H179/'START HERE'!$F$8)</f>
        <v/>
      </c>
      <c r="J179" s="64" t="str">
        <f t="shared" si="2"/>
        <v>OK</v>
      </c>
    </row>
    <row r="180" spans="1:10" x14ac:dyDescent="0.25">
      <c r="A180" s="26">
        <v>35602721</v>
      </c>
      <c r="B180" s="26" t="s">
        <v>463</v>
      </c>
      <c r="C180" s="26">
        <v>0</v>
      </c>
      <c r="D180" s="38">
        <v>0</v>
      </c>
      <c r="E180" s="38">
        <v>0</v>
      </c>
      <c r="F180" s="38">
        <v>0</v>
      </c>
      <c r="G180" s="59">
        <v>0</v>
      </c>
      <c r="H180" s="38">
        <v>0</v>
      </c>
      <c r="I180" s="38" t="str">
        <f>IF(OR(H180="",'START HERE'!$F$8=0),"",H180/'START HERE'!$F$8)</f>
        <v/>
      </c>
      <c r="J180" s="64" t="str">
        <f t="shared" si="2"/>
        <v>OK</v>
      </c>
    </row>
    <row r="181" spans="1:10" x14ac:dyDescent="0.25">
      <c r="A181" s="26">
        <v>3560478</v>
      </c>
      <c r="B181" s="26" t="s">
        <v>463</v>
      </c>
      <c r="C181" s="26">
        <v>0</v>
      </c>
      <c r="D181" s="38">
        <v>0</v>
      </c>
      <c r="E181" s="38">
        <v>0</v>
      </c>
      <c r="F181" s="38">
        <v>0</v>
      </c>
      <c r="G181" s="59">
        <v>0</v>
      </c>
      <c r="H181" s="38">
        <v>0</v>
      </c>
      <c r="I181" s="38" t="str">
        <f>IF(OR(H181="",'START HERE'!$F$8=0),"",H181/'START HERE'!$F$8)</f>
        <v/>
      </c>
      <c r="J181" s="64" t="str">
        <f t="shared" si="2"/>
        <v>OK</v>
      </c>
    </row>
    <row r="182" spans="1:10" x14ac:dyDescent="0.25">
      <c r="A182" s="26">
        <v>3560491</v>
      </c>
      <c r="B182" s="26" t="s">
        <v>463</v>
      </c>
      <c r="C182" s="26">
        <v>0</v>
      </c>
      <c r="D182" s="38">
        <v>0</v>
      </c>
      <c r="E182" s="38">
        <v>0</v>
      </c>
      <c r="F182" s="38">
        <v>0</v>
      </c>
      <c r="G182" s="59">
        <v>0</v>
      </c>
      <c r="H182" s="38">
        <v>0</v>
      </c>
      <c r="I182" s="38" t="str">
        <f>IF(OR(H182="",'START HERE'!$F$8=0),"",H182/'START HERE'!$F$8)</f>
        <v/>
      </c>
      <c r="J182" s="64" t="str">
        <f t="shared" si="2"/>
        <v>OK</v>
      </c>
    </row>
    <row r="183" spans="1:10" x14ac:dyDescent="0.25">
      <c r="A183" s="26">
        <v>3560492</v>
      </c>
      <c r="B183" s="26" t="s">
        <v>463</v>
      </c>
      <c r="C183" s="26">
        <v>0</v>
      </c>
      <c r="D183" s="38">
        <v>0</v>
      </c>
      <c r="E183" s="38">
        <v>0</v>
      </c>
      <c r="F183" s="38">
        <v>0</v>
      </c>
      <c r="G183" s="59">
        <v>0</v>
      </c>
      <c r="H183" s="38">
        <v>0</v>
      </c>
      <c r="I183" s="38" t="str">
        <f>IF(OR(H183="",'START HERE'!$F$8=0),"",H183/'START HERE'!$F$8)</f>
        <v/>
      </c>
      <c r="J183" s="64" t="str">
        <f t="shared" si="2"/>
        <v>OK</v>
      </c>
    </row>
    <row r="184" spans="1:10" x14ac:dyDescent="0.25">
      <c r="A184" s="26">
        <v>3560493</v>
      </c>
      <c r="B184" s="26" t="s">
        <v>463</v>
      </c>
      <c r="C184" s="26">
        <v>0</v>
      </c>
      <c r="D184" s="38">
        <v>0</v>
      </c>
      <c r="E184" s="38">
        <v>0</v>
      </c>
      <c r="F184" s="38">
        <v>0</v>
      </c>
      <c r="G184" s="59">
        <v>0</v>
      </c>
      <c r="H184" s="38">
        <v>0</v>
      </c>
      <c r="I184" s="38" t="str">
        <f>IF(OR(H184="",'START HERE'!$F$8=0),"",H184/'START HERE'!$F$8)</f>
        <v/>
      </c>
      <c r="J184" s="64" t="str">
        <f t="shared" si="2"/>
        <v>OK</v>
      </c>
    </row>
    <row r="185" spans="1:10" x14ac:dyDescent="0.25">
      <c r="A185" s="26">
        <v>3560505</v>
      </c>
      <c r="B185" s="26" t="s">
        <v>463</v>
      </c>
      <c r="C185" s="26">
        <v>0</v>
      </c>
      <c r="D185" s="38">
        <v>0</v>
      </c>
      <c r="E185" s="38">
        <v>0</v>
      </c>
      <c r="F185" s="38">
        <v>0</v>
      </c>
      <c r="G185" s="59">
        <v>0</v>
      </c>
      <c r="H185" s="38">
        <v>0</v>
      </c>
      <c r="I185" s="38" t="str">
        <f>IF(OR(H185="",'START HERE'!$F$8=0),"",H185/'START HERE'!$F$8)</f>
        <v/>
      </c>
      <c r="J185" s="64" t="str">
        <f t="shared" si="2"/>
        <v>OK</v>
      </c>
    </row>
    <row r="186" spans="1:10" x14ac:dyDescent="0.25">
      <c r="A186" s="26">
        <v>3560555</v>
      </c>
      <c r="B186" s="26" t="s">
        <v>463</v>
      </c>
      <c r="C186" s="26">
        <v>0</v>
      </c>
      <c r="D186" s="38">
        <v>0</v>
      </c>
      <c r="E186" s="38">
        <v>0</v>
      </c>
      <c r="F186" s="38">
        <v>0</v>
      </c>
      <c r="G186" s="59">
        <v>0</v>
      </c>
      <c r="H186" s="38">
        <v>0</v>
      </c>
      <c r="I186" s="38" t="str">
        <f>IF(OR(H186="",'START HERE'!$F$8=0),"",H186/'START HERE'!$F$8)</f>
        <v/>
      </c>
      <c r="J186" s="64" t="str">
        <f t="shared" si="2"/>
        <v>OK</v>
      </c>
    </row>
    <row r="187" spans="1:10" x14ac:dyDescent="0.25">
      <c r="A187" s="26">
        <v>3560599</v>
      </c>
      <c r="B187" s="26" t="s">
        <v>463</v>
      </c>
      <c r="C187" s="26">
        <v>0</v>
      </c>
      <c r="D187" s="38">
        <v>0</v>
      </c>
      <c r="E187" s="38">
        <v>0</v>
      </c>
      <c r="F187" s="38">
        <v>0</v>
      </c>
      <c r="G187" s="59">
        <v>0</v>
      </c>
      <c r="H187" s="38">
        <v>0</v>
      </c>
      <c r="I187" s="38" t="str">
        <f>IF(OR(H187="",'START HERE'!$F$8=0),"",H187/'START HERE'!$F$8)</f>
        <v/>
      </c>
      <c r="J187" s="64" t="str">
        <f t="shared" si="2"/>
        <v>OK</v>
      </c>
    </row>
    <row r="188" spans="1:10" x14ac:dyDescent="0.25">
      <c r="A188" s="26">
        <v>3560674</v>
      </c>
      <c r="B188" s="26" t="s">
        <v>463</v>
      </c>
      <c r="C188" s="26">
        <v>0</v>
      </c>
      <c r="D188" s="38">
        <v>0</v>
      </c>
      <c r="E188" s="38">
        <v>0</v>
      </c>
      <c r="F188" s="38">
        <v>0</v>
      </c>
      <c r="G188" s="59">
        <v>0</v>
      </c>
      <c r="H188" s="38">
        <v>0</v>
      </c>
      <c r="I188" s="38" t="str">
        <f>IF(OR(H188="",'START HERE'!$F$8=0),"",H188/'START HERE'!$F$8)</f>
        <v/>
      </c>
      <c r="J188" s="64" t="str">
        <f t="shared" si="2"/>
        <v>OK</v>
      </c>
    </row>
    <row r="189" spans="1:10" x14ac:dyDescent="0.25">
      <c r="A189" s="26">
        <v>3570010</v>
      </c>
      <c r="B189" s="26" t="s">
        <v>489</v>
      </c>
      <c r="C189" s="26">
        <v>0</v>
      </c>
      <c r="D189" s="38">
        <v>0</v>
      </c>
      <c r="E189" s="38">
        <v>0</v>
      </c>
      <c r="F189" s="38">
        <v>0</v>
      </c>
      <c r="G189" s="59">
        <v>0</v>
      </c>
      <c r="H189" s="38">
        <v>0</v>
      </c>
      <c r="I189" s="38" t="str">
        <f>IF(OR(H189="",'START HERE'!$F$8=0),"",H189/'START HERE'!$F$8)</f>
        <v/>
      </c>
      <c r="J189" s="64" t="str">
        <f t="shared" si="2"/>
        <v>OK</v>
      </c>
    </row>
    <row r="190" spans="1:10" x14ac:dyDescent="0.25">
      <c r="A190" s="26">
        <v>3570020</v>
      </c>
      <c r="B190" s="26" t="s">
        <v>489</v>
      </c>
      <c r="C190" s="26">
        <v>0</v>
      </c>
      <c r="D190" s="38">
        <v>0</v>
      </c>
      <c r="E190" s="38">
        <v>0</v>
      </c>
      <c r="F190" s="38">
        <v>0</v>
      </c>
      <c r="G190" s="59">
        <v>0</v>
      </c>
      <c r="H190" s="38">
        <v>0</v>
      </c>
      <c r="I190" s="38" t="str">
        <f>IF(OR(H190="",'START HERE'!$F$8=0),"",H190/'START HERE'!$F$8)</f>
        <v/>
      </c>
      <c r="J190" s="64" t="str">
        <f t="shared" si="2"/>
        <v>OK</v>
      </c>
    </row>
    <row r="191" spans="1:10" x14ac:dyDescent="0.25">
      <c r="A191" s="26">
        <v>3570035</v>
      </c>
      <c r="B191" s="26" t="s">
        <v>489</v>
      </c>
      <c r="C191" s="26">
        <v>0</v>
      </c>
      <c r="D191" s="38">
        <v>0</v>
      </c>
      <c r="E191" s="38">
        <v>0</v>
      </c>
      <c r="F191" s="38">
        <v>0</v>
      </c>
      <c r="G191" s="59">
        <v>0</v>
      </c>
      <c r="H191" s="38">
        <v>0</v>
      </c>
      <c r="I191" s="38" t="str">
        <f>IF(OR(H191="",'START HERE'!$F$8=0),"",H191/'START HERE'!$F$8)</f>
        <v/>
      </c>
      <c r="J191" s="64" t="str">
        <f t="shared" si="2"/>
        <v>OK</v>
      </c>
    </row>
    <row r="192" spans="1:10" x14ac:dyDescent="0.25">
      <c r="A192" s="26">
        <v>3570050</v>
      </c>
      <c r="B192" s="26" t="s">
        <v>489</v>
      </c>
      <c r="C192" s="26">
        <v>0</v>
      </c>
      <c r="D192" s="38">
        <v>0</v>
      </c>
      <c r="E192" s="38">
        <v>0</v>
      </c>
      <c r="F192" s="38">
        <v>0</v>
      </c>
      <c r="G192" s="59">
        <v>0</v>
      </c>
      <c r="H192" s="38">
        <v>0</v>
      </c>
      <c r="I192" s="38" t="str">
        <f>IF(OR(H192="",'START HERE'!$F$8=0),"",H192/'START HERE'!$F$8)</f>
        <v/>
      </c>
      <c r="J192" s="64" t="str">
        <f t="shared" si="2"/>
        <v>OK</v>
      </c>
    </row>
    <row r="193" spans="1:10" x14ac:dyDescent="0.25">
      <c r="A193" s="26">
        <v>3570070</v>
      </c>
      <c r="B193" s="26" t="s">
        <v>489</v>
      </c>
      <c r="C193" s="26">
        <v>0</v>
      </c>
      <c r="D193" s="38">
        <v>0</v>
      </c>
      <c r="E193" s="38">
        <v>0</v>
      </c>
      <c r="F193" s="38">
        <v>0</v>
      </c>
      <c r="G193" s="59">
        <v>0</v>
      </c>
      <c r="H193" s="38">
        <v>0</v>
      </c>
      <c r="I193" s="38" t="str">
        <f>IF(OR(H193="",'START HERE'!$F$8=0),"",H193/'START HERE'!$F$8)</f>
        <v/>
      </c>
      <c r="J193" s="64" t="str">
        <f t="shared" si="2"/>
        <v>OK</v>
      </c>
    </row>
    <row r="194" spans="1:10" x14ac:dyDescent="0.25">
      <c r="A194" s="26">
        <v>3570103</v>
      </c>
      <c r="B194" s="26" t="s">
        <v>408</v>
      </c>
      <c r="C194" s="26">
        <v>0</v>
      </c>
      <c r="D194" s="38">
        <v>0</v>
      </c>
      <c r="E194" s="38">
        <v>0</v>
      </c>
      <c r="F194" s="38">
        <v>0</v>
      </c>
      <c r="G194" s="59">
        <v>0</v>
      </c>
      <c r="H194" s="38">
        <v>0</v>
      </c>
      <c r="I194" s="38" t="str">
        <f>IF(OR(H194="",'START HERE'!$F$8=0),"",H194/'START HERE'!$F$8)</f>
        <v/>
      </c>
      <c r="J194" s="64" t="str">
        <f t="shared" si="2"/>
        <v>OK</v>
      </c>
    </row>
    <row r="195" spans="1:10" x14ac:dyDescent="0.25">
      <c r="A195" s="26">
        <v>3570106</v>
      </c>
      <c r="B195" s="26" t="s">
        <v>408</v>
      </c>
      <c r="C195" s="26">
        <v>0</v>
      </c>
      <c r="D195" s="38">
        <v>0</v>
      </c>
      <c r="E195" s="38">
        <v>0</v>
      </c>
      <c r="F195" s="38">
        <v>0</v>
      </c>
      <c r="G195" s="59">
        <v>0</v>
      </c>
      <c r="H195" s="38">
        <v>0</v>
      </c>
      <c r="I195" s="38" t="str">
        <f>IF(OR(H195="",'START HERE'!$F$8=0),"",H195/'START HERE'!$F$8)</f>
        <v/>
      </c>
      <c r="J195" s="64" t="str">
        <f t="shared" si="2"/>
        <v>OK</v>
      </c>
    </row>
    <row r="196" spans="1:10" x14ac:dyDescent="0.25">
      <c r="A196" s="26">
        <v>35701060</v>
      </c>
      <c r="B196" s="26" t="s">
        <v>489</v>
      </c>
      <c r="C196" s="26">
        <v>0</v>
      </c>
      <c r="D196" s="38">
        <v>0</v>
      </c>
      <c r="E196" s="38">
        <v>0</v>
      </c>
      <c r="F196" s="38">
        <v>0</v>
      </c>
      <c r="G196" s="59">
        <v>0</v>
      </c>
      <c r="H196" s="38">
        <v>0</v>
      </c>
      <c r="I196" s="38" t="str">
        <f>IF(OR(H196="",'START HERE'!$F$8=0),"",H196/'START HERE'!$F$8)</f>
        <v/>
      </c>
      <c r="J196" s="64" t="str">
        <f t="shared" si="2"/>
        <v>OK</v>
      </c>
    </row>
    <row r="197" spans="1:10" x14ac:dyDescent="0.25">
      <c r="A197" s="26">
        <v>35701918</v>
      </c>
      <c r="B197" s="26" t="s">
        <v>489</v>
      </c>
      <c r="C197" s="26">
        <v>0</v>
      </c>
      <c r="D197" s="38">
        <v>0</v>
      </c>
      <c r="E197" s="38">
        <v>0</v>
      </c>
      <c r="F197" s="38">
        <v>0</v>
      </c>
      <c r="G197" s="59">
        <v>0</v>
      </c>
      <c r="H197" s="38">
        <v>0</v>
      </c>
      <c r="I197" s="38" t="str">
        <f>IF(OR(H197="",'START HERE'!$F$8=0),"",H197/'START HERE'!$F$8)</f>
        <v/>
      </c>
      <c r="J197" s="64" t="str">
        <f t="shared" ref="J197:J260" si="3">IF(G197="","MISSING PHYSICAL",IF(H197&lt;0,"CHECK: NEGATIVE CONSUMPTION","OK"))</f>
        <v>OK</v>
      </c>
    </row>
    <row r="198" spans="1:10" x14ac:dyDescent="0.25">
      <c r="A198" s="26">
        <v>35702285</v>
      </c>
      <c r="B198" s="26" t="s">
        <v>489</v>
      </c>
      <c r="C198" s="26">
        <v>0</v>
      </c>
      <c r="D198" s="38">
        <v>0</v>
      </c>
      <c r="E198" s="38">
        <v>0</v>
      </c>
      <c r="F198" s="38">
        <v>0</v>
      </c>
      <c r="G198" s="59">
        <v>0</v>
      </c>
      <c r="H198" s="38">
        <v>0</v>
      </c>
      <c r="I198" s="38" t="str">
        <f>IF(OR(H198="",'START HERE'!$F$8=0),"",H198/'START HERE'!$F$8)</f>
        <v/>
      </c>
      <c r="J198" s="64" t="str">
        <f t="shared" si="3"/>
        <v>OK</v>
      </c>
    </row>
    <row r="199" spans="1:10" x14ac:dyDescent="0.25">
      <c r="A199" s="26">
        <v>3570289</v>
      </c>
      <c r="B199" s="26" t="s">
        <v>489</v>
      </c>
      <c r="C199" s="26">
        <v>0</v>
      </c>
      <c r="D199" s="38">
        <v>0</v>
      </c>
      <c r="E199" s="38">
        <v>0</v>
      </c>
      <c r="F199" s="38">
        <v>0</v>
      </c>
      <c r="G199" s="59">
        <v>0</v>
      </c>
      <c r="H199" s="38">
        <v>0</v>
      </c>
      <c r="I199" s="38" t="str">
        <f>IF(OR(H199="",'START HERE'!$F$8=0),"",H199/'START HERE'!$F$8)</f>
        <v/>
      </c>
      <c r="J199" s="64" t="str">
        <f t="shared" si="3"/>
        <v>OK</v>
      </c>
    </row>
    <row r="200" spans="1:10" x14ac:dyDescent="0.25">
      <c r="A200" s="26">
        <v>3570305</v>
      </c>
      <c r="B200" s="26" t="s">
        <v>489</v>
      </c>
      <c r="C200" s="26">
        <v>0</v>
      </c>
      <c r="D200" s="38">
        <v>0</v>
      </c>
      <c r="E200" s="38">
        <v>0</v>
      </c>
      <c r="F200" s="38">
        <v>0</v>
      </c>
      <c r="G200" s="59">
        <v>0</v>
      </c>
      <c r="H200" s="38">
        <v>0</v>
      </c>
      <c r="I200" s="38" t="str">
        <f>IF(OR(H200="",'START HERE'!$F$8=0),"",H200/'START HERE'!$F$8)</f>
        <v/>
      </c>
      <c r="J200" s="64" t="str">
        <f t="shared" si="3"/>
        <v>OK</v>
      </c>
    </row>
    <row r="201" spans="1:10" x14ac:dyDescent="0.25">
      <c r="A201" s="26">
        <v>3570308</v>
      </c>
      <c r="B201" s="26" t="s">
        <v>489</v>
      </c>
      <c r="C201" s="26">
        <v>0</v>
      </c>
      <c r="D201" s="38">
        <v>0</v>
      </c>
      <c r="E201" s="38">
        <v>0</v>
      </c>
      <c r="F201" s="38">
        <v>0</v>
      </c>
      <c r="G201" s="59">
        <v>0</v>
      </c>
      <c r="H201" s="38">
        <v>0</v>
      </c>
      <c r="I201" s="38" t="str">
        <f>IF(OR(H201="",'START HERE'!$F$8=0),"",H201/'START HERE'!$F$8)</f>
        <v/>
      </c>
      <c r="J201" s="64" t="str">
        <f t="shared" si="3"/>
        <v>OK</v>
      </c>
    </row>
    <row r="202" spans="1:10" x14ac:dyDescent="0.25">
      <c r="A202" s="26">
        <v>3570324</v>
      </c>
      <c r="B202" s="26" t="s">
        <v>489</v>
      </c>
      <c r="C202" s="26">
        <v>0</v>
      </c>
      <c r="D202" s="38">
        <v>0</v>
      </c>
      <c r="E202" s="38">
        <v>0</v>
      </c>
      <c r="F202" s="38">
        <v>0</v>
      </c>
      <c r="G202" s="59">
        <v>0</v>
      </c>
      <c r="H202" s="38">
        <v>0</v>
      </c>
      <c r="I202" s="38" t="str">
        <f>IF(OR(H202="",'START HERE'!$F$8=0),"",H202/'START HERE'!$F$8)</f>
        <v/>
      </c>
      <c r="J202" s="64" t="str">
        <f t="shared" si="3"/>
        <v>OK</v>
      </c>
    </row>
    <row r="203" spans="1:10" x14ac:dyDescent="0.25">
      <c r="A203" s="26">
        <v>3570343</v>
      </c>
      <c r="B203" s="26" t="s">
        <v>489</v>
      </c>
      <c r="C203" s="26">
        <v>0</v>
      </c>
      <c r="D203" s="38">
        <v>0</v>
      </c>
      <c r="E203" s="38">
        <v>0</v>
      </c>
      <c r="F203" s="38">
        <v>0</v>
      </c>
      <c r="G203" s="59">
        <v>0</v>
      </c>
      <c r="H203" s="38">
        <v>0</v>
      </c>
      <c r="I203" s="38" t="str">
        <f>IF(OR(H203="",'START HERE'!$F$8=0),"",H203/'START HERE'!$F$8)</f>
        <v/>
      </c>
      <c r="J203" s="64" t="str">
        <f t="shared" si="3"/>
        <v>OK</v>
      </c>
    </row>
    <row r="204" spans="1:10" x14ac:dyDescent="0.25">
      <c r="A204" s="26">
        <v>3570593</v>
      </c>
      <c r="B204" s="26" t="s">
        <v>489</v>
      </c>
      <c r="C204" s="26">
        <v>0</v>
      </c>
      <c r="D204" s="38">
        <v>0</v>
      </c>
      <c r="E204" s="38">
        <v>0</v>
      </c>
      <c r="F204" s="38">
        <v>0</v>
      </c>
      <c r="G204" s="59">
        <v>0</v>
      </c>
      <c r="H204" s="38">
        <v>0</v>
      </c>
      <c r="I204" s="38" t="str">
        <f>IF(OR(H204="",'START HERE'!$F$8=0),"",H204/'START HERE'!$F$8)</f>
        <v/>
      </c>
      <c r="J204" s="64" t="str">
        <f t="shared" si="3"/>
        <v>OK</v>
      </c>
    </row>
    <row r="205" spans="1:10" x14ac:dyDescent="0.25">
      <c r="A205" s="26">
        <v>4010010</v>
      </c>
      <c r="B205" s="26" t="s">
        <v>524</v>
      </c>
      <c r="C205" s="26">
        <v>0</v>
      </c>
      <c r="D205" s="38">
        <v>0</v>
      </c>
      <c r="E205" s="38">
        <v>0</v>
      </c>
      <c r="F205" s="38">
        <v>0</v>
      </c>
      <c r="G205" s="59">
        <v>0</v>
      </c>
      <c r="H205" s="38">
        <v>0</v>
      </c>
      <c r="I205" s="38" t="str">
        <f>IF(OR(H205="",'START HERE'!$F$8=0),"",H205/'START HERE'!$F$8)</f>
        <v/>
      </c>
      <c r="J205" s="64" t="str">
        <f t="shared" si="3"/>
        <v>OK</v>
      </c>
    </row>
    <row r="206" spans="1:10" x14ac:dyDescent="0.25">
      <c r="A206" s="26">
        <v>4010208</v>
      </c>
      <c r="B206" s="26" t="s">
        <v>524</v>
      </c>
      <c r="C206" s="26">
        <v>0</v>
      </c>
      <c r="D206" s="38">
        <v>0</v>
      </c>
      <c r="E206" s="38">
        <v>0</v>
      </c>
      <c r="F206" s="38">
        <v>0</v>
      </c>
      <c r="G206" s="59">
        <v>0</v>
      </c>
      <c r="H206" s="38">
        <v>0</v>
      </c>
      <c r="I206" s="38" t="str">
        <f>IF(OR(H206="",'START HERE'!$F$8=0),"",H206/'START HERE'!$F$8)</f>
        <v/>
      </c>
      <c r="J206" s="64" t="str">
        <f t="shared" si="3"/>
        <v>OK</v>
      </c>
    </row>
    <row r="207" spans="1:10" x14ac:dyDescent="0.25">
      <c r="A207" s="26">
        <v>4020050</v>
      </c>
      <c r="B207" s="26" t="s">
        <v>530</v>
      </c>
      <c r="C207" s="26">
        <v>0</v>
      </c>
      <c r="D207" s="38">
        <v>0</v>
      </c>
      <c r="E207" s="38">
        <v>0</v>
      </c>
      <c r="F207" s="38">
        <v>0</v>
      </c>
      <c r="G207" s="59">
        <v>0</v>
      </c>
      <c r="H207" s="38">
        <v>0</v>
      </c>
      <c r="I207" s="38" t="str">
        <f>IF(OR(H207="",'START HERE'!$F$8=0),"",H207/'START HERE'!$F$8)</f>
        <v/>
      </c>
      <c r="J207" s="64" t="str">
        <f t="shared" si="3"/>
        <v>OK</v>
      </c>
    </row>
    <row r="208" spans="1:10" x14ac:dyDescent="0.25">
      <c r="A208" s="26">
        <v>4030010</v>
      </c>
      <c r="B208" s="26" t="s">
        <v>534</v>
      </c>
      <c r="C208" s="26">
        <v>0</v>
      </c>
      <c r="D208" s="38">
        <v>0</v>
      </c>
      <c r="E208" s="38">
        <v>0</v>
      </c>
      <c r="F208" s="38">
        <v>0</v>
      </c>
      <c r="G208" s="59">
        <v>0</v>
      </c>
      <c r="H208" s="38">
        <v>0</v>
      </c>
      <c r="I208" s="38" t="str">
        <f>IF(OR(H208="",'START HERE'!$F$8=0),"",H208/'START HERE'!$F$8)</f>
        <v/>
      </c>
      <c r="J208" s="64" t="str">
        <f t="shared" si="3"/>
        <v>OK</v>
      </c>
    </row>
    <row r="209" spans="1:10" x14ac:dyDescent="0.25">
      <c r="A209" s="26">
        <v>4030020</v>
      </c>
      <c r="B209" s="26" t="s">
        <v>534</v>
      </c>
      <c r="C209" s="26">
        <v>0</v>
      </c>
      <c r="D209" s="38">
        <v>0</v>
      </c>
      <c r="E209" s="38">
        <v>0</v>
      </c>
      <c r="F209" s="38">
        <v>0</v>
      </c>
      <c r="G209" s="59">
        <v>0</v>
      </c>
      <c r="H209" s="38">
        <v>0</v>
      </c>
      <c r="I209" s="38" t="str">
        <f>IF(OR(H209="",'START HERE'!$F$8=0),"",H209/'START HERE'!$F$8)</f>
        <v/>
      </c>
      <c r="J209" s="64" t="str">
        <f t="shared" si="3"/>
        <v>OK</v>
      </c>
    </row>
    <row r="210" spans="1:10" x14ac:dyDescent="0.25">
      <c r="A210" s="26">
        <v>4030025</v>
      </c>
      <c r="B210" s="26" t="s">
        <v>534</v>
      </c>
      <c r="C210" s="26">
        <v>0</v>
      </c>
      <c r="D210" s="38">
        <v>0</v>
      </c>
      <c r="E210" s="38">
        <v>0</v>
      </c>
      <c r="F210" s="38">
        <v>0</v>
      </c>
      <c r="G210" s="59">
        <v>0</v>
      </c>
      <c r="H210" s="38">
        <v>0</v>
      </c>
      <c r="I210" s="38" t="str">
        <f>IF(OR(H210="",'START HERE'!$F$8=0),"",H210/'START HERE'!$F$8)</f>
        <v/>
      </c>
      <c r="J210" s="64" t="str">
        <f t="shared" si="3"/>
        <v>OK</v>
      </c>
    </row>
    <row r="211" spans="1:10" x14ac:dyDescent="0.25">
      <c r="A211" s="26">
        <v>4040010</v>
      </c>
      <c r="B211" s="26" t="s">
        <v>541</v>
      </c>
      <c r="C211" s="26">
        <v>0</v>
      </c>
      <c r="D211" s="38">
        <v>0</v>
      </c>
      <c r="E211" s="38">
        <v>0</v>
      </c>
      <c r="F211" s="38">
        <v>0</v>
      </c>
      <c r="G211" s="59">
        <v>0</v>
      </c>
      <c r="H211" s="38">
        <v>0</v>
      </c>
      <c r="I211" s="38" t="str">
        <f>IF(OR(H211="",'START HERE'!$F$8=0),"",H211/'START HERE'!$F$8)</f>
        <v/>
      </c>
      <c r="J211" s="64" t="str">
        <f t="shared" si="3"/>
        <v>OK</v>
      </c>
    </row>
    <row r="212" spans="1:10" x14ac:dyDescent="0.25">
      <c r="A212" s="26">
        <v>4040030</v>
      </c>
      <c r="B212" s="26" t="s">
        <v>541</v>
      </c>
      <c r="C212" s="26">
        <v>0</v>
      </c>
      <c r="D212" s="38">
        <v>0</v>
      </c>
      <c r="E212" s="38">
        <v>0</v>
      </c>
      <c r="F212" s="38">
        <v>0</v>
      </c>
      <c r="G212" s="59">
        <v>0</v>
      </c>
      <c r="H212" s="38">
        <v>0</v>
      </c>
      <c r="I212" s="38" t="str">
        <f>IF(OR(H212="",'START HERE'!$F$8=0),"",H212/'START HERE'!$F$8)</f>
        <v/>
      </c>
      <c r="J212" s="64" t="str">
        <f t="shared" si="3"/>
        <v>OK</v>
      </c>
    </row>
    <row r="213" spans="1:10" x14ac:dyDescent="0.25">
      <c r="A213" s="26">
        <v>4050100</v>
      </c>
      <c r="B213" s="26" t="s">
        <v>547</v>
      </c>
      <c r="C213" s="26">
        <v>0</v>
      </c>
      <c r="D213" s="38">
        <v>0</v>
      </c>
      <c r="E213" s="38">
        <v>0</v>
      </c>
      <c r="F213" s="38">
        <v>0</v>
      </c>
      <c r="G213" s="59">
        <v>0</v>
      </c>
      <c r="H213" s="38">
        <v>0</v>
      </c>
      <c r="I213" s="38" t="str">
        <f>IF(OR(H213="",'START HERE'!$F$8=0),"",H213/'START HERE'!$F$8)</f>
        <v/>
      </c>
      <c r="J213" s="64" t="str">
        <f t="shared" si="3"/>
        <v>OK</v>
      </c>
    </row>
    <row r="214" spans="1:10" x14ac:dyDescent="0.25">
      <c r="A214" s="26">
        <v>4050150</v>
      </c>
      <c r="B214" s="26" t="s">
        <v>547</v>
      </c>
      <c r="C214" s="26">
        <v>0</v>
      </c>
      <c r="D214" s="38">
        <v>0</v>
      </c>
      <c r="E214" s="38">
        <v>0</v>
      </c>
      <c r="F214" s="38">
        <v>0</v>
      </c>
      <c r="G214" s="59">
        <v>0</v>
      </c>
      <c r="H214" s="38">
        <v>0</v>
      </c>
      <c r="I214" s="38" t="str">
        <f>IF(OR(H214="",'START HERE'!$F$8=0),"",H214/'START HERE'!$F$8)</f>
        <v/>
      </c>
      <c r="J214" s="64" t="str">
        <f t="shared" si="3"/>
        <v>OK</v>
      </c>
    </row>
    <row r="215" spans="1:10" x14ac:dyDescent="0.25">
      <c r="A215" s="26">
        <v>4050180</v>
      </c>
      <c r="B215" s="26" t="s">
        <v>547</v>
      </c>
      <c r="C215" s="26">
        <v>0</v>
      </c>
      <c r="D215" s="38">
        <v>0</v>
      </c>
      <c r="E215" s="38">
        <v>0</v>
      </c>
      <c r="F215" s="38">
        <v>0</v>
      </c>
      <c r="G215" s="59">
        <v>0</v>
      </c>
      <c r="H215" s="38">
        <v>0</v>
      </c>
      <c r="I215" s="38" t="str">
        <f>IF(OR(H215="",'START HERE'!$F$8=0),"",H215/'START HERE'!$F$8)</f>
        <v/>
      </c>
      <c r="J215" s="64" t="str">
        <f t="shared" si="3"/>
        <v>OK</v>
      </c>
    </row>
    <row r="216" spans="1:10" x14ac:dyDescent="0.25">
      <c r="A216" s="26">
        <v>4050230</v>
      </c>
      <c r="B216" s="26" t="s">
        <v>547</v>
      </c>
      <c r="C216" s="26">
        <v>0</v>
      </c>
      <c r="D216" s="38">
        <v>0</v>
      </c>
      <c r="E216" s="38">
        <v>0</v>
      </c>
      <c r="F216" s="38">
        <v>0</v>
      </c>
      <c r="G216" s="59">
        <v>0</v>
      </c>
      <c r="H216" s="38">
        <v>0</v>
      </c>
      <c r="I216" s="38" t="str">
        <f>IF(OR(H216="",'START HERE'!$F$8=0),"",H216/'START HERE'!$F$8)</f>
        <v/>
      </c>
      <c r="J216" s="64" t="str">
        <f t="shared" si="3"/>
        <v>OK</v>
      </c>
    </row>
    <row r="217" spans="1:10" x14ac:dyDescent="0.25">
      <c r="A217" s="26">
        <v>4050470</v>
      </c>
      <c r="B217" s="26" t="s">
        <v>547</v>
      </c>
      <c r="C217" s="26">
        <v>0</v>
      </c>
      <c r="D217" s="38">
        <v>0</v>
      </c>
      <c r="E217" s="38">
        <v>0</v>
      </c>
      <c r="F217" s="38">
        <v>0</v>
      </c>
      <c r="G217" s="59">
        <v>0</v>
      </c>
      <c r="H217" s="38">
        <v>0</v>
      </c>
      <c r="I217" s="38" t="str">
        <f>IF(OR(H217="",'START HERE'!$F$8=0),"",H217/'START HERE'!$F$8)</f>
        <v/>
      </c>
      <c r="J217" s="64" t="str">
        <f t="shared" si="3"/>
        <v>OK</v>
      </c>
    </row>
    <row r="218" spans="1:10" x14ac:dyDescent="0.25">
      <c r="A218" s="26">
        <v>4050827</v>
      </c>
      <c r="B218" s="26" t="s">
        <v>547</v>
      </c>
      <c r="C218" s="26">
        <v>0</v>
      </c>
      <c r="D218" s="38">
        <v>0</v>
      </c>
      <c r="E218" s="38">
        <v>0</v>
      </c>
      <c r="F218" s="38">
        <v>0</v>
      </c>
      <c r="G218" s="59">
        <v>0</v>
      </c>
      <c r="H218" s="38">
        <v>0</v>
      </c>
      <c r="I218" s="38" t="str">
        <f>IF(OR(H218="",'START HERE'!$F$8=0),"",H218/'START HERE'!$F$8)</f>
        <v/>
      </c>
      <c r="J218" s="64" t="str">
        <f t="shared" si="3"/>
        <v>OK</v>
      </c>
    </row>
    <row r="219" spans="1:10" x14ac:dyDescent="0.25">
      <c r="A219" s="26">
        <v>4050848</v>
      </c>
      <c r="B219" s="26" t="s">
        <v>547</v>
      </c>
      <c r="C219" s="26">
        <v>0</v>
      </c>
      <c r="D219" s="38">
        <v>0</v>
      </c>
      <c r="E219" s="38">
        <v>0</v>
      </c>
      <c r="F219" s="38">
        <v>0</v>
      </c>
      <c r="G219" s="59">
        <v>0</v>
      </c>
      <c r="H219" s="38">
        <v>0</v>
      </c>
      <c r="I219" s="38" t="str">
        <f>IF(OR(H219="",'START HERE'!$F$8=0),"",H219/'START HERE'!$F$8)</f>
        <v/>
      </c>
      <c r="J219" s="64" t="str">
        <f t="shared" si="3"/>
        <v>OK</v>
      </c>
    </row>
    <row r="220" spans="1:10" x14ac:dyDescent="0.25">
      <c r="A220" s="26">
        <v>4060030</v>
      </c>
      <c r="B220" s="26" t="s">
        <v>559</v>
      </c>
      <c r="C220" s="26">
        <v>0</v>
      </c>
      <c r="D220" s="38">
        <v>0</v>
      </c>
      <c r="E220" s="38">
        <v>0</v>
      </c>
      <c r="F220" s="38">
        <v>0</v>
      </c>
      <c r="G220" s="59">
        <v>0</v>
      </c>
      <c r="H220" s="38">
        <v>0</v>
      </c>
      <c r="I220" s="38" t="str">
        <f>IF(OR(H220="",'START HERE'!$F$8=0),"",H220/'START HERE'!$F$8)</f>
        <v/>
      </c>
      <c r="J220" s="64" t="str">
        <f t="shared" si="3"/>
        <v>OK</v>
      </c>
    </row>
    <row r="221" spans="1:10" x14ac:dyDescent="0.25">
      <c r="A221" s="26">
        <v>4060040</v>
      </c>
      <c r="B221" s="26" t="s">
        <v>559</v>
      </c>
      <c r="C221" s="26">
        <v>0</v>
      </c>
      <c r="D221" s="38">
        <v>0</v>
      </c>
      <c r="E221" s="38">
        <v>0</v>
      </c>
      <c r="F221" s="38">
        <v>0</v>
      </c>
      <c r="G221" s="59">
        <v>0</v>
      </c>
      <c r="H221" s="38">
        <v>0</v>
      </c>
      <c r="I221" s="38" t="str">
        <f>IF(OR(H221="",'START HERE'!$F$8=0),"",H221/'START HERE'!$F$8)</f>
        <v/>
      </c>
      <c r="J221" s="64" t="str">
        <f t="shared" si="3"/>
        <v>OK</v>
      </c>
    </row>
    <row r="222" spans="1:10" x14ac:dyDescent="0.25">
      <c r="A222" s="26">
        <v>4060050</v>
      </c>
      <c r="B222" s="26" t="s">
        <v>559</v>
      </c>
      <c r="C222" s="26">
        <v>0</v>
      </c>
      <c r="D222" s="38">
        <v>0</v>
      </c>
      <c r="E222" s="38">
        <v>0</v>
      </c>
      <c r="F222" s="38">
        <v>0</v>
      </c>
      <c r="G222" s="59">
        <v>0</v>
      </c>
      <c r="H222" s="38">
        <v>0</v>
      </c>
      <c r="I222" s="38" t="str">
        <f>IF(OR(H222="",'START HERE'!$F$8=0),"",H222/'START HERE'!$F$8)</f>
        <v/>
      </c>
      <c r="J222" s="64" t="str">
        <f t="shared" si="3"/>
        <v>OK</v>
      </c>
    </row>
    <row r="223" spans="1:10" x14ac:dyDescent="0.25">
      <c r="A223" s="26">
        <v>40601941</v>
      </c>
      <c r="B223" s="26" t="s">
        <v>559</v>
      </c>
      <c r="C223" s="26">
        <v>0</v>
      </c>
      <c r="D223" s="38">
        <v>0</v>
      </c>
      <c r="E223" s="38">
        <v>0</v>
      </c>
      <c r="F223" s="38">
        <v>0</v>
      </c>
      <c r="G223" s="59">
        <v>0</v>
      </c>
      <c r="H223" s="38">
        <v>0</v>
      </c>
      <c r="I223" s="38" t="str">
        <f>IF(OR(H223="",'START HERE'!$F$8=0),"",H223/'START HERE'!$F$8)</f>
        <v/>
      </c>
      <c r="J223" s="64" t="str">
        <f t="shared" si="3"/>
        <v>OK</v>
      </c>
    </row>
    <row r="224" spans="1:10" x14ac:dyDescent="0.25">
      <c r="A224" s="26">
        <v>40701322</v>
      </c>
      <c r="B224" s="26" t="s">
        <v>568</v>
      </c>
      <c r="C224" s="26">
        <v>0</v>
      </c>
      <c r="D224" s="38">
        <v>0</v>
      </c>
      <c r="E224" s="38">
        <v>0</v>
      </c>
      <c r="F224" s="38">
        <v>0</v>
      </c>
      <c r="G224" s="59">
        <v>0</v>
      </c>
      <c r="H224" s="38">
        <v>0</v>
      </c>
      <c r="I224" s="38" t="str">
        <f>IF(OR(H224="",'START HERE'!$F$8=0),"",H224/'START HERE'!$F$8)</f>
        <v/>
      </c>
      <c r="J224" s="64" t="str">
        <f t="shared" si="3"/>
        <v>OK</v>
      </c>
    </row>
    <row r="225" spans="1:10" x14ac:dyDescent="0.25">
      <c r="A225" s="26">
        <v>40702200</v>
      </c>
      <c r="B225" s="26" t="s">
        <v>568</v>
      </c>
      <c r="C225" s="26">
        <v>0</v>
      </c>
      <c r="D225" s="38">
        <v>0</v>
      </c>
      <c r="E225" s="38">
        <v>0</v>
      </c>
      <c r="F225" s="38">
        <v>0</v>
      </c>
      <c r="G225" s="59">
        <v>0</v>
      </c>
      <c r="H225" s="38">
        <v>0</v>
      </c>
      <c r="I225" s="38" t="str">
        <f>IF(OR(H225="",'START HERE'!$F$8=0),"",H225/'START HERE'!$F$8)</f>
        <v/>
      </c>
      <c r="J225" s="64" t="str">
        <f t="shared" si="3"/>
        <v>OK</v>
      </c>
    </row>
    <row r="226" spans="1:10" x14ac:dyDescent="0.25">
      <c r="A226" s="26">
        <v>4080030</v>
      </c>
      <c r="B226" s="26" t="s">
        <v>575</v>
      </c>
      <c r="C226" s="26">
        <v>0</v>
      </c>
      <c r="D226" s="38">
        <v>0</v>
      </c>
      <c r="E226" s="38">
        <v>0</v>
      </c>
      <c r="F226" s="38">
        <v>0</v>
      </c>
      <c r="G226" s="59">
        <v>0</v>
      </c>
      <c r="H226" s="38">
        <v>0</v>
      </c>
      <c r="I226" s="38" t="str">
        <f>IF(OR(H226="",'START HERE'!$F$8=0),"",H226/'START HERE'!$F$8)</f>
        <v/>
      </c>
      <c r="J226" s="64" t="str">
        <f t="shared" si="3"/>
        <v>OK</v>
      </c>
    </row>
    <row r="227" spans="1:10" x14ac:dyDescent="0.25">
      <c r="A227" s="26">
        <v>4080040</v>
      </c>
      <c r="B227" s="26" t="s">
        <v>575</v>
      </c>
      <c r="C227" s="26">
        <v>0</v>
      </c>
      <c r="D227" s="38">
        <v>0</v>
      </c>
      <c r="E227" s="38">
        <v>0</v>
      </c>
      <c r="F227" s="38">
        <v>0</v>
      </c>
      <c r="G227" s="59">
        <v>0</v>
      </c>
      <c r="H227" s="38">
        <v>0</v>
      </c>
      <c r="I227" s="38" t="str">
        <f>IF(OR(H227="",'START HERE'!$F$8=0),"",H227/'START HERE'!$F$8)</f>
        <v/>
      </c>
      <c r="J227" s="64" t="str">
        <f t="shared" si="3"/>
        <v>OK</v>
      </c>
    </row>
    <row r="228" spans="1:10" x14ac:dyDescent="0.25">
      <c r="A228" s="26">
        <v>4080117</v>
      </c>
      <c r="B228" s="26" t="s">
        <v>541</v>
      </c>
      <c r="C228" s="26">
        <v>0</v>
      </c>
      <c r="D228" s="38">
        <v>0</v>
      </c>
      <c r="E228" s="38">
        <v>0</v>
      </c>
      <c r="F228" s="38">
        <v>0</v>
      </c>
      <c r="G228" s="59">
        <v>0</v>
      </c>
      <c r="H228" s="38">
        <v>0</v>
      </c>
      <c r="I228" s="38" t="str">
        <f>IF(OR(H228="",'START HERE'!$F$8=0),"",H228/'START HERE'!$F$8)</f>
        <v/>
      </c>
      <c r="J228" s="64" t="str">
        <f t="shared" si="3"/>
        <v>OK</v>
      </c>
    </row>
    <row r="229" spans="1:10" x14ac:dyDescent="0.25">
      <c r="A229" s="26">
        <v>4080121</v>
      </c>
      <c r="B229" s="26" t="s">
        <v>541</v>
      </c>
      <c r="C229" s="26">
        <v>0</v>
      </c>
      <c r="D229" s="38">
        <v>0</v>
      </c>
      <c r="E229" s="38">
        <v>0</v>
      </c>
      <c r="F229" s="38">
        <v>0</v>
      </c>
      <c r="G229" s="59">
        <v>0</v>
      </c>
      <c r="H229" s="38">
        <v>0</v>
      </c>
      <c r="I229" s="38" t="str">
        <f>IF(OR(H229="",'START HERE'!$F$8=0),"",H229/'START HERE'!$F$8)</f>
        <v/>
      </c>
      <c r="J229" s="64" t="str">
        <f t="shared" si="3"/>
        <v>OK</v>
      </c>
    </row>
    <row r="230" spans="1:10" x14ac:dyDescent="0.25">
      <c r="A230" s="26">
        <v>4090010</v>
      </c>
      <c r="B230" s="26" t="s">
        <v>583</v>
      </c>
      <c r="C230" s="26">
        <v>0</v>
      </c>
      <c r="D230" s="38">
        <v>0</v>
      </c>
      <c r="E230" s="38">
        <v>0</v>
      </c>
      <c r="F230" s="38">
        <v>0</v>
      </c>
      <c r="G230" s="59">
        <v>0</v>
      </c>
      <c r="H230" s="38">
        <v>0</v>
      </c>
      <c r="I230" s="38" t="str">
        <f>IF(OR(H230="",'START HERE'!$F$8=0),"",H230/'START HERE'!$F$8)</f>
        <v/>
      </c>
      <c r="J230" s="64" t="str">
        <f t="shared" si="3"/>
        <v>OK</v>
      </c>
    </row>
    <row r="231" spans="1:10" x14ac:dyDescent="0.25">
      <c r="A231" s="26">
        <v>4090040</v>
      </c>
      <c r="B231" s="26" t="s">
        <v>583</v>
      </c>
      <c r="C231" s="26">
        <v>0</v>
      </c>
      <c r="D231" s="38">
        <v>0</v>
      </c>
      <c r="E231" s="38">
        <v>0</v>
      </c>
      <c r="F231" s="38">
        <v>0</v>
      </c>
      <c r="G231" s="59">
        <v>0</v>
      </c>
      <c r="H231" s="38">
        <v>0</v>
      </c>
      <c r="I231" s="38" t="str">
        <f>IF(OR(H231="",'START HERE'!$F$8=0),"",H231/'START HERE'!$F$8)</f>
        <v/>
      </c>
      <c r="J231" s="64" t="str">
        <f t="shared" si="3"/>
        <v>OK</v>
      </c>
    </row>
    <row r="232" spans="1:10" x14ac:dyDescent="0.25">
      <c r="A232" s="26">
        <v>4090080</v>
      </c>
      <c r="B232" s="26" t="s">
        <v>583</v>
      </c>
      <c r="C232" s="26">
        <v>0</v>
      </c>
      <c r="D232" s="38">
        <v>0</v>
      </c>
      <c r="E232" s="38">
        <v>0</v>
      </c>
      <c r="F232" s="38">
        <v>0</v>
      </c>
      <c r="G232" s="59">
        <v>0</v>
      </c>
      <c r="H232" s="38">
        <v>0</v>
      </c>
      <c r="I232" s="38" t="str">
        <f>IF(OR(H232="",'START HERE'!$F$8=0),"",H232/'START HERE'!$F$8)</f>
        <v/>
      </c>
      <c r="J232" s="64" t="str">
        <f t="shared" si="3"/>
        <v>OK</v>
      </c>
    </row>
    <row r="233" spans="1:10" x14ac:dyDescent="0.25">
      <c r="A233" s="26">
        <v>4090138</v>
      </c>
      <c r="B233" s="26" t="s">
        <v>583</v>
      </c>
      <c r="C233" s="26">
        <v>0</v>
      </c>
      <c r="D233" s="38">
        <v>0</v>
      </c>
      <c r="E233" s="38">
        <v>0</v>
      </c>
      <c r="F233" s="38">
        <v>0</v>
      </c>
      <c r="G233" s="59">
        <v>0</v>
      </c>
      <c r="H233" s="38">
        <v>0</v>
      </c>
      <c r="I233" s="38" t="str">
        <f>IF(OR(H233="",'START HERE'!$F$8=0),"",H233/'START HERE'!$F$8)</f>
        <v/>
      </c>
      <c r="J233" s="64" t="str">
        <f t="shared" si="3"/>
        <v>OK</v>
      </c>
    </row>
    <row r="234" spans="1:10" x14ac:dyDescent="0.25">
      <c r="A234" s="26">
        <v>4090234</v>
      </c>
      <c r="B234" s="26" t="s">
        <v>583</v>
      </c>
      <c r="C234" s="26">
        <v>0</v>
      </c>
      <c r="D234" s="38">
        <v>0</v>
      </c>
      <c r="E234" s="38">
        <v>0</v>
      </c>
      <c r="F234" s="38">
        <v>0</v>
      </c>
      <c r="G234" s="59">
        <v>0</v>
      </c>
      <c r="H234" s="38">
        <v>0</v>
      </c>
      <c r="I234" s="38" t="str">
        <f>IF(OR(H234="",'START HERE'!$F$8=0),"",H234/'START HERE'!$F$8)</f>
        <v/>
      </c>
      <c r="J234" s="64" t="str">
        <f t="shared" si="3"/>
        <v>OK</v>
      </c>
    </row>
    <row r="235" spans="1:10" x14ac:dyDescent="0.25">
      <c r="A235" s="26">
        <v>4510050</v>
      </c>
      <c r="B235" s="26" t="s">
        <v>595</v>
      </c>
      <c r="C235" s="26">
        <v>0</v>
      </c>
      <c r="D235" s="38">
        <v>0</v>
      </c>
      <c r="E235" s="38">
        <v>0</v>
      </c>
      <c r="F235" s="38">
        <v>0</v>
      </c>
      <c r="G235" s="59">
        <v>0</v>
      </c>
      <c r="H235" s="38">
        <v>0</v>
      </c>
      <c r="I235" s="38" t="str">
        <f>IF(OR(H235="",'START HERE'!$F$8=0),"",H235/'START HERE'!$F$8)</f>
        <v/>
      </c>
      <c r="J235" s="64" t="str">
        <f t="shared" si="3"/>
        <v>OK</v>
      </c>
    </row>
    <row r="236" spans="1:10" x14ac:dyDescent="0.25">
      <c r="A236" s="26">
        <v>45101665</v>
      </c>
      <c r="B236" s="26" t="s">
        <v>595</v>
      </c>
      <c r="C236" s="26">
        <v>0</v>
      </c>
      <c r="D236" s="38">
        <v>0</v>
      </c>
      <c r="E236" s="38">
        <v>0</v>
      </c>
      <c r="F236" s="38">
        <v>0</v>
      </c>
      <c r="G236" s="59">
        <v>0</v>
      </c>
      <c r="H236" s="38">
        <v>0</v>
      </c>
      <c r="I236" s="38" t="str">
        <f>IF(OR(H236="",'START HERE'!$F$8=0),"",H236/'START HERE'!$F$8)</f>
        <v/>
      </c>
      <c r="J236" s="64" t="str">
        <f t="shared" si="3"/>
        <v>OK</v>
      </c>
    </row>
    <row r="237" spans="1:10" x14ac:dyDescent="0.25">
      <c r="A237" s="26">
        <v>45102410</v>
      </c>
      <c r="B237" s="26" t="s">
        <v>595</v>
      </c>
      <c r="C237" s="26">
        <v>0</v>
      </c>
      <c r="D237" s="38">
        <v>0</v>
      </c>
      <c r="E237" s="38">
        <v>0</v>
      </c>
      <c r="F237" s="38">
        <v>0</v>
      </c>
      <c r="G237" s="59">
        <v>0</v>
      </c>
      <c r="H237" s="38">
        <v>0</v>
      </c>
      <c r="I237" s="38" t="str">
        <f>IF(OR(H237="",'START HERE'!$F$8=0),"",H237/'START HERE'!$F$8)</f>
        <v/>
      </c>
      <c r="J237" s="64" t="str">
        <f t="shared" si="3"/>
        <v>OK</v>
      </c>
    </row>
    <row r="238" spans="1:10" x14ac:dyDescent="0.25">
      <c r="A238" s="26">
        <v>4520010</v>
      </c>
      <c r="B238" s="26" t="s">
        <v>605</v>
      </c>
      <c r="C238" s="26">
        <v>0</v>
      </c>
      <c r="D238" s="38">
        <v>0</v>
      </c>
      <c r="E238" s="38">
        <v>0</v>
      </c>
      <c r="F238" s="38">
        <v>0</v>
      </c>
      <c r="G238" s="59">
        <v>0</v>
      </c>
      <c r="H238" s="38">
        <v>0</v>
      </c>
      <c r="I238" s="38" t="str">
        <f>IF(OR(H238="",'START HERE'!$F$8=0),"",H238/'START HERE'!$F$8)</f>
        <v/>
      </c>
      <c r="J238" s="64" t="str">
        <f t="shared" si="3"/>
        <v>OK</v>
      </c>
    </row>
    <row r="239" spans="1:10" x14ac:dyDescent="0.25">
      <c r="A239" s="26">
        <v>4520030</v>
      </c>
      <c r="B239" s="26" t="s">
        <v>605</v>
      </c>
      <c r="C239" s="26">
        <v>0</v>
      </c>
      <c r="D239" s="38">
        <v>0</v>
      </c>
      <c r="E239" s="38">
        <v>0</v>
      </c>
      <c r="F239" s="38">
        <v>0</v>
      </c>
      <c r="G239" s="59">
        <v>0</v>
      </c>
      <c r="H239" s="38">
        <v>0</v>
      </c>
      <c r="I239" s="38" t="str">
        <f>IF(OR(H239="",'START HERE'!$F$8=0),"",H239/'START HERE'!$F$8)</f>
        <v/>
      </c>
      <c r="J239" s="64" t="str">
        <f t="shared" si="3"/>
        <v>OK</v>
      </c>
    </row>
    <row r="240" spans="1:10" x14ac:dyDescent="0.25">
      <c r="A240" s="26">
        <v>4520042</v>
      </c>
      <c r="B240" s="26" t="s">
        <v>605</v>
      </c>
      <c r="C240" s="26">
        <v>0</v>
      </c>
      <c r="D240" s="38">
        <v>0</v>
      </c>
      <c r="E240" s="38">
        <v>0</v>
      </c>
      <c r="F240" s="38">
        <v>0</v>
      </c>
      <c r="G240" s="59">
        <v>0</v>
      </c>
      <c r="H240" s="38">
        <v>0</v>
      </c>
      <c r="I240" s="38" t="str">
        <f>IF(OR(H240="",'START HERE'!$F$8=0),"",H240/'START HERE'!$F$8)</f>
        <v/>
      </c>
      <c r="J240" s="64" t="str">
        <f t="shared" si="3"/>
        <v>OK</v>
      </c>
    </row>
    <row r="241" spans="1:10" x14ac:dyDescent="0.25">
      <c r="A241" s="26">
        <v>45201079</v>
      </c>
      <c r="B241" s="26" t="s">
        <v>605</v>
      </c>
      <c r="C241" s="26">
        <v>0</v>
      </c>
      <c r="D241" s="38">
        <v>0</v>
      </c>
      <c r="E241" s="38">
        <v>0</v>
      </c>
      <c r="F241" s="38">
        <v>0</v>
      </c>
      <c r="G241" s="59">
        <v>0</v>
      </c>
      <c r="H241" s="38">
        <v>0</v>
      </c>
      <c r="I241" s="38" t="str">
        <f>IF(OR(H241="",'START HERE'!$F$8=0),"",H241/'START HERE'!$F$8)</f>
        <v/>
      </c>
      <c r="J241" s="64" t="str">
        <f t="shared" si="3"/>
        <v>OK</v>
      </c>
    </row>
    <row r="242" spans="1:10" x14ac:dyDescent="0.25">
      <c r="A242" s="26">
        <v>4520128</v>
      </c>
      <c r="B242" s="26" t="s">
        <v>595</v>
      </c>
      <c r="C242" s="26">
        <v>0</v>
      </c>
      <c r="D242" s="38">
        <v>0</v>
      </c>
      <c r="E242" s="38">
        <v>0</v>
      </c>
      <c r="F242" s="38">
        <v>0</v>
      </c>
      <c r="G242" s="59">
        <v>0</v>
      </c>
      <c r="H242" s="38">
        <v>0</v>
      </c>
      <c r="I242" s="38" t="str">
        <f>IF(OR(H242="",'START HERE'!$F$8=0),"",H242/'START HERE'!$F$8)</f>
        <v/>
      </c>
      <c r="J242" s="64" t="str">
        <f t="shared" si="3"/>
        <v>OK</v>
      </c>
    </row>
    <row r="243" spans="1:10" x14ac:dyDescent="0.25">
      <c r="A243" s="26">
        <v>4520186</v>
      </c>
      <c r="B243" s="26" t="s">
        <v>595</v>
      </c>
      <c r="C243" s="26">
        <v>0</v>
      </c>
      <c r="D243" s="38">
        <v>0</v>
      </c>
      <c r="E243" s="38">
        <v>0</v>
      </c>
      <c r="F243" s="38">
        <v>0</v>
      </c>
      <c r="G243" s="59">
        <v>0</v>
      </c>
      <c r="H243" s="38">
        <v>0</v>
      </c>
      <c r="I243" s="38" t="str">
        <f>IF(OR(H243="",'START HERE'!$F$8=0),"",H243/'START HERE'!$F$8)</f>
        <v/>
      </c>
      <c r="J243" s="64" t="str">
        <f t="shared" si="3"/>
        <v>OK</v>
      </c>
    </row>
    <row r="244" spans="1:10" x14ac:dyDescent="0.25">
      <c r="A244" s="26">
        <v>4520252</v>
      </c>
      <c r="B244" s="26" t="s">
        <v>595</v>
      </c>
      <c r="C244" s="26">
        <v>0</v>
      </c>
      <c r="D244" s="38">
        <v>0</v>
      </c>
      <c r="E244" s="38">
        <v>0</v>
      </c>
      <c r="F244" s="38">
        <v>0</v>
      </c>
      <c r="G244" s="59">
        <v>0</v>
      </c>
      <c r="H244" s="38">
        <v>0</v>
      </c>
      <c r="I244" s="38" t="str">
        <f>IF(OR(H244="",'START HERE'!$F$8=0),"",H244/'START HERE'!$F$8)</f>
        <v/>
      </c>
      <c r="J244" s="64" t="str">
        <f t="shared" si="3"/>
        <v>OK</v>
      </c>
    </row>
    <row r="245" spans="1:10" x14ac:dyDescent="0.25">
      <c r="A245" s="26">
        <v>4520511</v>
      </c>
      <c r="B245" s="26" t="s">
        <v>595</v>
      </c>
      <c r="C245" s="26">
        <v>0</v>
      </c>
      <c r="D245" s="38">
        <v>0</v>
      </c>
      <c r="E245" s="38">
        <v>0</v>
      </c>
      <c r="F245" s="38">
        <v>0</v>
      </c>
      <c r="G245" s="59">
        <v>0</v>
      </c>
      <c r="H245" s="38">
        <v>0</v>
      </c>
      <c r="I245" s="38" t="str">
        <f>IF(OR(H245="",'START HERE'!$F$8=0),"",H245/'START HERE'!$F$8)</f>
        <v/>
      </c>
      <c r="J245" s="64" t="str">
        <f t="shared" si="3"/>
        <v>OK</v>
      </c>
    </row>
    <row r="246" spans="1:10" x14ac:dyDescent="0.25">
      <c r="A246" s="26">
        <v>4520705</v>
      </c>
      <c r="B246" s="26" t="s">
        <v>595</v>
      </c>
      <c r="C246" s="26">
        <v>0</v>
      </c>
      <c r="D246" s="38">
        <v>0</v>
      </c>
      <c r="E246" s="38">
        <v>0</v>
      </c>
      <c r="F246" s="38">
        <v>0</v>
      </c>
      <c r="G246" s="59">
        <v>0</v>
      </c>
      <c r="H246" s="38">
        <v>0</v>
      </c>
      <c r="I246" s="38" t="str">
        <f>IF(OR(H246="",'START HERE'!$F$8=0),"",H246/'START HERE'!$F$8)</f>
        <v/>
      </c>
      <c r="J246" s="64" t="str">
        <f t="shared" si="3"/>
        <v>OK</v>
      </c>
    </row>
    <row r="247" spans="1:10" x14ac:dyDescent="0.25">
      <c r="A247" s="26">
        <v>5010010</v>
      </c>
      <c r="B247" s="26" t="s">
        <v>628</v>
      </c>
      <c r="C247" s="26">
        <v>0</v>
      </c>
      <c r="D247" s="38">
        <v>0</v>
      </c>
      <c r="E247" s="38">
        <v>0</v>
      </c>
      <c r="F247" s="38">
        <v>0</v>
      </c>
      <c r="G247" s="59">
        <v>0</v>
      </c>
      <c r="H247" s="38">
        <v>0</v>
      </c>
      <c r="I247" s="38" t="str">
        <f>IF(OR(H247="",'START HERE'!$F$8=0),"",H247/'START HERE'!$F$8)</f>
        <v/>
      </c>
      <c r="J247" s="64" t="str">
        <f t="shared" si="3"/>
        <v>OK</v>
      </c>
    </row>
    <row r="248" spans="1:10" x14ac:dyDescent="0.25">
      <c r="A248" s="26">
        <v>5010020</v>
      </c>
      <c r="B248" s="26" t="s">
        <v>628</v>
      </c>
      <c r="C248" s="26">
        <v>0</v>
      </c>
      <c r="D248" s="38">
        <v>0</v>
      </c>
      <c r="E248" s="38">
        <v>0</v>
      </c>
      <c r="F248" s="38">
        <v>0</v>
      </c>
      <c r="G248" s="59">
        <v>0</v>
      </c>
      <c r="H248" s="38">
        <v>0</v>
      </c>
      <c r="I248" s="38" t="str">
        <f>IF(OR(H248="",'START HERE'!$F$8=0),"",H248/'START HERE'!$F$8)</f>
        <v/>
      </c>
      <c r="J248" s="64" t="str">
        <f t="shared" si="3"/>
        <v>OK</v>
      </c>
    </row>
    <row r="249" spans="1:10" x14ac:dyDescent="0.25">
      <c r="A249" s="26">
        <v>5010061</v>
      </c>
      <c r="B249" s="26" t="s">
        <v>628</v>
      </c>
      <c r="C249" s="26">
        <v>0</v>
      </c>
      <c r="D249" s="38">
        <v>0</v>
      </c>
      <c r="E249" s="38">
        <v>0</v>
      </c>
      <c r="F249" s="38">
        <v>0</v>
      </c>
      <c r="G249" s="59">
        <v>0</v>
      </c>
      <c r="H249" s="38">
        <v>0</v>
      </c>
      <c r="I249" s="38" t="str">
        <f>IF(OR(H249="",'START HERE'!$F$8=0),"",H249/'START HERE'!$F$8)</f>
        <v/>
      </c>
      <c r="J249" s="64" t="str">
        <f t="shared" si="3"/>
        <v>OK</v>
      </c>
    </row>
    <row r="250" spans="1:10" x14ac:dyDescent="0.25">
      <c r="A250" s="26">
        <v>5020030</v>
      </c>
      <c r="B250" s="26" t="s">
        <v>636</v>
      </c>
      <c r="C250" s="26">
        <v>0</v>
      </c>
      <c r="D250" s="38">
        <v>0</v>
      </c>
      <c r="E250" s="38">
        <v>0</v>
      </c>
      <c r="F250" s="38">
        <v>0</v>
      </c>
      <c r="G250" s="59">
        <v>0</v>
      </c>
      <c r="H250" s="38">
        <v>0</v>
      </c>
      <c r="I250" s="38" t="str">
        <f>IF(OR(H250="",'START HERE'!$F$8=0),"",H250/'START HERE'!$F$8)</f>
        <v/>
      </c>
      <c r="J250" s="64" t="str">
        <f t="shared" si="3"/>
        <v>OK</v>
      </c>
    </row>
    <row r="251" spans="1:10" x14ac:dyDescent="0.25">
      <c r="A251" s="26">
        <v>5020070</v>
      </c>
      <c r="B251" s="26" t="s">
        <v>636</v>
      </c>
      <c r="C251" s="26">
        <v>0</v>
      </c>
      <c r="D251" s="38">
        <v>0</v>
      </c>
      <c r="E251" s="38">
        <v>0</v>
      </c>
      <c r="F251" s="38">
        <v>0</v>
      </c>
      <c r="G251" s="59">
        <v>0</v>
      </c>
      <c r="H251" s="38">
        <v>0</v>
      </c>
      <c r="I251" s="38" t="str">
        <f>IF(OR(H251="",'START HERE'!$F$8=0),"",H251/'START HERE'!$F$8)</f>
        <v/>
      </c>
      <c r="J251" s="64" t="str">
        <f t="shared" si="3"/>
        <v>OK</v>
      </c>
    </row>
    <row r="252" spans="1:10" x14ac:dyDescent="0.25">
      <c r="A252" s="26">
        <v>5020091</v>
      </c>
      <c r="B252" s="26" t="s">
        <v>636</v>
      </c>
      <c r="C252" s="26">
        <v>0</v>
      </c>
      <c r="D252" s="38">
        <v>0</v>
      </c>
      <c r="E252" s="38">
        <v>0</v>
      </c>
      <c r="F252" s="38">
        <v>0</v>
      </c>
      <c r="G252" s="59">
        <v>0</v>
      </c>
      <c r="H252" s="38">
        <v>0</v>
      </c>
      <c r="I252" s="38" t="str">
        <f>IF(OR(H252="",'START HERE'!$F$8=0),"",H252/'START HERE'!$F$8)</f>
        <v/>
      </c>
      <c r="J252" s="64" t="str">
        <f t="shared" si="3"/>
        <v>OK</v>
      </c>
    </row>
    <row r="253" spans="1:10" x14ac:dyDescent="0.25">
      <c r="A253" s="26">
        <v>5020100</v>
      </c>
      <c r="B253" s="26" t="s">
        <v>636</v>
      </c>
      <c r="C253" s="26">
        <v>0</v>
      </c>
      <c r="D253" s="38">
        <v>0</v>
      </c>
      <c r="E253" s="38">
        <v>0</v>
      </c>
      <c r="F253" s="38">
        <v>0</v>
      </c>
      <c r="G253" s="59">
        <v>0</v>
      </c>
      <c r="H253" s="38">
        <v>0</v>
      </c>
      <c r="I253" s="38" t="str">
        <f>IF(OR(H253="",'START HERE'!$F$8=0),"",H253/'START HERE'!$F$8)</f>
        <v/>
      </c>
      <c r="J253" s="64" t="str">
        <f t="shared" si="3"/>
        <v>OK</v>
      </c>
    </row>
    <row r="254" spans="1:10" x14ac:dyDescent="0.25">
      <c r="A254" s="26">
        <v>502010859</v>
      </c>
      <c r="B254" s="26" t="s">
        <v>636</v>
      </c>
      <c r="C254" s="26">
        <v>0</v>
      </c>
      <c r="D254" s="38">
        <v>0</v>
      </c>
      <c r="E254" s="38">
        <v>0</v>
      </c>
      <c r="F254" s="38">
        <v>0</v>
      </c>
      <c r="G254" s="59">
        <v>0</v>
      </c>
      <c r="H254" s="38">
        <v>0</v>
      </c>
      <c r="I254" s="38" t="str">
        <f>IF(OR(H254="",'START HERE'!$F$8=0),"",H254/'START HERE'!$F$8)</f>
        <v/>
      </c>
      <c r="J254" s="64" t="str">
        <f t="shared" si="3"/>
        <v>OK</v>
      </c>
    </row>
    <row r="255" spans="1:10" x14ac:dyDescent="0.25">
      <c r="A255" s="26">
        <v>5020125</v>
      </c>
      <c r="B255" s="26" t="s">
        <v>636</v>
      </c>
      <c r="C255" s="26">
        <v>0</v>
      </c>
      <c r="D255" s="38">
        <v>0</v>
      </c>
      <c r="E255" s="38">
        <v>0</v>
      </c>
      <c r="F255" s="38">
        <v>0</v>
      </c>
      <c r="G255" s="59">
        <v>0</v>
      </c>
      <c r="H255" s="38">
        <v>0</v>
      </c>
      <c r="I255" s="38" t="str">
        <f>IF(OR(H255="",'START HERE'!$F$8=0),"",H255/'START HERE'!$F$8)</f>
        <v/>
      </c>
      <c r="J255" s="64" t="str">
        <f t="shared" si="3"/>
        <v>OK</v>
      </c>
    </row>
    <row r="256" spans="1:10" x14ac:dyDescent="0.25">
      <c r="A256" s="26">
        <v>5020150</v>
      </c>
      <c r="B256" s="26" t="s">
        <v>636</v>
      </c>
      <c r="C256" s="26">
        <v>0</v>
      </c>
      <c r="D256" s="38">
        <v>0</v>
      </c>
      <c r="E256" s="38">
        <v>0</v>
      </c>
      <c r="F256" s="38">
        <v>0</v>
      </c>
      <c r="G256" s="59">
        <v>0</v>
      </c>
      <c r="H256" s="38">
        <v>0</v>
      </c>
      <c r="I256" s="38" t="str">
        <f>IF(OR(H256="",'START HERE'!$F$8=0),"",H256/'START HERE'!$F$8)</f>
        <v/>
      </c>
      <c r="J256" s="64" t="str">
        <f t="shared" si="3"/>
        <v>OK</v>
      </c>
    </row>
    <row r="257" spans="1:10" x14ac:dyDescent="0.25">
      <c r="A257" s="26">
        <v>5020240</v>
      </c>
      <c r="B257" s="26" t="s">
        <v>636</v>
      </c>
      <c r="C257" s="26">
        <v>0</v>
      </c>
      <c r="D257" s="38">
        <v>0</v>
      </c>
      <c r="E257" s="38">
        <v>0</v>
      </c>
      <c r="F257" s="38">
        <v>0</v>
      </c>
      <c r="G257" s="59">
        <v>0</v>
      </c>
      <c r="H257" s="38">
        <v>0</v>
      </c>
      <c r="I257" s="38" t="str">
        <f>IF(OR(H257="",'START HERE'!$F$8=0),"",H257/'START HERE'!$F$8)</f>
        <v/>
      </c>
      <c r="J257" s="64" t="str">
        <f t="shared" si="3"/>
        <v>OK</v>
      </c>
    </row>
    <row r="258" spans="1:10" x14ac:dyDescent="0.25">
      <c r="A258" s="26">
        <v>50203416</v>
      </c>
      <c r="B258" s="26" t="s">
        <v>636</v>
      </c>
      <c r="C258" s="26">
        <v>0</v>
      </c>
      <c r="D258" s="38">
        <v>0</v>
      </c>
      <c r="E258" s="38">
        <v>0</v>
      </c>
      <c r="F258" s="38">
        <v>0</v>
      </c>
      <c r="G258" s="59">
        <v>0</v>
      </c>
      <c r="H258" s="38">
        <v>0</v>
      </c>
      <c r="I258" s="38" t="str">
        <f>IF(OR(H258="",'START HERE'!$F$8=0),"",H258/'START HERE'!$F$8)</f>
        <v/>
      </c>
      <c r="J258" s="64" t="str">
        <f t="shared" si="3"/>
        <v>OK</v>
      </c>
    </row>
    <row r="259" spans="1:10" x14ac:dyDescent="0.25">
      <c r="A259" s="26">
        <v>50203931</v>
      </c>
      <c r="B259" s="26" t="s">
        <v>636</v>
      </c>
      <c r="C259" s="26">
        <v>0</v>
      </c>
      <c r="D259" s="38">
        <v>0</v>
      </c>
      <c r="E259" s="38">
        <v>0</v>
      </c>
      <c r="F259" s="38">
        <v>0</v>
      </c>
      <c r="G259" s="59">
        <v>0</v>
      </c>
      <c r="H259" s="38">
        <v>0</v>
      </c>
      <c r="I259" s="38" t="str">
        <f>IF(OR(H259="",'START HERE'!$F$8=0),"",H259/'START HERE'!$F$8)</f>
        <v/>
      </c>
      <c r="J259" s="64" t="str">
        <f t="shared" si="3"/>
        <v>OK</v>
      </c>
    </row>
    <row r="260" spans="1:10" x14ac:dyDescent="0.25">
      <c r="A260" s="26">
        <v>50205931</v>
      </c>
      <c r="B260" s="26" t="s">
        <v>636</v>
      </c>
      <c r="C260" s="26">
        <v>0</v>
      </c>
      <c r="D260" s="38">
        <v>0</v>
      </c>
      <c r="E260" s="38">
        <v>0</v>
      </c>
      <c r="F260" s="38">
        <v>0</v>
      </c>
      <c r="G260" s="59">
        <v>0</v>
      </c>
      <c r="H260" s="38">
        <v>0</v>
      </c>
      <c r="I260" s="38" t="str">
        <f>IF(OR(H260="",'START HERE'!$F$8=0),"",H260/'START HERE'!$F$8)</f>
        <v/>
      </c>
      <c r="J260" s="64" t="str">
        <f t="shared" si="3"/>
        <v>OK</v>
      </c>
    </row>
    <row r="261" spans="1:10" x14ac:dyDescent="0.25">
      <c r="A261" s="26">
        <v>5020700</v>
      </c>
      <c r="B261" s="26" t="s">
        <v>636</v>
      </c>
      <c r="C261" s="26">
        <v>0</v>
      </c>
      <c r="D261" s="38">
        <v>0</v>
      </c>
      <c r="E261" s="38">
        <v>0</v>
      </c>
      <c r="F261" s="38">
        <v>0</v>
      </c>
      <c r="G261" s="59">
        <v>0</v>
      </c>
      <c r="H261" s="38">
        <v>0</v>
      </c>
      <c r="I261" s="38" t="str">
        <f>IF(OR(H261="",'START HERE'!$F$8=0),"",H261/'START HERE'!$F$8)</f>
        <v/>
      </c>
      <c r="J261" s="64" t="str">
        <f t="shared" ref="J261:J324" si="4">IF(G261="","MISSING PHYSICAL",IF(H261&lt;0,"CHECK: NEGATIVE CONSUMPTION","OK"))</f>
        <v>OK</v>
      </c>
    </row>
    <row r="262" spans="1:10" x14ac:dyDescent="0.25">
      <c r="A262" s="26">
        <v>5020702</v>
      </c>
      <c r="B262" s="26" t="s">
        <v>636</v>
      </c>
      <c r="C262" s="26">
        <v>0</v>
      </c>
      <c r="D262" s="38">
        <v>0</v>
      </c>
      <c r="E262" s="38">
        <v>0</v>
      </c>
      <c r="F262" s="38">
        <v>0</v>
      </c>
      <c r="G262" s="59">
        <v>0</v>
      </c>
      <c r="H262" s="38">
        <v>0</v>
      </c>
      <c r="I262" s="38" t="str">
        <f>IF(OR(H262="",'START HERE'!$F$8=0),"",H262/'START HERE'!$F$8)</f>
        <v/>
      </c>
      <c r="J262" s="64" t="str">
        <f t="shared" si="4"/>
        <v>OK</v>
      </c>
    </row>
    <row r="263" spans="1:10" x14ac:dyDescent="0.25">
      <c r="A263" s="26">
        <v>5020717</v>
      </c>
      <c r="B263" s="26" t="s">
        <v>636</v>
      </c>
      <c r="C263" s="26">
        <v>0</v>
      </c>
      <c r="D263" s="38">
        <v>0</v>
      </c>
      <c r="E263" s="38">
        <v>0</v>
      </c>
      <c r="F263" s="38">
        <v>0</v>
      </c>
      <c r="G263" s="59">
        <v>0</v>
      </c>
      <c r="H263" s="38">
        <v>0</v>
      </c>
      <c r="I263" s="38" t="str">
        <f>IF(OR(H263="",'START HERE'!$F$8=0),"",H263/'START HERE'!$F$8)</f>
        <v/>
      </c>
      <c r="J263" s="64" t="str">
        <f t="shared" si="4"/>
        <v>OK</v>
      </c>
    </row>
    <row r="264" spans="1:10" x14ac:dyDescent="0.25">
      <c r="A264" s="26">
        <v>5020740</v>
      </c>
      <c r="B264" s="26" t="s">
        <v>636</v>
      </c>
      <c r="C264" s="26">
        <v>0</v>
      </c>
      <c r="D264" s="38">
        <v>0</v>
      </c>
      <c r="E264" s="38">
        <v>0</v>
      </c>
      <c r="F264" s="38">
        <v>0</v>
      </c>
      <c r="G264" s="59">
        <v>0</v>
      </c>
      <c r="H264" s="38">
        <v>0</v>
      </c>
      <c r="I264" s="38" t="str">
        <f>IF(OR(H264="",'START HERE'!$F$8=0),"",H264/'START HERE'!$F$8)</f>
        <v/>
      </c>
      <c r="J264" s="64" t="str">
        <f t="shared" si="4"/>
        <v>OK</v>
      </c>
    </row>
    <row r="265" spans="1:10" x14ac:dyDescent="0.25">
      <c r="A265" s="26">
        <v>5020765</v>
      </c>
      <c r="B265" s="26" t="s">
        <v>636</v>
      </c>
      <c r="C265" s="26">
        <v>0</v>
      </c>
      <c r="D265" s="38">
        <v>0</v>
      </c>
      <c r="E265" s="38">
        <v>0</v>
      </c>
      <c r="F265" s="38">
        <v>0</v>
      </c>
      <c r="G265" s="59">
        <v>0</v>
      </c>
      <c r="H265" s="38">
        <v>0</v>
      </c>
      <c r="I265" s="38" t="str">
        <f>IF(OR(H265="",'START HERE'!$F$8=0),"",H265/'START HERE'!$F$8)</f>
        <v/>
      </c>
      <c r="J265" s="64" t="str">
        <f t="shared" si="4"/>
        <v>OK</v>
      </c>
    </row>
    <row r="266" spans="1:10" x14ac:dyDescent="0.25">
      <c r="A266" s="26">
        <v>5020783</v>
      </c>
      <c r="B266" s="26" t="s">
        <v>636</v>
      </c>
      <c r="C266" s="26">
        <v>0</v>
      </c>
      <c r="D266" s="38">
        <v>0</v>
      </c>
      <c r="E266" s="38">
        <v>0</v>
      </c>
      <c r="F266" s="38">
        <v>0</v>
      </c>
      <c r="G266" s="59">
        <v>0</v>
      </c>
      <c r="H266" s="38">
        <v>0</v>
      </c>
      <c r="I266" s="38" t="str">
        <f>IF(OR(H266="",'START HERE'!$F$8=0),"",H266/'START HERE'!$F$8)</f>
        <v/>
      </c>
      <c r="J266" s="64" t="str">
        <f t="shared" si="4"/>
        <v>OK</v>
      </c>
    </row>
    <row r="267" spans="1:10" x14ac:dyDescent="0.25">
      <c r="A267" s="26">
        <v>5020800</v>
      </c>
      <c r="B267" s="26" t="s">
        <v>636</v>
      </c>
      <c r="C267" s="26">
        <v>0</v>
      </c>
      <c r="D267" s="38">
        <v>0</v>
      </c>
      <c r="E267" s="38">
        <v>0</v>
      </c>
      <c r="F267" s="38">
        <v>0</v>
      </c>
      <c r="G267" s="59">
        <v>0</v>
      </c>
      <c r="H267" s="38">
        <v>0</v>
      </c>
      <c r="I267" s="38" t="str">
        <f>IF(OR(H267="",'START HERE'!$F$8=0),"",H267/'START HERE'!$F$8)</f>
        <v/>
      </c>
      <c r="J267" s="64" t="str">
        <f t="shared" si="4"/>
        <v>OK</v>
      </c>
    </row>
    <row r="268" spans="1:10" x14ac:dyDescent="0.25">
      <c r="A268" s="26">
        <v>50208280</v>
      </c>
      <c r="B268" s="26" t="s">
        <v>636</v>
      </c>
      <c r="C268" s="26">
        <v>0</v>
      </c>
      <c r="D268" s="38">
        <v>0</v>
      </c>
      <c r="E268" s="38">
        <v>0</v>
      </c>
      <c r="F268" s="38">
        <v>0</v>
      </c>
      <c r="G268" s="59">
        <v>0</v>
      </c>
      <c r="H268" s="38">
        <v>0</v>
      </c>
      <c r="I268" s="38" t="str">
        <f>IF(OR(H268="",'START HERE'!$F$8=0),"",H268/'START HERE'!$F$8)</f>
        <v/>
      </c>
      <c r="J268" s="64" t="str">
        <f t="shared" si="4"/>
        <v>OK</v>
      </c>
    </row>
    <row r="269" spans="1:10" x14ac:dyDescent="0.25">
      <c r="A269" s="26">
        <v>5020833</v>
      </c>
      <c r="B269" s="26" t="s">
        <v>636</v>
      </c>
      <c r="C269" s="26">
        <v>0</v>
      </c>
      <c r="D269" s="38">
        <v>0</v>
      </c>
      <c r="E269" s="38">
        <v>0</v>
      </c>
      <c r="F269" s="38">
        <v>0</v>
      </c>
      <c r="G269" s="59">
        <v>0</v>
      </c>
      <c r="H269" s="38">
        <v>0</v>
      </c>
      <c r="I269" s="38" t="str">
        <f>IF(OR(H269="",'START HERE'!$F$8=0),"",H269/'START HERE'!$F$8)</f>
        <v/>
      </c>
      <c r="J269" s="64" t="str">
        <f t="shared" si="4"/>
        <v>OK</v>
      </c>
    </row>
    <row r="270" spans="1:10" x14ac:dyDescent="0.25">
      <c r="A270" s="26">
        <v>5020924</v>
      </c>
      <c r="B270" s="26" t="s">
        <v>636</v>
      </c>
      <c r="C270" s="26">
        <v>0</v>
      </c>
      <c r="D270" s="38">
        <v>0</v>
      </c>
      <c r="E270" s="38">
        <v>0</v>
      </c>
      <c r="F270" s="38">
        <v>0</v>
      </c>
      <c r="G270" s="59">
        <v>0</v>
      </c>
      <c r="H270" s="38">
        <v>0</v>
      </c>
      <c r="I270" s="38" t="str">
        <f>IF(OR(H270="",'START HERE'!$F$8=0),"",H270/'START HERE'!$F$8)</f>
        <v/>
      </c>
      <c r="J270" s="64" t="str">
        <f t="shared" si="4"/>
        <v>OK</v>
      </c>
    </row>
    <row r="271" spans="1:10" x14ac:dyDescent="0.25">
      <c r="A271" s="26">
        <v>50209892</v>
      </c>
      <c r="B271" s="26" t="s">
        <v>636</v>
      </c>
      <c r="C271" s="26">
        <v>0</v>
      </c>
      <c r="D271" s="38">
        <v>0</v>
      </c>
      <c r="E271" s="38">
        <v>0</v>
      </c>
      <c r="F271" s="38">
        <v>0</v>
      </c>
      <c r="G271" s="59">
        <v>0</v>
      </c>
      <c r="H271" s="38">
        <v>0</v>
      </c>
      <c r="I271" s="38" t="str">
        <f>IF(OR(H271="",'START HERE'!$F$8=0),"",H271/'START HERE'!$F$8)</f>
        <v/>
      </c>
      <c r="J271" s="64" t="str">
        <f t="shared" si="4"/>
        <v>OK</v>
      </c>
    </row>
    <row r="272" spans="1:10" x14ac:dyDescent="0.25">
      <c r="A272" s="26">
        <v>5021004</v>
      </c>
      <c r="B272" s="26" t="s">
        <v>636</v>
      </c>
      <c r="C272" s="26">
        <v>0</v>
      </c>
      <c r="D272" s="38">
        <v>0</v>
      </c>
      <c r="E272" s="38">
        <v>0</v>
      </c>
      <c r="F272" s="38">
        <v>0</v>
      </c>
      <c r="G272" s="59">
        <v>0</v>
      </c>
      <c r="H272" s="38">
        <v>0</v>
      </c>
      <c r="I272" s="38" t="str">
        <f>IF(OR(H272="",'START HERE'!$F$8=0),"",H272/'START HERE'!$F$8)</f>
        <v/>
      </c>
      <c r="J272" s="64" t="str">
        <f t="shared" si="4"/>
        <v>OK</v>
      </c>
    </row>
    <row r="273" spans="1:10" x14ac:dyDescent="0.25">
      <c r="A273" s="26">
        <v>5021721</v>
      </c>
      <c r="B273" s="26" t="s">
        <v>636</v>
      </c>
      <c r="C273" s="26">
        <v>0</v>
      </c>
      <c r="D273" s="38">
        <v>0</v>
      </c>
      <c r="E273" s="38">
        <v>0</v>
      </c>
      <c r="F273" s="38">
        <v>0</v>
      </c>
      <c r="G273" s="59">
        <v>0</v>
      </c>
      <c r="H273" s="38">
        <v>0</v>
      </c>
      <c r="I273" s="38" t="str">
        <f>IF(OR(H273="",'START HERE'!$F$8=0),"",H273/'START HERE'!$F$8)</f>
        <v/>
      </c>
      <c r="J273" s="64" t="str">
        <f t="shared" si="4"/>
        <v>OK</v>
      </c>
    </row>
    <row r="274" spans="1:10" x14ac:dyDescent="0.25">
      <c r="A274" s="26">
        <v>5021864</v>
      </c>
      <c r="B274" s="26" t="s">
        <v>636</v>
      </c>
      <c r="C274" s="26">
        <v>0</v>
      </c>
      <c r="D274" s="38">
        <v>0</v>
      </c>
      <c r="E274" s="38">
        <v>0</v>
      </c>
      <c r="F274" s="38">
        <v>0</v>
      </c>
      <c r="G274" s="59">
        <v>0</v>
      </c>
      <c r="H274" s="38">
        <v>0</v>
      </c>
      <c r="I274" s="38" t="str">
        <f>IF(OR(H274="",'START HERE'!$F$8=0),"",H274/'START HERE'!$F$8)</f>
        <v/>
      </c>
      <c r="J274" s="64" t="str">
        <f t="shared" si="4"/>
        <v>OK</v>
      </c>
    </row>
    <row r="275" spans="1:10" x14ac:dyDescent="0.25">
      <c r="A275" s="26">
        <v>5030010</v>
      </c>
      <c r="B275" s="26" t="s">
        <v>695</v>
      </c>
      <c r="C275" s="26">
        <v>0</v>
      </c>
      <c r="D275" s="38">
        <v>0</v>
      </c>
      <c r="E275" s="38">
        <v>0</v>
      </c>
      <c r="F275" s="38">
        <v>0</v>
      </c>
      <c r="G275" s="59">
        <v>0</v>
      </c>
      <c r="H275" s="38">
        <v>0</v>
      </c>
      <c r="I275" s="38" t="str">
        <f>IF(OR(H275="",'START HERE'!$F$8=0),"",H275/'START HERE'!$F$8)</f>
        <v/>
      </c>
      <c r="J275" s="64" t="str">
        <f t="shared" si="4"/>
        <v>OK</v>
      </c>
    </row>
    <row r="276" spans="1:10" x14ac:dyDescent="0.25">
      <c r="A276" s="26">
        <v>5030020</v>
      </c>
      <c r="B276" s="26" t="s">
        <v>695</v>
      </c>
      <c r="C276" s="26">
        <v>0</v>
      </c>
      <c r="D276" s="38">
        <v>0</v>
      </c>
      <c r="E276" s="38">
        <v>0</v>
      </c>
      <c r="F276" s="38">
        <v>0</v>
      </c>
      <c r="G276" s="59">
        <v>0</v>
      </c>
      <c r="H276" s="38">
        <v>0</v>
      </c>
      <c r="I276" s="38" t="str">
        <f>IF(OR(H276="",'START HERE'!$F$8=0),"",H276/'START HERE'!$F$8)</f>
        <v/>
      </c>
      <c r="J276" s="64" t="str">
        <f t="shared" si="4"/>
        <v>OK</v>
      </c>
    </row>
    <row r="277" spans="1:10" x14ac:dyDescent="0.25">
      <c r="A277" s="26">
        <v>5030122</v>
      </c>
      <c r="B277" s="26" t="s">
        <v>695</v>
      </c>
      <c r="C277" s="26">
        <v>0</v>
      </c>
      <c r="D277" s="38">
        <v>0</v>
      </c>
      <c r="E277" s="38">
        <v>0</v>
      </c>
      <c r="F277" s="38">
        <v>0</v>
      </c>
      <c r="G277" s="59">
        <v>0</v>
      </c>
      <c r="H277" s="38">
        <v>0</v>
      </c>
      <c r="I277" s="38" t="str">
        <f>IF(OR(H277="",'START HERE'!$F$8=0),"",H277/'START HERE'!$F$8)</f>
        <v/>
      </c>
      <c r="J277" s="64" t="str">
        <f t="shared" si="4"/>
        <v>OK</v>
      </c>
    </row>
    <row r="278" spans="1:10" x14ac:dyDescent="0.25">
      <c r="A278" s="26">
        <v>5031232</v>
      </c>
      <c r="B278" s="26" t="s">
        <v>695</v>
      </c>
      <c r="C278" s="26">
        <v>0</v>
      </c>
      <c r="D278" s="38">
        <v>0</v>
      </c>
      <c r="E278" s="38">
        <v>0</v>
      </c>
      <c r="F278" s="38">
        <v>0</v>
      </c>
      <c r="G278" s="59">
        <v>0</v>
      </c>
      <c r="H278" s="38">
        <v>0</v>
      </c>
      <c r="I278" s="38" t="str">
        <f>IF(OR(H278="",'START HERE'!$F$8=0),"",H278/'START HERE'!$F$8)</f>
        <v/>
      </c>
      <c r="J278" s="64" t="str">
        <f t="shared" si="4"/>
        <v>OK</v>
      </c>
    </row>
    <row r="279" spans="1:10" x14ac:dyDescent="0.25">
      <c r="A279" s="26">
        <v>5040067</v>
      </c>
      <c r="B279" s="26" t="s">
        <v>703</v>
      </c>
      <c r="C279" s="26">
        <v>0</v>
      </c>
      <c r="D279" s="38">
        <v>0</v>
      </c>
      <c r="E279" s="38">
        <v>0</v>
      </c>
      <c r="F279" s="38">
        <v>0</v>
      </c>
      <c r="G279" s="59">
        <v>0</v>
      </c>
      <c r="H279" s="38">
        <v>0</v>
      </c>
      <c r="I279" s="38" t="str">
        <f>IF(OR(H279="",'START HERE'!$F$8=0),"",H279/'START HERE'!$F$8)</f>
        <v/>
      </c>
      <c r="J279" s="64" t="str">
        <f t="shared" si="4"/>
        <v>OK</v>
      </c>
    </row>
    <row r="280" spans="1:10" x14ac:dyDescent="0.25">
      <c r="A280" s="26">
        <v>5040082</v>
      </c>
      <c r="B280" s="26" t="s">
        <v>703</v>
      </c>
      <c r="C280" s="26">
        <v>0</v>
      </c>
      <c r="D280" s="38">
        <v>0</v>
      </c>
      <c r="E280" s="38">
        <v>0</v>
      </c>
      <c r="F280" s="38">
        <v>0</v>
      </c>
      <c r="G280" s="59">
        <v>0</v>
      </c>
      <c r="H280" s="38">
        <v>0</v>
      </c>
      <c r="I280" s="38" t="str">
        <f>IF(OR(H280="",'START HERE'!$F$8=0),"",H280/'START HERE'!$F$8)</f>
        <v/>
      </c>
      <c r="J280" s="64" t="str">
        <f t="shared" si="4"/>
        <v>OK</v>
      </c>
    </row>
    <row r="281" spans="1:10" x14ac:dyDescent="0.25">
      <c r="A281" s="26">
        <v>5040102</v>
      </c>
      <c r="B281" s="26" t="s">
        <v>703</v>
      </c>
      <c r="C281" s="26">
        <v>0</v>
      </c>
      <c r="D281" s="38">
        <v>0</v>
      </c>
      <c r="E281" s="38">
        <v>0</v>
      </c>
      <c r="F281" s="38">
        <v>0</v>
      </c>
      <c r="G281" s="59">
        <v>0</v>
      </c>
      <c r="H281" s="38">
        <v>0</v>
      </c>
      <c r="I281" s="38" t="str">
        <f>IF(OR(H281="",'START HERE'!$F$8=0),"",H281/'START HERE'!$F$8)</f>
        <v/>
      </c>
      <c r="J281" s="64" t="str">
        <f t="shared" si="4"/>
        <v>OK</v>
      </c>
    </row>
    <row r="282" spans="1:10" x14ac:dyDescent="0.25">
      <c r="A282" s="26">
        <v>5510030</v>
      </c>
      <c r="B282" s="26" t="s">
        <v>711</v>
      </c>
      <c r="C282" s="26">
        <v>0</v>
      </c>
      <c r="D282" s="38">
        <v>0</v>
      </c>
      <c r="E282" s="38">
        <v>0</v>
      </c>
      <c r="F282" s="38">
        <v>0</v>
      </c>
      <c r="G282" s="59">
        <v>0</v>
      </c>
      <c r="H282" s="38">
        <v>0</v>
      </c>
      <c r="I282" s="38" t="str">
        <f>IF(OR(H282="",'START HERE'!$F$8=0),"",H282/'START HERE'!$F$8)</f>
        <v/>
      </c>
      <c r="J282" s="64" t="str">
        <f t="shared" si="4"/>
        <v>OK</v>
      </c>
    </row>
    <row r="283" spans="1:10" x14ac:dyDescent="0.25">
      <c r="A283" s="26">
        <v>551011013</v>
      </c>
      <c r="B283" s="26" t="s">
        <v>711</v>
      </c>
      <c r="C283" s="26">
        <v>0</v>
      </c>
      <c r="D283" s="38">
        <v>0</v>
      </c>
      <c r="E283" s="38">
        <v>0</v>
      </c>
      <c r="F283" s="38">
        <v>0</v>
      </c>
      <c r="G283" s="59">
        <v>0</v>
      </c>
      <c r="H283" s="38">
        <v>0</v>
      </c>
      <c r="I283" s="38" t="str">
        <f>IF(OR(H283="",'START HERE'!$F$8=0),"",H283/'START HERE'!$F$8)</f>
        <v/>
      </c>
      <c r="J283" s="64" t="str">
        <f t="shared" si="4"/>
        <v>OK</v>
      </c>
    </row>
    <row r="284" spans="1:10" x14ac:dyDescent="0.25">
      <c r="A284" s="26">
        <v>551011806</v>
      </c>
      <c r="B284" s="26" t="s">
        <v>711</v>
      </c>
      <c r="C284" s="26">
        <v>0</v>
      </c>
      <c r="D284" s="38">
        <v>0</v>
      </c>
      <c r="E284" s="38">
        <v>0</v>
      </c>
      <c r="F284" s="38">
        <v>0</v>
      </c>
      <c r="G284" s="59">
        <v>0</v>
      </c>
      <c r="H284" s="38">
        <v>0</v>
      </c>
      <c r="I284" s="38" t="str">
        <f>IF(OR(H284="",'START HERE'!$F$8=0),"",H284/'START HERE'!$F$8)</f>
        <v/>
      </c>
      <c r="J284" s="64" t="str">
        <f t="shared" si="4"/>
        <v>OK</v>
      </c>
    </row>
    <row r="285" spans="1:10" x14ac:dyDescent="0.25">
      <c r="A285" s="26">
        <v>551011807</v>
      </c>
      <c r="B285" s="26" t="s">
        <v>711</v>
      </c>
      <c r="C285" s="26">
        <v>0</v>
      </c>
      <c r="D285" s="38">
        <v>0</v>
      </c>
      <c r="E285" s="38">
        <v>0</v>
      </c>
      <c r="F285" s="38">
        <v>0</v>
      </c>
      <c r="G285" s="59">
        <v>0</v>
      </c>
      <c r="H285" s="38">
        <v>0</v>
      </c>
      <c r="I285" s="38" t="str">
        <f>IF(OR(H285="",'START HERE'!$F$8=0),"",H285/'START HERE'!$F$8)</f>
        <v/>
      </c>
      <c r="J285" s="64" t="str">
        <f t="shared" si="4"/>
        <v>OK</v>
      </c>
    </row>
    <row r="286" spans="1:10" x14ac:dyDescent="0.25">
      <c r="A286" s="26">
        <v>551011928</v>
      </c>
      <c r="B286" s="26" t="s">
        <v>711</v>
      </c>
      <c r="C286" s="26">
        <v>0</v>
      </c>
      <c r="D286" s="38">
        <v>0</v>
      </c>
      <c r="E286" s="38">
        <v>0</v>
      </c>
      <c r="F286" s="38">
        <v>0</v>
      </c>
      <c r="G286" s="59">
        <v>0</v>
      </c>
      <c r="H286" s="38">
        <v>0</v>
      </c>
      <c r="I286" s="38" t="str">
        <f>IF(OR(H286="",'START HERE'!$F$8=0),"",H286/'START HERE'!$F$8)</f>
        <v/>
      </c>
      <c r="J286" s="64" t="str">
        <f t="shared" si="4"/>
        <v>OK</v>
      </c>
    </row>
    <row r="287" spans="1:10" x14ac:dyDescent="0.25">
      <c r="A287" s="26">
        <v>551011963</v>
      </c>
      <c r="B287" s="26" t="s">
        <v>711</v>
      </c>
      <c r="C287" s="26">
        <v>0</v>
      </c>
      <c r="D287" s="38">
        <v>0</v>
      </c>
      <c r="E287" s="38">
        <v>0</v>
      </c>
      <c r="F287" s="38">
        <v>0</v>
      </c>
      <c r="G287" s="59">
        <v>0</v>
      </c>
      <c r="H287" s="38">
        <v>0</v>
      </c>
      <c r="I287" s="38" t="str">
        <f>IF(OR(H287="",'START HERE'!$F$8=0),"",H287/'START HERE'!$F$8)</f>
        <v/>
      </c>
      <c r="J287" s="64" t="str">
        <f t="shared" si="4"/>
        <v>OK</v>
      </c>
    </row>
    <row r="288" spans="1:10" x14ac:dyDescent="0.25">
      <c r="A288" s="26">
        <v>551012017</v>
      </c>
      <c r="B288" s="26" t="s">
        <v>711</v>
      </c>
      <c r="C288" s="26">
        <v>0</v>
      </c>
      <c r="D288" s="38">
        <v>0</v>
      </c>
      <c r="E288" s="38">
        <v>0</v>
      </c>
      <c r="F288" s="38">
        <v>0</v>
      </c>
      <c r="G288" s="59">
        <v>0</v>
      </c>
      <c r="H288" s="38">
        <v>0</v>
      </c>
      <c r="I288" s="38" t="str">
        <f>IF(OR(H288="",'START HERE'!$F$8=0),"",H288/'START HERE'!$F$8)</f>
        <v/>
      </c>
      <c r="J288" s="64" t="str">
        <f t="shared" si="4"/>
        <v>OK</v>
      </c>
    </row>
    <row r="289" spans="1:10" x14ac:dyDescent="0.25">
      <c r="A289" s="26">
        <v>551012603</v>
      </c>
      <c r="B289" s="26" t="s">
        <v>711</v>
      </c>
      <c r="C289" s="26">
        <v>0</v>
      </c>
      <c r="D289" s="38">
        <v>0</v>
      </c>
      <c r="E289" s="38">
        <v>0</v>
      </c>
      <c r="F289" s="38">
        <v>0</v>
      </c>
      <c r="G289" s="59">
        <v>0</v>
      </c>
      <c r="H289" s="38">
        <v>0</v>
      </c>
      <c r="I289" s="38" t="str">
        <f>IF(OR(H289="",'START HERE'!$F$8=0),"",H289/'START HERE'!$F$8)</f>
        <v/>
      </c>
      <c r="J289" s="64" t="str">
        <f t="shared" si="4"/>
        <v>OK</v>
      </c>
    </row>
    <row r="290" spans="1:10" x14ac:dyDescent="0.25">
      <c r="A290" s="26">
        <v>5510240</v>
      </c>
      <c r="B290" s="26" t="s">
        <v>711</v>
      </c>
      <c r="C290" s="26">
        <v>0</v>
      </c>
      <c r="D290" s="38">
        <v>0</v>
      </c>
      <c r="E290" s="38">
        <v>0</v>
      </c>
      <c r="F290" s="38">
        <v>0</v>
      </c>
      <c r="G290" s="59">
        <v>0</v>
      </c>
      <c r="H290" s="38">
        <v>0</v>
      </c>
      <c r="I290" s="38" t="str">
        <f>IF(OR(H290="",'START HERE'!$F$8=0),"",H290/'START HERE'!$F$8)</f>
        <v/>
      </c>
      <c r="J290" s="64" t="str">
        <f t="shared" si="4"/>
        <v>OK</v>
      </c>
    </row>
    <row r="291" spans="1:10" x14ac:dyDescent="0.25">
      <c r="A291" s="26">
        <v>5510270</v>
      </c>
      <c r="B291" s="26" t="s">
        <v>711</v>
      </c>
      <c r="C291" s="26">
        <v>0</v>
      </c>
      <c r="D291" s="38">
        <v>0</v>
      </c>
      <c r="E291" s="38">
        <v>0</v>
      </c>
      <c r="F291" s="38">
        <v>0</v>
      </c>
      <c r="G291" s="59">
        <v>0</v>
      </c>
      <c r="H291" s="38">
        <v>0</v>
      </c>
      <c r="I291" s="38" t="str">
        <f>IF(OR(H291="",'START HERE'!$F$8=0),"",H291/'START HERE'!$F$8)</f>
        <v/>
      </c>
      <c r="J291" s="64" t="str">
        <f t="shared" si="4"/>
        <v>OK</v>
      </c>
    </row>
    <row r="292" spans="1:10" x14ac:dyDescent="0.25">
      <c r="A292" s="26">
        <v>55109645</v>
      </c>
      <c r="B292" s="26" t="s">
        <v>711</v>
      </c>
      <c r="C292" s="26">
        <v>0</v>
      </c>
      <c r="D292" s="38">
        <v>0</v>
      </c>
      <c r="E292" s="38">
        <v>0</v>
      </c>
      <c r="F292" s="38">
        <v>0</v>
      </c>
      <c r="G292" s="59">
        <v>0</v>
      </c>
      <c r="H292" s="38">
        <v>0</v>
      </c>
      <c r="I292" s="38" t="str">
        <f>IF(OR(H292="",'START HERE'!$F$8=0),"",H292/'START HERE'!$F$8)</f>
        <v/>
      </c>
      <c r="J292" s="64" t="str">
        <f t="shared" si="4"/>
        <v>OK</v>
      </c>
    </row>
    <row r="293" spans="1:10" x14ac:dyDescent="0.25">
      <c r="A293" s="26">
        <v>55109692</v>
      </c>
      <c r="B293" s="26" t="s">
        <v>711</v>
      </c>
      <c r="C293" s="26">
        <v>0</v>
      </c>
      <c r="D293" s="38">
        <v>0</v>
      </c>
      <c r="E293" s="38">
        <v>0</v>
      </c>
      <c r="F293" s="38">
        <v>0</v>
      </c>
      <c r="G293" s="59">
        <v>0</v>
      </c>
      <c r="H293" s="38">
        <v>0</v>
      </c>
      <c r="I293" s="38" t="str">
        <f>IF(OR(H293="",'START HERE'!$F$8=0),"",H293/'START HERE'!$F$8)</f>
        <v/>
      </c>
      <c r="J293" s="64" t="str">
        <f t="shared" si="4"/>
        <v>OK</v>
      </c>
    </row>
    <row r="294" spans="1:10" x14ac:dyDescent="0.25">
      <c r="A294" s="26">
        <v>5520313</v>
      </c>
      <c r="B294" s="26" t="s">
        <v>738</v>
      </c>
      <c r="C294" s="26">
        <v>0</v>
      </c>
      <c r="D294" s="38">
        <v>0</v>
      </c>
      <c r="E294" s="38">
        <v>0</v>
      </c>
      <c r="F294" s="38">
        <v>0</v>
      </c>
      <c r="G294" s="59">
        <v>0</v>
      </c>
      <c r="H294" s="38">
        <v>0</v>
      </c>
      <c r="I294" s="38" t="str">
        <f>IF(OR(H294="",'START HERE'!$F$8=0),"",H294/'START HERE'!$F$8)</f>
        <v/>
      </c>
      <c r="J294" s="64" t="str">
        <f t="shared" si="4"/>
        <v>OK</v>
      </c>
    </row>
    <row r="295" spans="1:10" x14ac:dyDescent="0.25">
      <c r="A295" s="26">
        <v>6010010</v>
      </c>
      <c r="B295" s="26" t="s">
        <v>741</v>
      </c>
      <c r="C295" s="26">
        <v>0</v>
      </c>
      <c r="D295" s="38">
        <v>0</v>
      </c>
      <c r="E295" s="38">
        <v>0</v>
      </c>
      <c r="F295" s="38">
        <v>0</v>
      </c>
      <c r="G295" s="59">
        <v>0</v>
      </c>
      <c r="H295" s="38">
        <v>0</v>
      </c>
      <c r="I295" s="38" t="str">
        <f>IF(OR(H295="",'START HERE'!$F$8=0),"",H295/'START HERE'!$F$8)</f>
        <v/>
      </c>
      <c r="J295" s="64" t="str">
        <f t="shared" si="4"/>
        <v>OK</v>
      </c>
    </row>
    <row r="296" spans="1:10" x14ac:dyDescent="0.25">
      <c r="A296" s="26">
        <v>6010049</v>
      </c>
      <c r="B296" s="26" t="s">
        <v>741</v>
      </c>
      <c r="C296" s="26">
        <v>0</v>
      </c>
      <c r="D296" s="38">
        <v>0</v>
      </c>
      <c r="E296" s="38">
        <v>0</v>
      </c>
      <c r="F296" s="38">
        <v>0</v>
      </c>
      <c r="G296" s="59">
        <v>0</v>
      </c>
      <c r="H296" s="38">
        <v>0</v>
      </c>
      <c r="I296" s="38" t="str">
        <f>IF(OR(H296="",'START HERE'!$F$8=0),"",H296/'START HERE'!$F$8)</f>
        <v/>
      </c>
      <c r="J296" s="64" t="str">
        <f t="shared" si="4"/>
        <v>OK</v>
      </c>
    </row>
    <row r="297" spans="1:10" x14ac:dyDescent="0.25">
      <c r="A297" s="26">
        <v>60100917</v>
      </c>
      <c r="B297" s="26" t="s">
        <v>741</v>
      </c>
      <c r="C297" s="26">
        <v>0</v>
      </c>
      <c r="D297" s="38">
        <v>0</v>
      </c>
      <c r="E297" s="38">
        <v>0</v>
      </c>
      <c r="F297" s="38">
        <v>0</v>
      </c>
      <c r="G297" s="59">
        <v>0</v>
      </c>
      <c r="H297" s="38">
        <v>0</v>
      </c>
      <c r="I297" s="38" t="str">
        <f>IF(OR(H297="",'START HERE'!$F$8=0),"",H297/'START HERE'!$F$8)</f>
        <v/>
      </c>
      <c r="J297" s="64" t="str">
        <f t="shared" si="4"/>
        <v>OK</v>
      </c>
    </row>
    <row r="298" spans="1:10" x14ac:dyDescent="0.25">
      <c r="A298" s="26">
        <v>60101053</v>
      </c>
      <c r="B298" s="26" t="s">
        <v>741</v>
      </c>
      <c r="C298" s="26">
        <v>0</v>
      </c>
      <c r="D298" s="38">
        <v>0</v>
      </c>
      <c r="E298" s="38">
        <v>0</v>
      </c>
      <c r="F298" s="38">
        <v>0</v>
      </c>
      <c r="G298" s="59">
        <v>0</v>
      </c>
      <c r="H298" s="38">
        <v>0</v>
      </c>
      <c r="I298" s="38" t="str">
        <f>IF(OR(H298="",'START HERE'!$F$8=0),"",H298/'START HERE'!$F$8)</f>
        <v/>
      </c>
      <c r="J298" s="64" t="str">
        <f t="shared" si="4"/>
        <v>OK</v>
      </c>
    </row>
    <row r="299" spans="1:10" x14ac:dyDescent="0.25">
      <c r="A299" s="26">
        <v>6010230</v>
      </c>
      <c r="B299" s="26" t="s">
        <v>741</v>
      </c>
      <c r="C299" s="26">
        <v>0</v>
      </c>
      <c r="D299" s="38">
        <v>0</v>
      </c>
      <c r="E299" s="38">
        <v>0</v>
      </c>
      <c r="F299" s="38">
        <v>0</v>
      </c>
      <c r="G299" s="59">
        <v>0</v>
      </c>
      <c r="H299" s="38">
        <v>0</v>
      </c>
      <c r="I299" s="38" t="str">
        <f>IF(OR(H299="",'START HERE'!$F$8=0),"",H299/'START HERE'!$F$8)</f>
        <v/>
      </c>
      <c r="J299" s="64" t="str">
        <f t="shared" si="4"/>
        <v>OK</v>
      </c>
    </row>
    <row r="300" spans="1:10" x14ac:dyDescent="0.25">
      <c r="A300" s="26">
        <v>6010270</v>
      </c>
      <c r="B300" s="26" t="s">
        <v>741</v>
      </c>
      <c r="C300" s="26">
        <v>0</v>
      </c>
      <c r="D300" s="38">
        <v>0</v>
      </c>
      <c r="E300" s="38">
        <v>0</v>
      </c>
      <c r="F300" s="38">
        <v>0</v>
      </c>
      <c r="G300" s="59">
        <v>0</v>
      </c>
      <c r="H300" s="38">
        <v>0</v>
      </c>
      <c r="I300" s="38" t="str">
        <f>IF(OR(H300="",'START HERE'!$F$8=0),"",H300/'START HERE'!$F$8)</f>
        <v/>
      </c>
      <c r="J300" s="64" t="str">
        <f t="shared" si="4"/>
        <v>OK</v>
      </c>
    </row>
    <row r="301" spans="1:10" x14ac:dyDescent="0.25">
      <c r="A301" s="26">
        <v>601043075</v>
      </c>
      <c r="B301" s="26" t="s">
        <v>741</v>
      </c>
      <c r="C301" s="26">
        <v>0</v>
      </c>
      <c r="D301" s="38">
        <v>0</v>
      </c>
      <c r="E301" s="38">
        <v>0</v>
      </c>
      <c r="F301" s="38">
        <v>0</v>
      </c>
      <c r="G301" s="59">
        <v>0</v>
      </c>
      <c r="H301" s="38">
        <v>0</v>
      </c>
      <c r="I301" s="38" t="str">
        <f>IF(OR(H301="",'START HERE'!$F$8=0),"",H301/'START HERE'!$F$8)</f>
        <v/>
      </c>
      <c r="J301" s="64" t="str">
        <f t="shared" si="4"/>
        <v>OK</v>
      </c>
    </row>
    <row r="302" spans="1:10" x14ac:dyDescent="0.25">
      <c r="A302" s="26">
        <v>6011029</v>
      </c>
      <c r="B302" s="26" t="s">
        <v>741</v>
      </c>
      <c r="C302" s="26">
        <v>0</v>
      </c>
      <c r="D302" s="38">
        <v>0</v>
      </c>
      <c r="E302" s="38">
        <v>0</v>
      </c>
      <c r="F302" s="38">
        <v>0</v>
      </c>
      <c r="G302" s="59">
        <v>0</v>
      </c>
      <c r="H302" s="38">
        <v>0</v>
      </c>
      <c r="I302" s="38" t="str">
        <f>IF(OR(H302="",'START HERE'!$F$8=0),"",H302/'START HERE'!$F$8)</f>
        <v/>
      </c>
      <c r="J302" s="64" t="str">
        <f t="shared" si="4"/>
        <v>OK</v>
      </c>
    </row>
    <row r="303" spans="1:10" x14ac:dyDescent="0.25">
      <c r="A303" s="26">
        <v>6011114</v>
      </c>
      <c r="B303" s="26" t="s">
        <v>741</v>
      </c>
      <c r="C303" s="26">
        <v>0</v>
      </c>
      <c r="D303" s="38">
        <v>0</v>
      </c>
      <c r="E303" s="38">
        <v>0</v>
      </c>
      <c r="F303" s="38">
        <v>0</v>
      </c>
      <c r="G303" s="59">
        <v>0</v>
      </c>
      <c r="H303" s="38">
        <v>0</v>
      </c>
      <c r="I303" s="38" t="str">
        <f>IF(OR(H303="",'START HERE'!$F$8=0),"",H303/'START HERE'!$F$8)</f>
        <v/>
      </c>
      <c r="J303" s="64" t="str">
        <f t="shared" si="4"/>
        <v>OK</v>
      </c>
    </row>
    <row r="304" spans="1:10" x14ac:dyDescent="0.25">
      <c r="A304" s="26">
        <v>6011427</v>
      </c>
      <c r="B304" s="26" t="s">
        <v>741</v>
      </c>
      <c r="C304" s="26">
        <v>0</v>
      </c>
      <c r="D304" s="38">
        <v>0</v>
      </c>
      <c r="E304" s="38">
        <v>0</v>
      </c>
      <c r="F304" s="38">
        <v>0</v>
      </c>
      <c r="G304" s="59">
        <v>0</v>
      </c>
      <c r="H304" s="38">
        <v>0</v>
      </c>
      <c r="I304" s="38" t="str">
        <f>IF(OR(H304="",'START HERE'!$F$8=0),"",H304/'START HERE'!$F$8)</f>
        <v/>
      </c>
      <c r="J304" s="64" t="str">
        <f t="shared" si="4"/>
        <v>OK</v>
      </c>
    </row>
    <row r="305" spans="1:10" x14ac:dyDescent="0.25">
      <c r="A305" s="26">
        <v>6011557</v>
      </c>
      <c r="B305" s="26" t="s">
        <v>741</v>
      </c>
      <c r="C305" s="26">
        <v>0</v>
      </c>
      <c r="D305" s="38">
        <v>0</v>
      </c>
      <c r="E305" s="38">
        <v>0</v>
      </c>
      <c r="F305" s="38">
        <v>0</v>
      </c>
      <c r="G305" s="59">
        <v>0</v>
      </c>
      <c r="H305" s="38">
        <v>0</v>
      </c>
      <c r="I305" s="38" t="str">
        <f>IF(OR(H305="",'START HERE'!$F$8=0),"",H305/'START HERE'!$F$8)</f>
        <v/>
      </c>
      <c r="J305" s="64" t="str">
        <f t="shared" si="4"/>
        <v>OK</v>
      </c>
    </row>
    <row r="306" spans="1:10" x14ac:dyDescent="0.25">
      <c r="A306" s="26">
        <v>6020010</v>
      </c>
      <c r="B306" s="26" t="s">
        <v>764</v>
      </c>
      <c r="C306" s="26">
        <v>0</v>
      </c>
      <c r="D306" s="38">
        <v>0</v>
      </c>
      <c r="E306" s="38">
        <v>0</v>
      </c>
      <c r="F306" s="38">
        <v>0</v>
      </c>
      <c r="G306" s="59">
        <v>0</v>
      </c>
      <c r="H306" s="38">
        <v>0</v>
      </c>
      <c r="I306" s="38" t="str">
        <f>IF(OR(H306="",'START HERE'!$F$8=0),"",H306/'START HERE'!$F$8)</f>
        <v/>
      </c>
      <c r="J306" s="64" t="str">
        <f t="shared" si="4"/>
        <v>OK</v>
      </c>
    </row>
    <row r="307" spans="1:10" x14ac:dyDescent="0.25">
      <c r="A307" s="26">
        <v>6020021</v>
      </c>
      <c r="B307" s="26" t="s">
        <v>764</v>
      </c>
      <c r="C307" s="26">
        <v>0</v>
      </c>
      <c r="D307" s="38">
        <v>0</v>
      </c>
      <c r="E307" s="38">
        <v>0</v>
      </c>
      <c r="F307" s="38">
        <v>0</v>
      </c>
      <c r="G307" s="59">
        <v>0</v>
      </c>
      <c r="H307" s="38">
        <v>0</v>
      </c>
      <c r="I307" s="38" t="str">
        <f>IF(OR(H307="",'START HERE'!$F$8=0),"",H307/'START HERE'!$F$8)</f>
        <v/>
      </c>
      <c r="J307" s="64" t="str">
        <f t="shared" si="4"/>
        <v>OK</v>
      </c>
    </row>
    <row r="308" spans="1:10" x14ac:dyDescent="0.25">
      <c r="A308" s="26">
        <v>6020024</v>
      </c>
      <c r="B308" s="26" t="s">
        <v>764</v>
      </c>
      <c r="C308" s="26">
        <v>0</v>
      </c>
      <c r="D308" s="38">
        <v>0</v>
      </c>
      <c r="E308" s="38">
        <v>0</v>
      </c>
      <c r="F308" s="38">
        <v>0</v>
      </c>
      <c r="G308" s="59">
        <v>0</v>
      </c>
      <c r="H308" s="38">
        <v>0</v>
      </c>
      <c r="I308" s="38" t="str">
        <f>IF(OR(H308="",'START HERE'!$F$8=0),"",H308/'START HERE'!$F$8)</f>
        <v/>
      </c>
      <c r="J308" s="64" t="str">
        <f t="shared" si="4"/>
        <v>OK</v>
      </c>
    </row>
    <row r="309" spans="1:10" x14ac:dyDescent="0.25">
      <c r="A309" s="26">
        <v>6020030</v>
      </c>
      <c r="B309" s="26" t="s">
        <v>764</v>
      </c>
      <c r="C309" s="26">
        <v>0</v>
      </c>
      <c r="D309" s="38">
        <v>0</v>
      </c>
      <c r="E309" s="38">
        <v>0</v>
      </c>
      <c r="F309" s="38">
        <v>0</v>
      </c>
      <c r="G309" s="59">
        <v>0</v>
      </c>
      <c r="H309" s="38">
        <v>0</v>
      </c>
      <c r="I309" s="38" t="str">
        <f>IF(OR(H309="",'START HERE'!$F$8=0),"",H309/'START HERE'!$F$8)</f>
        <v/>
      </c>
      <c r="J309" s="64" t="str">
        <f t="shared" si="4"/>
        <v>OK</v>
      </c>
    </row>
    <row r="310" spans="1:10" x14ac:dyDescent="0.25">
      <c r="A310" s="26">
        <v>60201071</v>
      </c>
      <c r="B310" s="26" t="s">
        <v>764</v>
      </c>
      <c r="C310" s="26">
        <v>0</v>
      </c>
      <c r="D310" s="38">
        <v>0</v>
      </c>
      <c r="E310" s="38">
        <v>0</v>
      </c>
      <c r="F310" s="38">
        <v>0</v>
      </c>
      <c r="G310" s="59">
        <v>0</v>
      </c>
      <c r="H310" s="38">
        <v>0</v>
      </c>
      <c r="I310" s="38" t="str">
        <f>IF(OR(H310="",'START HERE'!$F$8=0),"",H310/'START HERE'!$F$8)</f>
        <v/>
      </c>
      <c r="J310" s="64" t="str">
        <f t="shared" si="4"/>
        <v>OK</v>
      </c>
    </row>
    <row r="311" spans="1:10" x14ac:dyDescent="0.25">
      <c r="A311" s="26">
        <v>60201119</v>
      </c>
      <c r="B311" s="26" t="s">
        <v>764</v>
      </c>
      <c r="C311" s="26">
        <v>0</v>
      </c>
      <c r="D311" s="38">
        <v>0</v>
      </c>
      <c r="E311" s="38">
        <v>0</v>
      </c>
      <c r="F311" s="38">
        <v>0</v>
      </c>
      <c r="G311" s="59">
        <v>0</v>
      </c>
      <c r="H311" s="38">
        <v>0</v>
      </c>
      <c r="I311" s="38" t="str">
        <f>IF(OR(H311="",'START HERE'!$F$8=0),"",H311/'START HERE'!$F$8)</f>
        <v/>
      </c>
      <c r="J311" s="64" t="str">
        <f t="shared" si="4"/>
        <v>OK</v>
      </c>
    </row>
    <row r="312" spans="1:10" x14ac:dyDescent="0.25">
      <c r="A312" s="26">
        <v>60201573</v>
      </c>
      <c r="B312" s="26" t="s">
        <v>764</v>
      </c>
      <c r="C312" s="26">
        <v>0</v>
      </c>
      <c r="D312" s="38">
        <v>0</v>
      </c>
      <c r="E312" s="38">
        <v>0</v>
      </c>
      <c r="F312" s="38">
        <v>0</v>
      </c>
      <c r="G312" s="59">
        <v>0</v>
      </c>
      <c r="H312" s="38">
        <v>0</v>
      </c>
      <c r="I312" s="38" t="str">
        <f>IF(OR(H312="",'START HERE'!$F$8=0),"",H312/'START HERE'!$F$8)</f>
        <v/>
      </c>
      <c r="J312" s="64" t="str">
        <f t="shared" si="4"/>
        <v>OK</v>
      </c>
    </row>
    <row r="313" spans="1:10" x14ac:dyDescent="0.25">
      <c r="A313" s="26">
        <v>6020232</v>
      </c>
      <c r="B313" s="26" t="s">
        <v>764</v>
      </c>
      <c r="C313" s="26">
        <v>0</v>
      </c>
      <c r="D313" s="38">
        <v>0</v>
      </c>
      <c r="E313" s="38">
        <v>0</v>
      </c>
      <c r="F313" s="38">
        <v>0</v>
      </c>
      <c r="G313" s="59">
        <v>0</v>
      </c>
      <c r="H313" s="38">
        <v>0</v>
      </c>
      <c r="I313" s="38" t="str">
        <f>IF(OR(H313="",'START HERE'!$F$8=0),"",H313/'START HERE'!$F$8)</f>
        <v/>
      </c>
      <c r="J313" s="64" t="str">
        <f t="shared" si="4"/>
        <v>OK</v>
      </c>
    </row>
    <row r="314" spans="1:10" x14ac:dyDescent="0.25">
      <c r="A314" s="26">
        <v>6020235</v>
      </c>
      <c r="B314" s="26" t="s">
        <v>764</v>
      </c>
      <c r="C314" s="26">
        <v>0</v>
      </c>
      <c r="D314" s="38">
        <v>0</v>
      </c>
      <c r="E314" s="38">
        <v>0</v>
      </c>
      <c r="F314" s="38">
        <v>0</v>
      </c>
      <c r="G314" s="59">
        <v>0</v>
      </c>
      <c r="H314" s="38">
        <v>0</v>
      </c>
      <c r="I314" s="38" t="str">
        <f>IF(OR(H314="",'START HERE'!$F$8=0),"",H314/'START HERE'!$F$8)</f>
        <v/>
      </c>
      <c r="J314" s="64" t="str">
        <f t="shared" si="4"/>
        <v>OK</v>
      </c>
    </row>
    <row r="315" spans="1:10" x14ac:dyDescent="0.25">
      <c r="A315" s="26">
        <v>6020249</v>
      </c>
      <c r="B315" s="26" t="s">
        <v>764</v>
      </c>
      <c r="C315" s="26">
        <v>0</v>
      </c>
      <c r="D315" s="38">
        <v>0</v>
      </c>
      <c r="E315" s="38">
        <v>0</v>
      </c>
      <c r="F315" s="38">
        <v>0</v>
      </c>
      <c r="G315" s="59">
        <v>0</v>
      </c>
      <c r="H315" s="38">
        <v>0</v>
      </c>
      <c r="I315" s="38" t="str">
        <f>IF(OR(H315="",'START HERE'!$F$8=0),"",H315/'START HERE'!$F$8)</f>
        <v/>
      </c>
      <c r="J315" s="64" t="str">
        <f t="shared" si="4"/>
        <v>OK</v>
      </c>
    </row>
    <row r="316" spans="1:10" x14ac:dyDescent="0.25">
      <c r="A316" s="26">
        <v>60202495</v>
      </c>
      <c r="B316" s="26" t="s">
        <v>764</v>
      </c>
      <c r="C316" s="26">
        <v>0</v>
      </c>
      <c r="D316" s="38">
        <v>0</v>
      </c>
      <c r="E316" s="38">
        <v>0</v>
      </c>
      <c r="F316" s="38">
        <v>0</v>
      </c>
      <c r="G316" s="59">
        <v>0</v>
      </c>
      <c r="H316" s="38">
        <v>0</v>
      </c>
      <c r="I316" s="38" t="str">
        <f>IF(OR(H316="",'START HERE'!$F$8=0),"",H316/'START HERE'!$F$8)</f>
        <v/>
      </c>
      <c r="J316" s="64" t="str">
        <f t="shared" si="4"/>
        <v>OK</v>
      </c>
    </row>
    <row r="317" spans="1:10" x14ac:dyDescent="0.25">
      <c r="A317" s="26">
        <v>6020276</v>
      </c>
      <c r="B317" s="26" t="s">
        <v>764</v>
      </c>
      <c r="C317" s="26">
        <v>0</v>
      </c>
      <c r="D317" s="38">
        <v>0</v>
      </c>
      <c r="E317" s="38">
        <v>0</v>
      </c>
      <c r="F317" s="38">
        <v>0</v>
      </c>
      <c r="G317" s="59">
        <v>0</v>
      </c>
      <c r="H317" s="38">
        <v>0</v>
      </c>
      <c r="I317" s="38" t="str">
        <f>IF(OR(H317="",'START HERE'!$F$8=0),"",H317/'START HERE'!$F$8)</f>
        <v/>
      </c>
      <c r="J317" s="64" t="str">
        <f t="shared" si="4"/>
        <v>OK</v>
      </c>
    </row>
    <row r="318" spans="1:10" x14ac:dyDescent="0.25">
      <c r="A318" s="26">
        <v>6020658</v>
      </c>
      <c r="B318" s="26" t="s">
        <v>764</v>
      </c>
      <c r="C318" s="26">
        <v>0</v>
      </c>
      <c r="D318" s="38">
        <v>0</v>
      </c>
      <c r="E318" s="38">
        <v>0</v>
      </c>
      <c r="F318" s="38">
        <v>0</v>
      </c>
      <c r="G318" s="59">
        <v>0</v>
      </c>
      <c r="H318" s="38">
        <v>0</v>
      </c>
      <c r="I318" s="38" t="str">
        <f>IF(OR(H318="",'START HERE'!$F$8=0),"",H318/'START HERE'!$F$8)</f>
        <v/>
      </c>
      <c r="J318" s="64" t="str">
        <f t="shared" si="4"/>
        <v>OK</v>
      </c>
    </row>
    <row r="319" spans="1:10" x14ac:dyDescent="0.25">
      <c r="A319" s="26">
        <v>6030012</v>
      </c>
      <c r="B319" s="26" t="s">
        <v>790</v>
      </c>
      <c r="C319" s="26">
        <v>0</v>
      </c>
      <c r="D319" s="38">
        <v>0</v>
      </c>
      <c r="E319" s="38">
        <v>0</v>
      </c>
      <c r="F319" s="38">
        <v>0</v>
      </c>
      <c r="G319" s="59">
        <v>0</v>
      </c>
      <c r="H319" s="38">
        <v>0</v>
      </c>
      <c r="I319" s="38" t="str">
        <f>IF(OR(H319="",'START HERE'!$F$8=0),"",H319/'START HERE'!$F$8)</f>
        <v/>
      </c>
      <c r="J319" s="64" t="str">
        <f t="shared" si="4"/>
        <v>OK</v>
      </c>
    </row>
    <row r="320" spans="1:10" x14ac:dyDescent="0.25">
      <c r="A320" s="26">
        <v>6030020</v>
      </c>
      <c r="B320" s="26" t="s">
        <v>790</v>
      </c>
      <c r="C320" s="26">
        <v>0</v>
      </c>
      <c r="D320" s="38">
        <v>0</v>
      </c>
      <c r="E320" s="38">
        <v>0</v>
      </c>
      <c r="F320" s="38">
        <v>0</v>
      </c>
      <c r="G320" s="59">
        <v>0</v>
      </c>
      <c r="H320" s="38">
        <v>0</v>
      </c>
      <c r="I320" s="38" t="str">
        <f>IF(OR(H320="",'START HERE'!$F$8=0),"",H320/'START HERE'!$F$8)</f>
        <v/>
      </c>
      <c r="J320" s="64" t="str">
        <f t="shared" si="4"/>
        <v>OK</v>
      </c>
    </row>
    <row r="321" spans="1:10" x14ac:dyDescent="0.25">
      <c r="A321" s="26">
        <v>6030030</v>
      </c>
      <c r="B321" s="26" t="s">
        <v>790</v>
      </c>
      <c r="C321" s="26">
        <v>0</v>
      </c>
      <c r="D321" s="38">
        <v>0</v>
      </c>
      <c r="E321" s="38">
        <v>0</v>
      </c>
      <c r="F321" s="38">
        <v>0</v>
      </c>
      <c r="G321" s="59">
        <v>0</v>
      </c>
      <c r="H321" s="38">
        <v>0</v>
      </c>
      <c r="I321" s="38" t="str">
        <f>IF(OR(H321="",'START HERE'!$F$8=0),"",H321/'START HERE'!$F$8)</f>
        <v/>
      </c>
      <c r="J321" s="64" t="str">
        <f t="shared" si="4"/>
        <v>OK</v>
      </c>
    </row>
    <row r="322" spans="1:10" x14ac:dyDescent="0.25">
      <c r="A322" s="26">
        <v>6040085</v>
      </c>
      <c r="B322" s="26" t="s">
        <v>797</v>
      </c>
      <c r="C322" s="26">
        <v>0</v>
      </c>
      <c r="D322" s="38">
        <v>0</v>
      </c>
      <c r="E322" s="38">
        <v>0</v>
      </c>
      <c r="F322" s="38">
        <v>0</v>
      </c>
      <c r="G322" s="59">
        <v>0</v>
      </c>
      <c r="H322" s="38">
        <v>0</v>
      </c>
      <c r="I322" s="38" t="str">
        <f>IF(OR(H322="",'START HERE'!$F$8=0),"",H322/'START HERE'!$F$8)</f>
        <v/>
      </c>
      <c r="J322" s="64" t="str">
        <f t="shared" si="4"/>
        <v>OK</v>
      </c>
    </row>
    <row r="323" spans="1:10" x14ac:dyDescent="0.25">
      <c r="A323" s="26">
        <v>6040088</v>
      </c>
      <c r="B323" s="26" t="s">
        <v>797</v>
      </c>
      <c r="C323" s="26">
        <v>0</v>
      </c>
      <c r="D323" s="38">
        <v>0</v>
      </c>
      <c r="E323" s="38">
        <v>0</v>
      </c>
      <c r="F323" s="38">
        <v>0</v>
      </c>
      <c r="G323" s="59">
        <v>0</v>
      </c>
      <c r="H323" s="38">
        <v>0</v>
      </c>
      <c r="I323" s="38" t="str">
        <f>IF(OR(H323="",'START HERE'!$F$8=0),"",H323/'START HERE'!$F$8)</f>
        <v/>
      </c>
      <c r="J323" s="64" t="str">
        <f t="shared" si="4"/>
        <v>OK</v>
      </c>
    </row>
    <row r="324" spans="1:10" x14ac:dyDescent="0.25">
      <c r="A324" s="26">
        <v>6111955</v>
      </c>
      <c r="B324" s="26" t="s">
        <v>802</v>
      </c>
      <c r="C324" s="26">
        <v>0</v>
      </c>
      <c r="D324" s="38">
        <v>0</v>
      </c>
      <c r="E324" s="38">
        <v>0</v>
      </c>
      <c r="F324" s="38">
        <v>0</v>
      </c>
      <c r="G324" s="59">
        <v>0</v>
      </c>
      <c r="H324" s="38">
        <v>0</v>
      </c>
      <c r="I324" s="38" t="str">
        <f>IF(OR(H324="",'START HERE'!$F$8=0),"",H324/'START HERE'!$F$8)</f>
        <v/>
      </c>
      <c r="J324" s="64" t="str">
        <f t="shared" si="4"/>
        <v>OK</v>
      </c>
    </row>
    <row r="325" spans="1:10" x14ac:dyDescent="0.25">
      <c r="A325" s="26">
        <v>6510110</v>
      </c>
      <c r="B325" s="26" t="s">
        <v>806</v>
      </c>
      <c r="C325" s="26">
        <v>0</v>
      </c>
      <c r="D325" s="38">
        <v>0</v>
      </c>
      <c r="E325" s="38">
        <v>0</v>
      </c>
      <c r="F325" s="38">
        <v>0</v>
      </c>
      <c r="G325" s="59">
        <v>0</v>
      </c>
      <c r="H325" s="38">
        <v>0</v>
      </c>
      <c r="I325" s="38" t="str">
        <f>IF(OR(H325="",'START HERE'!$F$8=0),"",H325/'START HERE'!$F$8)</f>
        <v/>
      </c>
      <c r="J325" s="64" t="str">
        <f t="shared" ref="J325:J388" si="5">IF(G325="","MISSING PHYSICAL",IF(H325&lt;0,"CHECK: NEGATIVE CONSUMPTION","OK"))</f>
        <v>OK</v>
      </c>
    </row>
    <row r="326" spans="1:10" x14ac:dyDescent="0.25">
      <c r="A326" s="26">
        <v>6510130</v>
      </c>
      <c r="B326" s="26" t="s">
        <v>806</v>
      </c>
      <c r="C326" s="26">
        <v>0</v>
      </c>
      <c r="D326" s="38">
        <v>0</v>
      </c>
      <c r="E326" s="38">
        <v>0</v>
      </c>
      <c r="F326" s="38">
        <v>0</v>
      </c>
      <c r="G326" s="59">
        <v>0</v>
      </c>
      <c r="H326" s="38">
        <v>0</v>
      </c>
      <c r="I326" s="38" t="str">
        <f>IF(OR(H326="",'START HERE'!$F$8=0),"",H326/'START HERE'!$F$8)</f>
        <v/>
      </c>
      <c r="J326" s="64" t="str">
        <f t="shared" si="5"/>
        <v>OK</v>
      </c>
    </row>
    <row r="327" spans="1:10" x14ac:dyDescent="0.25">
      <c r="A327" s="26">
        <v>6510140</v>
      </c>
      <c r="B327" s="26" t="s">
        <v>806</v>
      </c>
      <c r="C327" s="26">
        <v>0</v>
      </c>
      <c r="D327" s="38">
        <v>0</v>
      </c>
      <c r="E327" s="38">
        <v>0</v>
      </c>
      <c r="F327" s="38">
        <v>0</v>
      </c>
      <c r="G327" s="59">
        <v>0</v>
      </c>
      <c r="H327" s="38">
        <v>0</v>
      </c>
      <c r="I327" s="38" t="str">
        <f>IF(OR(H327="",'START HERE'!$F$8=0),"",H327/'START HERE'!$F$8)</f>
        <v/>
      </c>
      <c r="J327" s="64" t="str">
        <f t="shared" si="5"/>
        <v>OK</v>
      </c>
    </row>
    <row r="328" spans="1:10" x14ac:dyDescent="0.25">
      <c r="A328" s="26">
        <v>6510150</v>
      </c>
      <c r="B328" s="26" t="s">
        <v>806</v>
      </c>
      <c r="C328" s="26">
        <v>0</v>
      </c>
      <c r="D328" s="38">
        <v>0</v>
      </c>
      <c r="E328" s="38">
        <v>0</v>
      </c>
      <c r="F328" s="38">
        <v>0</v>
      </c>
      <c r="G328" s="59">
        <v>0</v>
      </c>
      <c r="H328" s="38">
        <v>0</v>
      </c>
      <c r="I328" s="38" t="str">
        <f>IF(OR(H328="",'START HERE'!$F$8=0),"",H328/'START HERE'!$F$8)</f>
        <v/>
      </c>
      <c r="J328" s="64" t="str">
        <f t="shared" si="5"/>
        <v>OK</v>
      </c>
    </row>
    <row r="329" spans="1:10" x14ac:dyDescent="0.25">
      <c r="A329" s="26">
        <v>6510160</v>
      </c>
      <c r="B329" s="26" t="s">
        <v>806</v>
      </c>
      <c r="C329" s="26">
        <v>0</v>
      </c>
      <c r="D329" s="38">
        <v>0</v>
      </c>
      <c r="E329" s="38">
        <v>0</v>
      </c>
      <c r="F329" s="38">
        <v>0</v>
      </c>
      <c r="G329" s="59">
        <v>0</v>
      </c>
      <c r="H329" s="38">
        <v>0</v>
      </c>
      <c r="I329" s="38" t="str">
        <f>IF(OR(H329="",'START HERE'!$F$8=0),"",H329/'START HERE'!$F$8)</f>
        <v/>
      </c>
      <c r="J329" s="64" t="str">
        <f t="shared" si="5"/>
        <v>OK</v>
      </c>
    </row>
    <row r="330" spans="1:10" x14ac:dyDescent="0.25">
      <c r="A330" s="26">
        <v>6510170</v>
      </c>
      <c r="B330" s="26" t="s">
        <v>806</v>
      </c>
      <c r="C330" s="26">
        <v>0</v>
      </c>
      <c r="D330" s="38">
        <v>0</v>
      </c>
      <c r="E330" s="38">
        <v>0</v>
      </c>
      <c r="F330" s="38">
        <v>0</v>
      </c>
      <c r="G330" s="59">
        <v>0</v>
      </c>
      <c r="H330" s="38">
        <v>0</v>
      </c>
      <c r="I330" s="38" t="str">
        <f>IF(OR(H330="",'START HERE'!$F$8=0),"",H330/'START HERE'!$F$8)</f>
        <v/>
      </c>
      <c r="J330" s="64" t="str">
        <f t="shared" si="5"/>
        <v>OK</v>
      </c>
    </row>
    <row r="331" spans="1:10" x14ac:dyDescent="0.25">
      <c r="A331" s="26">
        <v>6510200</v>
      </c>
      <c r="B331" s="26" t="s">
        <v>806</v>
      </c>
      <c r="C331" s="26">
        <v>0</v>
      </c>
      <c r="D331" s="38">
        <v>0</v>
      </c>
      <c r="E331" s="38">
        <v>0</v>
      </c>
      <c r="F331" s="38">
        <v>0</v>
      </c>
      <c r="G331" s="59">
        <v>0</v>
      </c>
      <c r="H331" s="38">
        <v>0</v>
      </c>
      <c r="I331" s="38" t="str">
        <f>IF(OR(H331="",'START HERE'!$F$8=0),"",H331/'START HERE'!$F$8)</f>
        <v/>
      </c>
      <c r="J331" s="64" t="str">
        <f t="shared" si="5"/>
        <v>OK</v>
      </c>
    </row>
    <row r="332" spans="1:10" x14ac:dyDescent="0.25">
      <c r="A332" s="26">
        <v>6530030</v>
      </c>
      <c r="B332" s="26" t="s">
        <v>820</v>
      </c>
      <c r="C332" s="26">
        <v>0</v>
      </c>
      <c r="D332" s="38">
        <v>0</v>
      </c>
      <c r="E332" s="38">
        <v>0</v>
      </c>
      <c r="F332" s="38">
        <v>0</v>
      </c>
      <c r="G332" s="59">
        <v>0</v>
      </c>
      <c r="H332" s="38">
        <v>0</v>
      </c>
      <c r="I332" s="38" t="str">
        <f>IF(OR(H332="",'START HERE'!$F$8=0),"",H332/'START HERE'!$F$8)</f>
        <v/>
      </c>
      <c r="J332" s="64" t="str">
        <f t="shared" si="5"/>
        <v>OK</v>
      </c>
    </row>
    <row r="333" spans="1:10" x14ac:dyDescent="0.25">
      <c r="A333" s="26">
        <v>6530050</v>
      </c>
      <c r="B333" s="26" t="s">
        <v>820</v>
      </c>
      <c r="C333" s="26">
        <v>0</v>
      </c>
      <c r="D333" s="38">
        <v>0</v>
      </c>
      <c r="E333" s="38">
        <v>0</v>
      </c>
      <c r="F333" s="38">
        <v>0</v>
      </c>
      <c r="G333" s="59">
        <v>0</v>
      </c>
      <c r="H333" s="38">
        <v>0</v>
      </c>
      <c r="I333" s="38" t="str">
        <f>IF(OR(H333="",'START HERE'!$F$8=0),"",H333/'START HERE'!$F$8)</f>
        <v/>
      </c>
      <c r="J333" s="64" t="str">
        <f t="shared" si="5"/>
        <v>OK</v>
      </c>
    </row>
    <row r="334" spans="1:10" x14ac:dyDescent="0.25">
      <c r="A334" s="26">
        <v>6530070</v>
      </c>
      <c r="B334" s="26" t="s">
        <v>820</v>
      </c>
      <c r="C334" s="26">
        <v>0</v>
      </c>
      <c r="D334" s="38">
        <v>0</v>
      </c>
      <c r="E334" s="38">
        <v>0</v>
      </c>
      <c r="F334" s="38">
        <v>0</v>
      </c>
      <c r="G334" s="59">
        <v>0</v>
      </c>
      <c r="H334" s="38">
        <v>0</v>
      </c>
      <c r="I334" s="38" t="str">
        <f>IF(OR(H334="",'START HERE'!$F$8=0),"",H334/'START HERE'!$F$8)</f>
        <v/>
      </c>
      <c r="J334" s="64" t="str">
        <f t="shared" si="5"/>
        <v>OK</v>
      </c>
    </row>
    <row r="335" spans="1:10" x14ac:dyDescent="0.25">
      <c r="A335" s="26">
        <v>6530236</v>
      </c>
      <c r="B335" s="26" t="s">
        <v>820</v>
      </c>
      <c r="C335" s="26">
        <v>0</v>
      </c>
      <c r="D335" s="38">
        <v>0</v>
      </c>
      <c r="E335" s="38">
        <v>0</v>
      </c>
      <c r="F335" s="38">
        <v>0</v>
      </c>
      <c r="G335" s="59">
        <v>0</v>
      </c>
      <c r="H335" s="38">
        <v>0</v>
      </c>
      <c r="I335" s="38" t="str">
        <f>IF(OR(H335="",'START HERE'!$F$8=0),"",H335/'START HERE'!$F$8)</f>
        <v/>
      </c>
      <c r="J335" s="64" t="str">
        <f t="shared" si="5"/>
        <v>OK</v>
      </c>
    </row>
    <row r="336" spans="1:10" x14ac:dyDescent="0.25">
      <c r="A336" s="26">
        <v>6530279</v>
      </c>
      <c r="B336" s="26" t="s">
        <v>820</v>
      </c>
      <c r="C336" s="26">
        <v>0</v>
      </c>
      <c r="D336" s="38">
        <v>0</v>
      </c>
      <c r="E336" s="38">
        <v>0</v>
      </c>
      <c r="F336" s="38">
        <v>0</v>
      </c>
      <c r="G336" s="59">
        <v>0</v>
      </c>
      <c r="H336" s="38">
        <v>0</v>
      </c>
      <c r="I336" s="38" t="str">
        <f>IF(OR(H336="",'START HERE'!$F$8=0),"",H336/'START HERE'!$F$8)</f>
        <v/>
      </c>
      <c r="J336" s="64" t="str">
        <f t="shared" si="5"/>
        <v>OK</v>
      </c>
    </row>
    <row r="337" spans="1:10" x14ac:dyDescent="0.25">
      <c r="A337" s="26">
        <v>6530286</v>
      </c>
      <c r="B337" s="26" t="s">
        <v>820</v>
      </c>
      <c r="C337" s="26">
        <v>0</v>
      </c>
      <c r="D337" s="38">
        <v>0</v>
      </c>
      <c r="E337" s="38">
        <v>0</v>
      </c>
      <c r="F337" s="38">
        <v>0</v>
      </c>
      <c r="G337" s="59">
        <v>0</v>
      </c>
      <c r="H337" s="38">
        <v>0</v>
      </c>
      <c r="I337" s="38" t="str">
        <f>IF(OR(H337="",'START HERE'!$F$8=0),"",H337/'START HERE'!$F$8)</f>
        <v/>
      </c>
      <c r="J337" s="64" t="str">
        <f t="shared" si="5"/>
        <v>OK</v>
      </c>
    </row>
    <row r="338" spans="1:10" x14ac:dyDescent="0.25">
      <c r="A338" s="26">
        <v>6540090</v>
      </c>
      <c r="B338" s="26" t="s">
        <v>834</v>
      </c>
      <c r="C338" s="26">
        <v>0</v>
      </c>
      <c r="D338" s="38">
        <v>0</v>
      </c>
      <c r="E338" s="38">
        <v>0</v>
      </c>
      <c r="F338" s="38">
        <v>0</v>
      </c>
      <c r="G338" s="59">
        <v>0</v>
      </c>
      <c r="H338" s="38">
        <v>0</v>
      </c>
      <c r="I338" s="38" t="str">
        <f>IF(OR(H338="",'START HERE'!$F$8=0),"",H338/'START HERE'!$F$8)</f>
        <v/>
      </c>
      <c r="J338" s="64" t="str">
        <f t="shared" si="5"/>
        <v>OK</v>
      </c>
    </row>
    <row r="339" spans="1:10" x14ac:dyDescent="0.25">
      <c r="A339" s="26">
        <v>65401475</v>
      </c>
      <c r="B339" s="26" t="s">
        <v>834</v>
      </c>
      <c r="C339" s="26">
        <v>0</v>
      </c>
      <c r="D339" s="38">
        <v>0</v>
      </c>
      <c r="E339" s="38">
        <v>0</v>
      </c>
      <c r="F339" s="38">
        <v>0</v>
      </c>
      <c r="G339" s="59">
        <v>0</v>
      </c>
      <c r="H339" s="38">
        <v>0</v>
      </c>
      <c r="I339" s="38" t="str">
        <f>IF(OR(H339="",'START HERE'!$F$8=0),"",H339/'START HERE'!$F$8)</f>
        <v/>
      </c>
      <c r="J339" s="64" t="str">
        <f t="shared" si="5"/>
        <v>OK</v>
      </c>
    </row>
    <row r="340" spans="1:10" x14ac:dyDescent="0.25">
      <c r="A340" s="26">
        <v>65401555</v>
      </c>
      <c r="B340" s="26" t="s">
        <v>834</v>
      </c>
      <c r="C340" s="26">
        <v>0</v>
      </c>
      <c r="D340" s="38">
        <v>0</v>
      </c>
      <c r="E340" s="38">
        <v>0</v>
      </c>
      <c r="F340" s="38">
        <v>0</v>
      </c>
      <c r="G340" s="59">
        <v>0</v>
      </c>
      <c r="H340" s="38">
        <v>0</v>
      </c>
      <c r="I340" s="38" t="str">
        <f>IF(OR(H340="",'START HERE'!$F$8=0),"",H340/'START HERE'!$F$8)</f>
        <v/>
      </c>
      <c r="J340" s="64" t="str">
        <f t="shared" si="5"/>
        <v>OK</v>
      </c>
    </row>
    <row r="341" spans="1:10" x14ac:dyDescent="0.25">
      <c r="A341" s="26">
        <v>65401686</v>
      </c>
      <c r="B341" s="26" t="s">
        <v>834</v>
      </c>
      <c r="C341" s="26">
        <v>0</v>
      </c>
      <c r="D341" s="38">
        <v>0</v>
      </c>
      <c r="E341" s="38">
        <v>0</v>
      </c>
      <c r="F341" s="38">
        <v>0</v>
      </c>
      <c r="G341" s="59">
        <v>0</v>
      </c>
      <c r="H341" s="38">
        <v>0</v>
      </c>
      <c r="I341" s="38" t="str">
        <f>IF(OR(H341="",'START HERE'!$F$8=0),"",H341/'START HERE'!$F$8)</f>
        <v/>
      </c>
      <c r="J341" s="64" t="str">
        <f t="shared" si="5"/>
        <v>OK</v>
      </c>
    </row>
    <row r="342" spans="1:10" x14ac:dyDescent="0.25">
      <c r="A342" s="26">
        <v>6540232</v>
      </c>
      <c r="B342" s="26" t="s">
        <v>834</v>
      </c>
      <c r="C342" s="26">
        <v>0</v>
      </c>
      <c r="D342" s="38">
        <v>0</v>
      </c>
      <c r="E342" s="38">
        <v>0</v>
      </c>
      <c r="F342" s="38">
        <v>0</v>
      </c>
      <c r="G342" s="59">
        <v>0</v>
      </c>
      <c r="H342" s="38">
        <v>0</v>
      </c>
      <c r="I342" s="38" t="str">
        <f>IF(OR(H342="",'START HERE'!$F$8=0),"",H342/'START HERE'!$F$8)</f>
        <v/>
      </c>
      <c r="J342" s="64" t="str">
        <f t="shared" si="5"/>
        <v>OK</v>
      </c>
    </row>
    <row r="343" spans="1:10" x14ac:dyDescent="0.25">
      <c r="A343" s="26">
        <v>74101428</v>
      </c>
      <c r="B343" s="26" t="s">
        <v>193</v>
      </c>
      <c r="C343" s="26">
        <v>0</v>
      </c>
      <c r="D343" s="38">
        <v>0</v>
      </c>
      <c r="E343" s="38">
        <v>0</v>
      </c>
      <c r="F343" s="38">
        <v>0</v>
      </c>
      <c r="G343" s="59">
        <v>0</v>
      </c>
      <c r="H343" s="38">
        <v>0</v>
      </c>
      <c r="I343" s="38" t="str">
        <f>IF(OR(H343="",'START HERE'!$F$8=0),"",H343/'START HERE'!$F$8)</f>
        <v/>
      </c>
      <c r="J343" s="64" t="str">
        <f t="shared" si="5"/>
        <v>OK</v>
      </c>
    </row>
    <row r="344" spans="1:10" x14ac:dyDescent="0.25">
      <c r="A344" s="26">
        <v>7417010</v>
      </c>
      <c r="B344" s="26" t="s">
        <v>636</v>
      </c>
      <c r="C344" s="26">
        <v>0</v>
      </c>
      <c r="D344" s="38">
        <v>0</v>
      </c>
      <c r="E344" s="38">
        <v>0</v>
      </c>
      <c r="F344" s="38">
        <v>0</v>
      </c>
      <c r="G344" s="59">
        <v>0</v>
      </c>
      <c r="H344" s="38">
        <v>0</v>
      </c>
      <c r="I344" s="38" t="str">
        <f>IF(OR(H344="",'START HERE'!$F$8=0),"",H344/'START HERE'!$F$8)</f>
        <v/>
      </c>
      <c r="J344" s="64" t="str">
        <f t="shared" si="5"/>
        <v>OK</v>
      </c>
    </row>
    <row r="345" spans="1:10" x14ac:dyDescent="0.25">
      <c r="A345" s="26">
        <v>7417191</v>
      </c>
      <c r="B345" s="26" t="s">
        <v>636</v>
      </c>
      <c r="C345" s="26">
        <v>0</v>
      </c>
      <c r="D345" s="38">
        <v>0</v>
      </c>
      <c r="E345" s="38">
        <v>0</v>
      </c>
      <c r="F345" s="38">
        <v>0</v>
      </c>
      <c r="G345" s="59">
        <v>0</v>
      </c>
      <c r="H345" s="38">
        <v>0</v>
      </c>
      <c r="I345" s="38" t="str">
        <f>IF(OR(H345="",'START HERE'!$F$8=0),"",H345/'START HERE'!$F$8)</f>
        <v/>
      </c>
      <c r="J345" s="64" t="str">
        <f t="shared" si="5"/>
        <v>OK</v>
      </c>
    </row>
    <row r="346" spans="1:10" x14ac:dyDescent="0.25">
      <c r="A346" s="26">
        <v>7417920</v>
      </c>
      <c r="B346" s="26" t="s">
        <v>636</v>
      </c>
      <c r="C346" s="26">
        <v>0</v>
      </c>
      <c r="D346" s="38">
        <v>0</v>
      </c>
      <c r="E346" s="38">
        <v>0</v>
      </c>
      <c r="F346" s="38">
        <v>0</v>
      </c>
      <c r="G346" s="59">
        <v>0</v>
      </c>
      <c r="H346" s="38">
        <v>0</v>
      </c>
      <c r="I346" s="38" t="str">
        <f>IF(OR(H346="",'START HERE'!$F$8=0),"",H346/'START HERE'!$F$8)</f>
        <v/>
      </c>
      <c r="J346" s="64" t="str">
        <f t="shared" si="5"/>
        <v>OK</v>
      </c>
    </row>
    <row r="347" spans="1:10" x14ac:dyDescent="0.25">
      <c r="A347" s="26">
        <v>7492966</v>
      </c>
      <c r="B347" s="26" t="s">
        <v>193</v>
      </c>
      <c r="C347" s="26">
        <v>0</v>
      </c>
      <c r="D347" s="38">
        <v>0</v>
      </c>
      <c r="E347" s="38">
        <v>0</v>
      </c>
      <c r="F347" s="38">
        <v>0</v>
      </c>
      <c r="G347" s="59">
        <v>0</v>
      </c>
      <c r="H347" s="38">
        <v>0</v>
      </c>
      <c r="I347" s="38" t="str">
        <f>IF(OR(H347="",'START HERE'!$F$8=0),"",H347/'START HERE'!$F$8)</f>
        <v/>
      </c>
      <c r="J347" s="64" t="str">
        <f t="shared" si="5"/>
        <v>OK</v>
      </c>
    </row>
    <row r="348" spans="1:10" x14ac:dyDescent="0.25">
      <c r="A348" s="26">
        <v>7510040</v>
      </c>
      <c r="B348" s="26" t="s">
        <v>859</v>
      </c>
      <c r="C348" s="26">
        <v>0</v>
      </c>
      <c r="D348" s="38">
        <v>0</v>
      </c>
      <c r="E348" s="38">
        <v>0</v>
      </c>
      <c r="F348" s="38">
        <v>0</v>
      </c>
      <c r="G348" s="59">
        <v>0</v>
      </c>
      <c r="H348" s="38">
        <v>0</v>
      </c>
      <c r="I348" s="38" t="str">
        <f>IF(OR(H348="",'START HERE'!$F$8=0),"",H348/'START HERE'!$F$8)</f>
        <v/>
      </c>
      <c r="J348" s="64" t="str">
        <f t="shared" si="5"/>
        <v>OK</v>
      </c>
    </row>
    <row r="349" spans="1:10" x14ac:dyDescent="0.25">
      <c r="A349" s="26">
        <v>7510060</v>
      </c>
      <c r="B349" s="26" t="s">
        <v>859</v>
      </c>
      <c r="C349" s="26">
        <v>0</v>
      </c>
      <c r="D349" s="38">
        <v>0</v>
      </c>
      <c r="E349" s="38">
        <v>0</v>
      </c>
      <c r="F349" s="38">
        <v>0</v>
      </c>
      <c r="G349" s="59">
        <v>0</v>
      </c>
      <c r="H349" s="38">
        <v>0</v>
      </c>
      <c r="I349" s="38" t="str">
        <f>IF(OR(H349="",'START HERE'!$F$8=0),"",H349/'START HERE'!$F$8)</f>
        <v/>
      </c>
      <c r="J349" s="64" t="str">
        <f t="shared" si="5"/>
        <v>OK</v>
      </c>
    </row>
    <row r="350" spans="1:10" x14ac:dyDescent="0.25">
      <c r="A350" s="26">
        <v>7520035</v>
      </c>
      <c r="B350" s="26" t="s">
        <v>864</v>
      </c>
      <c r="C350" s="26">
        <v>0</v>
      </c>
      <c r="D350" s="38">
        <v>0</v>
      </c>
      <c r="E350" s="38">
        <v>0</v>
      </c>
      <c r="F350" s="38">
        <v>0</v>
      </c>
      <c r="G350" s="59">
        <v>0</v>
      </c>
      <c r="H350" s="38">
        <v>0</v>
      </c>
      <c r="I350" s="38" t="str">
        <f>IF(OR(H350="",'START HERE'!$F$8=0),"",H350/'START HERE'!$F$8)</f>
        <v/>
      </c>
      <c r="J350" s="64" t="str">
        <f t="shared" si="5"/>
        <v>OK</v>
      </c>
    </row>
    <row r="351" spans="1:10" x14ac:dyDescent="0.25">
      <c r="A351" s="26">
        <v>7530114</v>
      </c>
      <c r="B351" s="26" t="s">
        <v>867</v>
      </c>
      <c r="C351" s="26">
        <v>0</v>
      </c>
      <c r="D351" s="38">
        <v>0</v>
      </c>
      <c r="E351" s="38">
        <v>0</v>
      </c>
      <c r="F351" s="38">
        <v>0</v>
      </c>
      <c r="G351" s="59">
        <v>0</v>
      </c>
      <c r="H351" s="38">
        <v>0</v>
      </c>
      <c r="I351" s="38" t="str">
        <f>IF(OR(H351="",'START HERE'!$F$8=0),"",H351/'START HERE'!$F$8)</f>
        <v/>
      </c>
      <c r="J351" s="64" t="str">
        <f t="shared" si="5"/>
        <v>OK</v>
      </c>
    </row>
    <row r="352" spans="1:10" x14ac:dyDescent="0.25">
      <c r="A352" s="26">
        <v>7540175</v>
      </c>
      <c r="B352" s="26" t="s">
        <v>870</v>
      </c>
      <c r="C352" s="26">
        <v>0</v>
      </c>
      <c r="D352" s="38">
        <v>0</v>
      </c>
      <c r="E352" s="38">
        <v>0</v>
      </c>
      <c r="F352" s="38">
        <v>0</v>
      </c>
      <c r="G352" s="59">
        <v>0</v>
      </c>
      <c r="H352" s="38">
        <v>0</v>
      </c>
      <c r="I352" s="38" t="str">
        <f>IF(OR(H352="",'START HERE'!$F$8=0),"",H352/'START HERE'!$F$8)</f>
        <v/>
      </c>
      <c r="J352" s="64" t="str">
        <f t="shared" si="5"/>
        <v>OK</v>
      </c>
    </row>
    <row r="353" spans="1:10" x14ac:dyDescent="0.25">
      <c r="A353" s="26">
        <v>7550010</v>
      </c>
      <c r="B353" s="26" t="s">
        <v>873</v>
      </c>
      <c r="C353" s="26">
        <v>0</v>
      </c>
      <c r="D353" s="38">
        <v>0</v>
      </c>
      <c r="E353" s="38">
        <v>0</v>
      </c>
      <c r="F353" s="38">
        <v>0</v>
      </c>
      <c r="G353" s="59">
        <v>0</v>
      </c>
      <c r="H353" s="38">
        <v>0</v>
      </c>
      <c r="I353" s="38" t="str">
        <f>IF(OR(H353="",'START HERE'!$F$8=0),"",H353/'START HERE'!$F$8)</f>
        <v/>
      </c>
      <c r="J353" s="64" t="str">
        <f t="shared" si="5"/>
        <v>OK</v>
      </c>
    </row>
    <row r="354" spans="1:10" x14ac:dyDescent="0.25">
      <c r="A354" s="26">
        <v>7550050</v>
      </c>
      <c r="B354" s="26" t="s">
        <v>873</v>
      </c>
      <c r="C354" s="26">
        <v>0</v>
      </c>
      <c r="D354" s="38">
        <v>0</v>
      </c>
      <c r="E354" s="38">
        <v>0</v>
      </c>
      <c r="F354" s="38">
        <v>0</v>
      </c>
      <c r="G354" s="59">
        <v>0</v>
      </c>
      <c r="H354" s="38">
        <v>0</v>
      </c>
      <c r="I354" s="38" t="str">
        <f>IF(OR(H354="",'START HERE'!$F$8=0),"",H354/'START HERE'!$F$8)</f>
        <v/>
      </c>
      <c r="J354" s="64" t="str">
        <f t="shared" si="5"/>
        <v>OK</v>
      </c>
    </row>
    <row r="355" spans="1:10" x14ac:dyDescent="0.25">
      <c r="A355" s="26">
        <v>7550137</v>
      </c>
      <c r="B355" s="26" t="s">
        <v>873</v>
      </c>
      <c r="C355" s="26">
        <v>0</v>
      </c>
      <c r="D355" s="38">
        <v>0</v>
      </c>
      <c r="E355" s="38">
        <v>0</v>
      </c>
      <c r="F355" s="38">
        <v>0</v>
      </c>
      <c r="G355" s="59">
        <v>0</v>
      </c>
      <c r="H355" s="38">
        <v>0</v>
      </c>
      <c r="I355" s="38" t="str">
        <f>IF(OR(H355="",'START HERE'!$F$8=0),"",H355/'START HERE'!$F$8)</f>
        <v/>
      </c>
      <c r="J355" s="64" t="str">
        <f t="shared" si="5"/>
        <v>OK</v>
      </c>
    </row>
    <row r="356" spans="1:10" x14ac:dyDescent="0.25">
      <c r="A356" s="26">
        <v>7550152</v>
      </c>
      <c r="B356" s="26" t="s">
        <v>873</v>
      </c>
      <c r="C356" s="26">
        <v>0</v>
      </c>
      <c r="D356" s="38">
        <v>0</v>
      </c>
      <c r="E356" s="38">
        <v>0</v>
      </c>
      <c r="F356" s="38">
        <v>0</v>
      </c>
      <c r="G356" s="59">
        <v>0</v>
      </c>
      <c r="H356" s="38">
        <v>0</v>
      </c>
      <c r="I356" s="38" t="str">
        <f>IF(OR(H356="",'START HERE'!$F$8=0),"",H356/'START HERE'!$F$8)</f>
        <v/>
      </c>
      <c r="J356" s="64" t="str">
        <f t="shared" si="5"/>
        <v>OK</v>
      </c>
    </row>
    <row r="357" spans="1:10" x14ac:dyDescent="0.25">
      <c r="A357" s="26">
        <v>7560030</v>
      </c>
      <c r="B357" s="26" t="s">
        <v>882</v>
      </c>
      <c r="C357" s="26">
        <v>0</v>
      </c>
      <c r="D357" s="38">
        <v>0</v>
      </c>
      <c r="E357" s="38">
        <v>0</v>
      </c>
      <c r="F357" s="38">
        <v>0</v>
      </c>
      <c r="G357" s="59">
        <v>0</v>
      </c>
      <c r="H357" s="38">
        <v>0</v>
      </c>
      <c r="I357" s="38" t="str">
        <f>IF(OR(H357="",'START HERE'!$F$8=0),"",H357/'START HERE'!$F$8)</f>
        <v/>
      </c>
      <c r="J357" s="64" t="str">
        <f t="shared" si="5"/>
        <v>OK</v>
      </c>
    </row>
    <row r="358" spans="1:10" x14ac:dyDescent="0.25">
      <c r="A358" s="26">
        <v>7560050</v>
      </c>
      <c r="B358" s="26" t="s">
        <v>882</v>
      </c>
      <c r="C358" s="26">
        <v>0</v>
      </c>
      <c r="D358" s="38">
        <v>0</v>
      </c>
      <c r="E358" s="38">
        <v>0</v>
      </c>
      <c r="F358" s="38">
        <v>0</v>
      </c>
      <c r="G358" s="59">
        <v>0</v>
      </c>
      <c r="H358" s="38">
        <v>0</v>
      </c>
      <c r="I358" s="38" t="str">
        <f>IF(OR(H358="",'START HERE'!$F$8=0),"",H358/'START HERE'!$F$8)</f>
        <v/>
      </c>
      <c r="J358" s="64" t="str">
        <f t="shared" si="5"/>
        <v>OK</v>
      </c>
    </row>
    <row r="359" spans="1:10" x14ac:dyDescent="0.25">
      <c r="A359" s="26">
        <v>7560221</v>
      </c>
      <c r="B359" s="26" t="s">
        <v>882</v>
      </c>
      <c r="C359" s="26">
        <v>0</v>
      </c>
      <c r="D359" s="38">
        <v>0</v>
      </c>
      <c r="E359" s="38">
        <v>0</v>
      </c>
      <c r="F359" s="38">
        <v>0</v>
      </c>
      <c r="G359" s="59">
        <v>0</v>
      </c>
      <c r="H359" s="38">
        <v>0</v>
      </c>
      <c r="I359" s="38" t="str">
        <f>IF(OR(H359="",'START HERE'!$F$8=0),"",H359/'START HERE'!$F$8)</f>
        <v/>
      </c>
      <c r="J359" s="64" t="str">
        <f t="shared" si="5"/>
        <v>OK</v>
      </c>
    </row>
    <row r="360" spans="1:10" x14ac:dyDescent="0.25">
      <c r="A360" s="26">
        <v>7561030</v>
      </c>
      <c r="B360" s="26" t="s">
        <v>882</v>
      </c>
      <c r="C360" s="26">
        <v>0</v>
      </c>
      <c r="D360" s="38">
        <v>0</v>
      </c>
      <c r="E360" s="38">
        <v>0</v>
      </c>
      <c r="F360" s="38">
        <v>0</v>
      </c>
      <c r="G360" s="59">
        <v>0</v>
      </c>
      <c r="H360" s="38">
        <v>0</v>
      </c>
      <c r="I360" s="38" t="str">
        <f>IF(OR(H360="",'START HERE'!$F$8=0),"",H360/'START HERE'!$F$8)</f>
        <v/>
      </c>
      <c r="J360" s="64" t="str">
        <f t="shared" si="5"/>
        <v>OK</v>
      </c>
    </row>
    <row r="361" spans="1:10" x14ac:dyDescent="0.25">
      <c r="A361" s="26">
        <v>7561108</v>
      </c>
      <c r="B361" s="26" t="s">
        <v>882</v>
      </c>
      <c r="C361" s="26">
        <v>0</v>
      </c>
      <c r="D361" s="38">
        <v>0</v>
      </c>
      <c r="E361" s="38">
        <v>0</v>
      </c>
      <c r="F361" s="38">
        <v>0</v>
      </c>
      <c r="G361" s="59">
        <v>0</v>
      </c>
      <c r="H361" s="38">
        <v>0</v>
      </c>
      <c r="I361" s="38" t="str">
        <f>IF(OR(H361="",'START HERE'!$F$8=0),"",H361/'START HERE'!$F$8)</f>
        <v/>
      </c>
      <c r="J361" s="64" t="str">
        <f t="shared" si="5"/>
        <v>OK</v>
      </c>
    </row>
    <row r="362" spans="1:10" x14ac:dyDescent="0.25">
      <c r="A362" s="26">
        <v>75701108</v>
      </c>
      <c r="B362" s="26" t="s">
        <v>892</v>
      </c>
      <c r="C362" s="26">
        <v>0</v>
      </c>
      <c r="D362" s="38">
        <v>0</v>
      </c>
      <c r="E362" s="38">
        <v>0</v>
      </c>
      <c r="F362" s="38">
        <v>0</v>
      </c>
      <c r="G362" s="59">
        <v>0</v>
      </c>
      <c r="H362" s="38">
        <v>0</v>
      </c>
      <c r="I362" s="38" t="str">
        <f>IF(OR(H362="",'START HERE'!$F$8=0),"",H362/'START HERE'!$F$8)</f>
        <v/>
      </c>
      <c r="J362" s="64" t="str">
        <f t="shared" si="5"/>
        <v>OK</v>
      </c>
    </row>
    <row r="363" spans="1:10" x14ac:dyDescent="0.25">
      <c r="A363" s="26">
        <v>7570134</v>
      </c>
      <c r="B363" s="26" t="s">
        <v>892</v>
      </c>
      <c r="C363" s="26">
        <v>0</v>
      </c>
      <c r="D363" s="38">
        <v>0</v>
      </c>
      <c r="E363" s="38">
        <v>0</v>
      </c>
      <c r="F363" s="38">
        <v>0</v>
      </c>
      <c r="G363" s="59">
        <v>0</v>
      </c>
      <c r="H363" s="38">
        <v>0</v>
      </c>
      <c r="I363" s="38" t="str">
        <f>IF(OR(H363="",'START HERE'!$F$8=0),"",H363/'START HERE'!$F$8)</f>
        <v/>
      </c>
      <c r="J363" s="64" t="str">
        <f t="shared" si="5"/>
        <v>OK</v>
      </c>
    </row>
    <row r="364" spans="1:10" x14ac:dyDescent="0.25">
      <c r="A364" s="26">
        <v>7570164</v>
      </c>
      <c r="B364" s="26" t="s">
        <v>892</v>
      </c>
      <c r="C364" s="26">
        <v>0</v>
      </c>
      <c r="D364" s="38">
        <v>0</v>
      </c>
      <c r="E364" s="38">
        <v>0</v>
      </c>
      <c r="F364" s="38">
        <v>0</v>
      </c>
      <c r="G364" s="59">
        <v>0</v>
      </c>
      <c r="H364" s="38">
        <v>0</v>
      </c>
      <c r="I364" s="38" t="str">
        <f>IF(OR(H364="",'START HERE'!$F$8=0),"",H364/'START HERE'!$F$8)</f>
        <v/>
      </c>
      <c r="J364" s="64" t="str">
        <f t="shared" si="5"/>
        <v>OK</v>
      </c>
    </row>
    <row r="365" spans="1:10" x14ac:dyDescent="0.25">
      <c r="A365" s="26">
        <v>7570209</v>
      </c>
      <c r="B365" s="26" t="s">
        <v>892</v>
      </c>
      <c r="C365" s="26">
        <v>0</v>
      </c>
      <c r="D365" s="38">
        <v>0</v>
      </c>
      <c r="E365" s="38">
        <v>0</v>
      </c>
      <c r="F365" s="38">
        <v>0</v>
      </c>
      <c r="G365" s="59">
        <v>0</v>
      </c>
      <c r="H365" s="38">
        <v>0</v>
      </c>
      <c r="I365" s="38" t="str">
        <f>IF(OR(H365="",'START HERE'!$F$8=0),"",H365/'START HERE'!$F$8)</f>
        <v/>
      </c>
      <c r="J365" s="64" t="str">
        <f t="shared" si="5"/>
        <v>OK</v>
      </c>
    </row>
    <row r="366" spans="1:10" x14ac:dyDescent="0.25">
      <c r="A366" s="26">
        <v>7571230</v>
      </c>
      <c r="B366" s="26" t="s">
        <v>892</v>
      </c>
      <c r="C366" s="26">
        <v>0</v>
      </c>
      <c r="D366" s="38">
        <v>0</v>
      </c>
      <c r="E366" s="38">
        <v>0</v>
      </c>
      <c r="F366" s="38">
        <v>0</v>
      </c>
      <c r="G366" s="59">
        <v>0</v>
      </c>
      <c r="H366" s="38">
        <v>0</v>
      </c>
      <c r="I366" s="38" t="str">
        <f>IF(OR(H366="",'START HERE'!$F$8=0),"",H366/'START HERE'!$F$8)</f>
        <v/>
      </c>
      <c r="J366" s="64" t="str">
        <f t="shared" si="5"/>
        <v>OK</v>
      </c>
    </row>
    <row r="367" spans="1:10" x14ac:dyDescent="0.25">
      <c r="A367" s="26">
        <v>8510134</v>
      </c>
      <c r="B367" s="26" t="s">
        <v>711</v>
      </c>
      <c r="C367" s="26">
        <v>0</v>
      </c>
      <c r="D367" s="38">
        <v>0</v>
      </c>
      <c r="E367" s="38">
        <v>0</v>
      </c>
      <c r="F367" s="38">
        <v>0</v>
      </c>
      <c r="G367" s="59">
        <v>0</v>
      </c>
      <c r="H367" s="38">
        <v>0</v>
      </c>
      <c r="I367" s="38" t="str">
        <f>IF(OR(H367="",'START HERE'!$F$8=0),"",H367/'START HERE'!$F$8)</f>
        <v/>
      </c>
      <c r="J367" s="64" t="str">
        <f t="shared" si="5"/>
        <v>OK</v>
      </c>
    </row>
    <row r="368" spans="1:10" x14ac:dyDescent="0.25">
      <c r="A368" s="26">
        <v>8510138</v>
      </c>
      <c r="B368" s="26" t="s">
        <v>711</v>
      </c>
      <c r="C368" s="26">
        <v>0</v>
      </c>
      <c r="D368" s="38">
        <v>0</v>
      </c>
      <c r="E368" s="38">
        <v>0</v>
      </c>
      <c r="F368" s="38">
        <v>0</v>
      </c>
      <c r="G368" s="59">
        <v>0</v>
      </c>
      <c r="H368" s="38">
        <v>0</v>
      </c>
      <c r="I368" s="38" t="str">
        <f>IF(OR(H368="",'START HERE'!$F$8=0),"",H368/'START HERE'!$F$8)</f>
        <v/>
      </c>
      <c r="J368" s="64" t="str">
        <f t="shared" si="5"/>
        <v>OK</v>
      </c>
    </row>
    <row r="369" spans="1:10" x14ac:dyDescent="0.25">
      <c r="A369" s="26">
        <v>8510166</v>
      </c>
      <c r="B369" s="26" t="s">
        <v>711</v>
      </c>
      <c r="C369" s="26">
        <v>0</v>
      </c>
      <c r="D369" s="38">
        <v>0</v>
      </c>
      <c r="E369" s="38">
        <v>0</v>
      </c>
      <c r="F369" s="38">
        <v>0</v>
      </c>
      <c r="G369" s="59">
        <v>0</v>
      </c>
      <c r="H369" s="38">
        <v>0</v>
      </c>
      <c r="I369" s="38" t="str">
        <f>IF(OR(H369="",'START HERE'!$F$8=0),"",H369/'START HERE'!$F$8)</f>
        <v/>
      </c>
      <c r="J369" s="64" t="str">
        <f t="shared" si="5"/>
        <v>OK</v>
      </c>
    </row>
    <row r="370" spans="1:10" x14ac:dyDescent="0.25">
      <c r="A370" s="26">
        <v>8510385</v>
      </c>
      <c r="B370" s="26" t="s">
        <v>711</v>
      </c>
      <c r="C370" s="26">
        <v>0</v>
      </c>
      <c r="D370" s="38">
        <v>0</v>
      </c>
      <c r="E370" s="38">
        <v>0</v>
      </c>
      <c r="F370" s="38">
        <v>0</v>
      </c>
      <c r="G370" s="59">
        <v>0</v>
      </c>
      <c r="H370" s="38">
        <v>0</v>
      </c>
      <c r="I370" s="38" t="str">
        <f>IF(OR(H370="",'START HERE'!$F$8=0),"",H370/'START HERE'!$F$8)</f>
        <v/>
      </c>
      <c r="J370" s="64" t="str">
        <f t="shared" si="5"/>
        <v>OK</v>
      </c>
    </row>
    <row r="371" spans="1:10" x14ac:dyDescent="0.25">
      <c r="A371" s="26">
        <v>8510487</v>
      </c>
      <c r="B371" s="26" t="s">
        <v>711</v>
      </c>
      <c r="C371" s="26">
        <v>0</v>
      </c>
      <c r="D371" s="38">
        <v>0</v>
      </c>
      <c r="E371" s="38">
        <v>0</v>
      </c>
      <c r="F371" s="38">
        <v>0</v>
      </c>
      <c r="G371" s="59">
        <v>0</v>
      </c>
      <c r="H371" s="38">
        <v>0</v>
      </c>
      <c r="I371" s="38" t="str">
        <f>IF(OR(H371="",'START HERE'!$F$8=0),"",H371/'START HERE'!$F$8)</f>
        <v/>
      </c>
      <c r="J371" s="64" t="str">
        <f t="shared" si="5"/>
        <v>OK</v>
      </c>
    </row>
    <row r="372" spans="1:10" x14ac:dyDescent="0.25">
      <c r="A372" s="26">
        <v>8510543</v>
      </c>
      <c r="B372" s="26" t="s">
        <v>711</v>
      </c>
      <c r="C372" s="26">
        <v>0</v>
      </c>
      <c r="D372" s="38">
        <v>0</v>
      </c>
      <c r="E372" s="38">
        <v>0</v>
      </c>
      <c r="F372" s="38">
        <v>0</v>
      </c>
      <c r="G372" s="59">
        <v>0</v>
      </c>
      <c r="H372" s="38">
        <v>0</v>
      </c>
      <c r="I372" s="38" t="str">
        <f>IF(OR(H372="",'START HERE'!$F$8=0),"",H372/'START HERE'!$F$8)</f>
        <v/>
      </c>
      <c r="J372" s="64" t="str">
        <f t="shared" si="5"/>
        <v>OK</v>
      </c>
    </row>
    <row r="373" spans="1:10" x14ac:dyDescent="0.25">
      <c r="A373" s="26">
        <v>8510725</v>
      </c>
      <c r="B373" s="26" t="s">
        <v>711</v>
      </c>
      <c r="C373" s="26">
        <v>0</v>
      </c>
      <c r="D373" s="38">
        <v>0</v>
      </c>
      <c r="E373" s="38">
        <v>0</v>
      </c>
      <c r="F373" s="38">
        <v>0</v>
      </c>
      <c r="G373" s="59">
        <v>0</v>
      </c>
      <c r="H373" s="38">
        <v>0</v>
      </c>
      <c r="I373" s="38" t="str">
        <f>IF(OR(H373="",'START HERE'!$F$8=0),"",H373/'START HERE'!$F$8)</f>
        <v/>
      </c>
      <c r="J373" s="64" t="str">
        <f t="shared" si="5"/>
        <v>OK</v>
      </c>
    </row>
    <row r="374" spans="1:10" x14ac:dyDescent="0.25">
      <c r="A374" s="26">
        <v>8510905</v>
      </c>
      <c r="B374" s="26" t="s">
        <v>711</v>
      </c>
      <c r="C374" s="26">
        <v>0</v>
      </c>
      <c r="D374" s="38">
        <v>0</v>
      </c>
      <c r="E374" s="38">
        <v>0</v>
      </c>
      <c r="F374" s="38">
        <v>0</v>
      </c>
      <c r="G374" s="59">
        <v>0</v>
      </c>
      <c r="H374" s="38">
        <v>0</v>
      </c>
      <c r="I374" s="38" t="str">
        <f>IF(OR(H374="",'START HERE'!$F$8=0),"",H374/'START HERE'!$F$8)</f>
        <v/>
      </c>
      <c r="J374" s="64" t="str">
        <f t="shared" si="5"/>
        <v>OK</v>
      </c>
    </row>
    <row r="375" spans="1:10" x14ac:dyDescent="0.25">
      <c r="A375" s="26">
        <v>8511232</v>
      </c>
      <c r="B375" s="26" t="s">
        <v>711</v>
      </c>
      <c r="C375" s="26">
        <v>0</v>
      </c>
      <c r="D375" s="38">
        <v>0</v>
      </c>
      <c r="E375" s="38">
        <v>0</v>
      </c>
      <c r="F375" s="38">
        <v>0</v>
      </c>
      <c r="G375" s="59">
        <v>0</v>
      </c>
      <c r="H375" s="38">
        <v>0</v>
      </c>
      <c r="I375" s="38" t="str">
        <f>IF(OR(H375="",'START HERE'!$F$8=0),"",H375/'START HERE'!$F$8)</f>
        <v/>
      </c>
      <c r="J375" s="64" t="str">
        <f t="shared" si="5"/>
        <v>OK</v>
      </c>
    </row>
    <row r="376" spans="1:10" x14ac:dyDescent="0.25">
      <c r="A376" s="26">
        <v>85116753</v>
      </c>
      <c r="B376" s="26" t="s">
        <v>711</v>
      </c>
      <c r="C376" s="26">
        <v>0</v>
      </c>
      <c r="D376" s="38">
        <v>0</v>
      </c>
      <c r="E376" s="38">
        <v>0</v>
      </c>
      <c r="F376" s="38">
        <v>0</v>
      </c>
      <c r="G376" s="59">
        <v>0</v>
      </c>
      <c r="H376" s="38">
        <v>0</v>
      </c>
      <c r="I376" s="38" t="str">
        <f>IF(OR(H376="",'START HERE'!$F$8=0),"",H376/'START HERE'!$F$8)</f>
        <v/>
      </c>
      <c r="J376" s="64" t="str">
        <f t="shared" si="5"/>
        <v>OK</v>
      </c>
    </row>
    <row r="377" spans="1:10" x14ac:dyDescent="0.25">
      <c r="A377" s="26">
        <v>85116999</v>
      </c>
      <c r="B377" s="26" t="s">
        <v>711</v>
      </c>
      <c r="C377" s="26">
        <v>0</v>
      </c>
      <c r="D377" s="38">
        <v>0</v>
      </c>
      <c r="E377" s="38">
        <v>0</v>
      </c>
      <c r="F377" s="38">
        <v>0</v>
      </c>
      <c r="G377" s="59">
        <v>0</v>
      </c>
      <c r="H377" s="38">
        <v>0</v>
      </c>
      <c r="I377" s="38" t="str">
        <f>IF(OR(H377="",'START HERE'!$F$8=0),"",H377/'START HERE'!$F$8)</f>
        <v/>
      </c>
      <c r="J377" s="64" t="str">
        <f t="shared" si="5"/>
        <v>OK</v>
      </c>
    </row>
    <row r="378" spans="1:10" x14ac:dyDescent="0.25">
      <c r="A378" s="26">
        <v>8512652</v>
      </c>
      <c r="B378" s="26" t="s">
        <v>595</v>
      </c>
      <c r="C378" s="26">
        <v>0</v>
      </c>
      <c r="D378" s="38">
        <v>0</v>
      </c>
      <c r="E378" s="38">
        <v>0</v>
      </c>
      <c r="F378" s="38">
        <v>0</v>
      </c>
      <c r="G378" s="59">
        <v>0</v>
      </c>
      <c r="H378" s="38">
        <v>0</v>
      </c>
      <c r="I378" s="38" t="str">
        <f>IF(OR(H378="",'START HERE'!$F$8=0),"",H378/'START HERE'!$F$8)</f>
        <v/>
      </c>
      <c r="J378" s="64" t="str">
        <f t="shared" si="5"/>
        <v>OK</v>
      </c>
    </row>
    <row r="379" spans="1:10" x14ac:dyDescent="0.25">
      <c r="A379" s="26">
        <v>8530853</v>
      </c>
      <c r="B379" s="26" t="s">
        <v>547</v>
      </c>
      <c r="C379" s="26">
        <v>0</v>
      </c>
      <c r="D379" s="38">
        <v>0</v>
      </c>
      <c r="E379" s="38">
        <v>0</v>
      </c>
      <c r="F379" s="38">
        <v>0</v>
      </c>
      <c r="G379" s="59">
        <v>0</v>
      </c>
      <c r="H379" s="38">
        <v>0</v>
      </c>
      <c r="I379" s="38" t="str">
        <f>IF(OR(H379="",'START HERE'!$F$8=0),"",H379/'START HERE'!$F$8)</f>
        <v/>
      </c>
      <c r="J379" s="64" t="str">
        <f t="shared" si="5"/>
        <v>OK</v>
      </c>
    </row>
    <row r="380" spans="1:10" x14ac:dyDescent="0.25">
      <c r="A380" s="26">
        <v>9711728</v>
      </c>
      <c r="B380" s="26" t="s">
        <v>741</v>
      </c>
      <c r="C380" s="26">
        <v>0</v>
      </c>
      <c r="D380" s="38">
        <v>0</v>
      </c>
      <c r="E380" s="38">
        <v>0</v>
      </c>
      <c r="F380" s="38">
        <v>0</v>
      </c>
      <c r="G380" s="59">
        <v>0</v>
      </c>
      <c r="H380" s="38">
        <v>0</v>
      </c>
      <c r="I380" s="38" t="str">
        <f>IF(OR(H380="",'START HERE'!$F$8=0),"",H380/'START HERE'!$F$8)</f>
        <v/>
      </c>
      <c r="J380" s="64" t="str">
        <f t="shared" si="5"/>
        <v>OK</v>
      </c>
    </row>
    <row r="381" spans="1:10" x14ac:dyDescent="0.25">
      <c r="A381" s="26">
        <v>98111901</v>
      </c>
      <c r="B381" s="26" t="s">
        <v>489</v>
      </c>
      <c r="C381" s="26">
        <v>0</v>
      </c>
      <c r="D381" s="38">
        <v>0</v>
      </c>
      <c r="E381" s="38">
        <v>0</v>
      </c>
      <c r="F381" s="38">
        <v>0</v>
      </c>
      <c r="G381" s="59">
        <v>0</v>
      </c>
      <c r="H381" s="38">
        <v>0</v>
      </c>
      <c r="I381" s="38" t="str">
        <f>IF(OR(H381="",'START HERE'!$F$8=0),"",H381/'START HERE'!$F$8)</f>
        <v/>
      </c>
      <c r="J381" s="64" t="str">
        <f t="shared" si="5"/>
        <v>OK</v>
      </c>
    </row>
    <row r="382" spans="1:10" x14ac:dyDescent="0.25">
      <c r="A382" s="26">
        <v>9816908</v>
      </c>
      <c r="B382" s="26" t="s">
        <v>559</v>
      </c>
      <c r="C382" s="26">
        <v>0</v>
      </c>
      <c r="D382" s="38">
        <v>0</v>
      </c>
      <c r="E382" s="38">
        <v>0</v>
      </c>
      <c r="F382" s="38">
        <v>0</v>
      </c>
      <c r="G382" s="59">
        <v>0</v>
      </c>
      <c r="H382" s="38">
        <v>0</v>
      </c>
      <c r="I382" s="38" t="str">
        <f>IF(OR(H382="",'START HERE'!$F$8=0),"",H382/'START HERE'!$F$8)</f>
        <v/>
      </c>
      <c r="J382" s="64" t="str">
        <f t="shared" si="5"/>
        <v>OK</v>
      </c>
    </row>
    <row r="383" spans="1:10" x14ac:dyDescent="0.25">
      <c r="A383" s="26">
        <v>1010090</v>
      </c>
      <c r="B383" s="26" t="s">
        <v>1012</v>
      </c>
      <c r="C383" s="26">
        <v>0</v>
      </c>
      <c r="D383" s="38">
        <v>0</v>
      </c>
      <c r="E383" s="38">
        <v>0</v>
      </c>
      <c r="F383" s="38">
        <v>0</v>
      </c>
      <c r="G383" s="59">
        <v>0</v>
      </c>
      <c r="H383" s="38">
        <v>0</v>
      </c>
      <c r="I383" s="38" t="str">
        <f>IF(OR(H383="",'START HERE'!$F$8=0),"",H383/'START HERE'!$F$8)</f>
        <v/>
      </c>
      <c r="J383" s="64" t="str">
        <f t="shared" si="5"/>
        <v>OK</v>
      </c>
    </row>
    <row r="384" spans="1:10" x14ac:dyDescent="0.25">
      <c r="A384" s="26">
        <v>1030011</v>
      </c>
      <c r="B384" s="26" t="s">
        <v>1013</v>
      </c>
      <c r="C384" s="26">
        <v>0</v>
      </c>
      <c r="D384" s="38">
        <v>0</v>
      </c>
      <c r="E384" s="38">
        <v>0</v>
      </c>
      <c r="F384" s="38">
        <v>0</v>
      </c>
      <c r="G384" s="59">
        <v>0</v>
      </c>
      <c r="H384" s="38">
        <v>0</v>
      </c>
      <c r="I384" s="38" t="str">
        <f>IF(OR(H384="",'START HERE'!$F$8=0),"",H384/'START HERE'!$F$8)</f>
        <v/>
      </c>
      <c r="J384" s="64" t="str">
        <f t="shared" si="5"/>
        <v>OK</v>
      </c>
    </row>
    <row r="385" spans="1:10" x14ac:dyDescent="0.25">
      <c r="A385" s="26">
        <v>2030055</v>
      </c>
      <c r="B385" s="26" t="s">
        <v>1014</v>
      </c>
      <c r="C385" s="26">
        <v>0</v>
      </c>
      <c r="D385" s="38">
        <v>0</v>
      </c>
      <c r="E385" s="38">
        <v>0</v>
      </c>
      <c r="F385" s="38">
        <v>0</v>
      </c>
      <c r="G385" s="59">
        <v>0</v>
      </c>
      <c r="H385" s="38">
        <v>0</v>
      </c>
      <c r="I385" s="38" t="str">
        <f>IF(OR(H385="",'START HERE'!$F$8=0),"",H385/'START HERE'!$F$8)</f>
        <v/>
      </c>
      <c r="J385" s="64" t="str">
        <f t="shared" si="5"/>
        <v>OK</v>
      </c>
    </row>
    <row r="386" spans="1:10" x14ac:dyDescent="0.25">
      <c r="A386" s="26">
        <v>2050050</v>
      </c>
      <c r="B386" s="26" t="s">
        <v>1015</v>
      </c>
      <c r="C386" s="26">
        <v>0</v>
      </c>
      <c r="D386" s="38">
        <v>0</v>
      </c>
      <c r="E386" s="38">
        <v>0</v>
      </c>
      <c r="F386" s="38">
        <v>0</v>
      </c>
      <c r="G386" s="59">
        <v>0</v>
      </c>
      <c r="H386" s="38">
        <v>0</v>
      </c>
      <c r="I386" s="38" t="str">
        <f>IF(OR(H386="",'START HERE'!$F$8=0),"",H386/'START HERE'!$F$8)</f>
        <v/>
      </c>
      <c r="J386" s="64" t="str">
        <f t="shared" si="5"/>
        <v>OK</v>
      </c>
    </row>
    <row r="387" spans="1:10" x14ac:dyDescent="0.25">
      <c r="A387" s="26">
        <v>2510200</v>
      </c>
      <c r="B387" s="26" t="s">
        <v>1016</v>
      </c>
      <c r="C387" s="26">
        <v>0</v>
      </c>
      <c r="D387" s="38">
        <v>0</v>
      </c>
      <c r="E387" s="38">
        <v>0</v>
      </c>
      <c r="F387" s="38">
        <v>0</v>
      </c>
      <c r="G387" s="59">
        <v>0</v>
      </c>
      <c r="H387" s="38">
        <v>0</v>
      </c>
      <c r="I387" s="38" t="str">
        <f>IF(OR(H387="",'START HERE'!$F$8=0),"",H387/'START HERE'!$F$8)</f>
        <v/>
      </c>
      <c r="J387" s="64" t="str">
        <f t="shared" si="5"/>
        <v>OK</v>
      </c>
    </row>
    <row r="388" spans="1:10" x14ac:dyDescent="0.25">
      <c r="A388" s="26">
        <v>3010190</v>
      </c>
      <c r="B388" s="26" t="s">
        <v>400</v>
      </c>
      <c r="C388" s="26">
        <v>0</v>
      </c>
      <c r="D388" s="38">
        <v>0</v>
      </c>
      <c r="E388" s="38">
        <v>0</v>
      </c>
      <c r="F388" s="38">
        <v>0</v>
      </c>
      <c r="G388" s="59">
        <v>0</v>
      </c>
      <c r="H388" s="38">
        <v>0</v>
      </c>
      <c r="I388" s="38" t="str">
        <f>IF(OR(H388="",'START HERE'!$F$8=0),"",H388/'START HERE'!$F$8)</f>
        <v/>
      </c>
      <c r="J388" s="64" t="str">
        <f t="shared" si="5"/>
        <v>OK</v>
      </c>
    </row>
    <row r="389" spans="1:10" x14ac:dyDescent="0.25">
      <c r="A389" s="26">
        <v>30201011</v>
      </c>
      <c r="B389" s="26" t="s">
        <v>392</v>
      </c>
      <c r="C389" s="26">
        <v>0</v>
      </c>
      <c r="D389" s="38">
        <v>0</v>
      </c>
      <c r="E389" s="38">
        <v>0</v>
      </c>
      <c r="F389" s="38">
        <v>0</v>
      </c>
      <c r="G389" s="59">
        <v>0</v>
      </c>
      <c r="H389" s="38">
        <v>0</v>
      </c>
      <c r="I389" s="38" t="str">
        <f>IF(OR(H389="",'START HERE'!$F$8=0),"",H389/'START HERE'!$F$8)</f>
        <v/>
      </c>
      <c r="J389" s="64" t="str">
        <f t="shared" ref="J389:J452" si="6">IF(G389="","MISSING PHYSICAL",IF(H389&lt;0,"CHECK: NEGATIVE CONSUMPTION","OK"))</f>
        <v>OK</v>
      </c>
    </row>
    <row r="390" spans="1:10" x14ac:dyDescent="0.25">
      <c r="A390" s="26">
        <v>3530130</v>
      </c>
      <c r="B390" s="26" t="s">
        <v>1017</v>
      </c>
      <c r="C390" s="26">
        <v>0</v>
      </c>
      <c r="D390" s="38">
        <v>0</v>
      </c>
      <c r="E390" s="38">
        <v>0</v>
      </c>
      <c r="F390" s="38">
        <v>0</v>
      </c>
      <c r="G390" s="59">
        <v>0</v>
      </c>
      <c r="H390" s="38">
        <v>0</v>
      </c>
      <c r="I390" s="38" t="str">
        <f>IF(OR(H390="",'START HERE'!$F$8=0),"",H390/'START HERE'!$F$8)</f>
        <v/>
      </c>
      <c r="J390" s="64" t="str">
        <f t="shared" si="6"/>
        <v>OK</v>
      </c>
    </row>
    <row r="391" spans="1:10" x14ac:dyDescent="0.25">
      <c r="A391" s="26">
        <v>35702282</v>
      </c>
      <c r="B391" s="26" t="s">
        <v>509</v>
      </c>
      <c r="C391" s="26">
        <v>0</v>
      </c>
      <c r="D391" s="38">
        <v>0</v>
      </c>
      <c r="E391" s="38">
        <v>0</v>
      </c>
      <c r="F391" s="38">
        <v>0</v>
      </c>
      <c r="G391" s="59">
        <v>0</v>
      </c>
      <c r="H391" s="38">
        <v>0</v>
      </c>
      <c r="I391" s="38" t="str">
        <f>IF(OR(H391="",'START HERE'!$F$8=0),"",H391/'START HERE'!$F$8)</f>
        <v/>
      </c>
      <c r="J391" s="64" t="str">
        <f t="shared" si="6"/>
        <v>OK</v>
      </c>
    </row>
    <row r="392" spans="1:10" x14ac:dyDescent="0.25">
      <c r="A392" s="26">
        <v>4020045</v>
      </c>
      <c r="B392" s="26" t="s">
        <v>1019</v>
      </c>
      <c r="C392" s="26">
        <v>0</v>
      </c>
      <c r="D392" s="38">
        <v>0</v>
      </c>
      <c r="E392" s="38">
        <v>0</v>
      </c>
      <c r="F392" s="38">
        <v>0</v>
      </c>
      <c r="G392" s="59">
        <v>0</v>
      </c>
      <c r="H392" s="38">
        <v>0</v>
      </c>
      <c r="I392" s="38" t="str">
        <f>IF(OR(H392="",'START HERE'!$F$8=0),"",H392/'START HERE'!$F$8)</f>
        <v/>
      </c>
      <c r="J392" s="64" t="str">
        <f t="shared" si="6"/>
        <v>OK</v>
      </c>
    </row>
    <row r="393" spans="1:10" x14ac:dyDescent="0.25">
      <c r="A393" s="26">
        <v>4020060</v>
      </c>
      <c r="B393" s="26" t="s">
        <v>1020</v>
      </c>
      <c r="C393" s="26">
        <v>0</v>
      </c>
      <c r="D393" s="38">
        <v>0</v>
      </c>
      <c r="E393" s="38">
        <v>0</v>
      </c>
      <c r="F393" s="38">
        <v>0</v>
      </c>
      <c r="G393" s="59">
        <v>0</v>
      </c>
      <c r="H393" s="38">
        <v>0</v>
      </c>
      <c r="I393" s="38" t="str">
        <f>IF(OR(H393="",'START HERE'!$F$8=0),"",H393/'START HERE'!$F$8)</f>
        <v/>
      </c>
      <c r="J393" s="64" t="str">
        <f t="shared" si="6"/>
        <v>OK</v>
      </c>
    </row>
    <row r="394" spans="1:10" x14ac:dyDescent="0.25">
      <c r="A394" s="26">
        <v>4040040</v>
      </c>
      <c r="B394" s="26" t="s">
        <v>1021</v>
      </c>
      <c r="C394" s="26">
        <v>0</v>
      </c>
      <c r="D394" s="38">
        <v>0</v>
      </c>
      <c r="E394" s="38">
        <v>0</v>
      </c>
      <c r="F394" s="38">
        <v>0</v>
      </c>
      <c r="G394" s="59">
        <v>0</v>
      </c>
      <c r="H394" s="38">
        <v>0</v>
      </c>
      <c r="I394" s="38" t="str">
        <f>IF(OR(H394="",'START HERE'!$F$8=0),"",H394/'START HERE'!$F$8)</f>
        <v/>
      </c>
      <c r="J394" s="64" t="str">
        <f t="shared" si="6"/>
        <v>OK</v>
      </c>
    </row>
    <row r="395" spans="1:10" x14ac:dyDescent="0.25">
      <c r="A395" s="26">
        <v>4040050</v>
      </c>
      <c r="B395" s="26" t="s">
        <v>544</v>
      </c>
      <c r="C395" s="26">
        <v>0</v>
      </c>
      <c r="D395" s="38">
        <v>0</v>
      </c>
      <c r="E395" s="38">
        <v>0</v>
      </c>
      <c r="F395" s="38">
        <v>0</v>
      </c>
      <c r="G395" s="59">
        <v>0</v>
      </c>
      <c r="H395" s="38">
        <v>0</v>
      </c>
      <c r="I395" s="38" t="str">
        <f>IF(OR(H395="",'START HERE'!$F$8=0),"",H395/'START HERE'!$F$8)</f>
        <v/>
      </c>
      <c r="J395" s="64" t="str">
        <f t="shared" si="6"/>
        <v>OK</v>
      </c>
    </row>
    <row r="396" spans="1:10" x14ac:dyDescent="0.25">
      <c r="A396" s="26">
        <v>40901555</v>
      </c>
      <c r="B396" s="26" t="s">
        <v>1022</v>
      </c>
      <c r="C396" s="26">
        <v>0</v>
      </c>
      <c r="D396" s="38">
        <v>0</v>
      </c>
      <c r="E396" s="38">
        <v>0</v>
      </c>
      <c r="F396" s="38">
        <v>0</v>
      </c>
      <c r="G396" s="59">
        <v>0</v>
      </c>
      <c r="H396" s="38">
        <v>0</v>
      </c>
      <c r="I396" s="38" t="str">
        <f>IF(OR(H396="",'START HERE'!$F$8=0),"",H396/'START HERE'!$F$8)</f>
        <v/>
      </c>
      <c r="J396" s="64" t="str">
        <f t="shared" si="6"/>
        <v>OK</v>
      </c>
    </row>
    <row r="397" spans="1:10" x14ac:dyDescent="0.25">
      <c r="A397" s="26">
        <v>4091107</v>
      </c>
      <c r="B397" s="26" t="s">
        <v>1024</v>
      </c>
      <c r="C397" s="26">
        <v>0</v>
      </c>
      <c r="D397" s="38">
        <v>0</v>
      </c>
      <c r="E397" s="38">
        <v>0</v>
      </c>
      <c r="F397" s="38">
        <v>0</v>
      </c>
      <c r="G397" s="59">
        <v>0</v>
      </c>
      <c r="H397" s="38">
        <v>0</v>
      </c>
      <c r="I397" s="38" t="str">
        <f>IF(OR(H397="",'START HERE'!$F$8=0),"",H397/'START HERE'!$F$8)</f>
        <v/>
      </c>
      <c r="J397" s="64" t="str">
        <f t="shared" si="6"/>
        <v>OK</v>
      </c>
    </row>
    <row r="398" spans="1:10" x14ac:dyDescent="0.25">
      <c r="A398" s="26">
        <v>5520320</v>
      </c>
      <c r="B398" s="26" t="s">
        <v>737</v>
      </c>
      <c r="C398" s="26">
        <v>0</v>
      </c>
      <c r="D398" s="38">
        <v>0</v>
      </c>
      <c r="E398" s="38">
        <v>0</v>
      </c>
      <c r="F398" s="38">
        <v>0</v>
      </c>
      <c r="G398" s="59">
        <v>0</v>
      </c>
      <c r="H398" s="38">
        <v>0</v>
      </c>
      <c r="I398" s="38" t="str">
        <f>IF(OR(H398="",'START HERE'!$F$8=0),"",H398/'START HERE'!$F$8)</f>
        <v/>
      </c>
      <c r="J398" s="64" t="str">
        <f t="shared" si="6"/>
        <v>OK</v>
      </c>
    </row>
    <row r="399" spans="1:10" x14ac:dyDescent="0.25">
      <c r="A399" s="26">
        <v>6010060</v>
      </c>
      <c r="B399" s="26" t="s">
        <v>753</v>
      </c>
      <c r="C399" s="26">
        <v>0</v>
      </c>
      <c r="D399" s="38">
        <v>0</v>
      </c>
      <c r="E399" s="38">
        <v>0</v>
      </c>
      <c r="F399" s="38">
        <v>0</v>
      </c>
      <c r="G399" s="59">
        <v>0</v>
      </c>
      <c r="H399" s="38">
        <v>0</v>
      </c>
      <c r="I399" s="38" t="str">
        <f>IF(OR(H399="",'START HERE'!$F$8=0),"",H399/'START HERE'!$F$8)</f>
        <v/>
      </c>
      <c r="J399" s="64" t="str">
        <f t="shared" si="6"/>
        <v>OK</v>
      </c>
    </row>
    <row r="400" spans="1:10" x14ac:dyDescent="0.25">
      <c r="A400" s="26">
        <v>60101210</v>
      </c>
      <c r="B400" s="26" t="s">
        <v>1025</v>
      </c>
      <c r="C400" s="26">
        <v>0</v>
      </c>
      <c r="D400" s="38">
        <v>0</v>
      </c>
      <c r="E400" s="38">
        <v>0</v>
      </c>
      <c r="F400" s="38">
        <v>0</v>
      </c>
      <c r="G400" s="59">
        <v>0</v>
      </c>
      <c r="H400" s="38">
        <v>0</v>
      </c>
      <c r="I400" s="38" t="str">
        <f>IF(OR(H400="",'START HERE'!$F$8=0),"",H400/'START HERE'!$F$8)</f>
        <v/>
      </c>
      <c r="J400" s="64" t="str">
        <f t="shared" si="6"/>
        <v>OK</v>
      </c>
    </row>
    <row r="401" spans="1:10" x14ac:dyDescent="0.25">
      <c r="A401" s="26">
        <v>6111931</v>
      </c>
      <c r="B401" s="26" t="s">
        <v>1026</v>
      </c>
      <c r="C401" s="26">
        <v>0</v>
      </c>
      <c r="D401" s="38">
        <v>0</v>
      </c>
      <c r="E401" s="38">
        <v>0</v>
      </c>
      <c r="F401" s="38">
        <v>0</v>
      </c>
      <c r="G401" s="59">
        <v>0</v>
      </c>
      <c r="H401" s="38">
        <v>0</v>
      </c>
      <c r="I401" s="38" t="str">
        <f>IF(OR(H401="",'START HERE'!$F$8=0),"",H401/'START HERE'!$F$8)</f>
        <v/>
      </c>
      <c r="J401" s="64" t="str">
        <f t="shared" si="6"/>
        <v>OK</v>
      </c>
    </row>
    <row r="402" spans="1:10" x14ac:dyDescent="0.25">
      <c r="A402" s="26">
        <v>6510120</v>
      </c>
      <c r="B402" s="26" t="s">
        <v>1028</v>
      </c>
      <c r="C402" s="26">
        <v>0</v>
      </c>
      <c r="D402" s="38">
        <v>0</v>
      </c>
      <c r="E402" s="38">
        <v>0</v>
      </c>
      <c r="F402" s="38">
        <v>0</v>
      </c>
      <c r="G402" s="59">
        <v>0</v>
      </c>
      <c r="H402" s="38">
        <v>0</v>
      </c>
      <c r="I402" s="38" t="str">
        <f>IF(OR(H402="",'START HERE'!$F$8=0),"",H402/'START HERE'!$F$8)</f>
        <v/>
      </c>
      <c r="J402" s="64" t="str">
        <f t="shared" si="6"/>
        <v>OK</v>
      </c>
    </row>
    <row r="403" spans="1:10" x14ac:dyDescent="0.25">
      <c r="A403" s="26">
        <v>7540030</v>
      </c>
      <c r="B403" s="26" t="s">
        <v>1029</v>
      </c>
      <c r="C403" s="26">
        <v>0</v>
      </c>
      <c r="D403" s="38">
        <v>0</v>
      </c>
      <c r="E403" s="38">
        <v>0</v>
      </c>
      <c r="F403" s="38">
        <v>0</v>
      </c>
      <c r="G403" s="59">
        <v>0</v>
      </c>
      <c r="H403" s="38">
        <v>0</v>
      </c>
      <c r="I403" s="38" t="str">
        <f>IF(OR(H403="",'START HERE'!$F$8=0),"",H403/'START HERE'!$F$8)</f>
        <v/>
      </c>
      <c r="J403" s="64" t="str">
        <f t="shared" si="6"/>
        <v>OK</v>
      </c>
    </row>
    <row r="404" spans="1:10" x14ac:dyDescent="0.25">
      <c r="A404" s="26">
        <v>9811170</v>
      </c>
      <c r="B404" s="26" t="s">
        <v>504</v>
      </c>
      <c r="C404" s="26">
        <v>0</v>
      </c>
      <c r="D404" s="38">
        <v>0</v>
      </c>
      <c r="E404" s="38">
        <v>0</v>
      </c>
      <c r="F404" s="38">
        <v>0</v>
      </c>
      <c r="G404" s="59">
        <v>0</v>
      </c>
      <c r="H404" s="38">
        <v>0</v>
      </c>
      <c r="I404" s="38" t="str">
        <f>IF(OR(H404="",'START HERE'!$F$8=0),"",H404/'START HERE'!$F$8)</f>
        <v/>
      </c>
      <c r="J404" s="64" t="str">
        <f t="shared" si="6"/>
        <v>OK</v>
      </c>
    </row>
    <row r="405" spans="1:10" x14ac:dyDescent="0.25">
      <c r="A405" s="26" t="s">
        <v>1031</v>
      </c>
      <c r="B405" s="26"/>
      <c r="C405" s="26">
        <v>0</v>
      </c>
      <c r="D405" s="38">
        <v>0</v>
      </c>
      <c r="E405" s="38">
        <v>0</v>
      </c>
      <c r="F405" s="38">
        <v>0</v>
      </c>
      <c r="G405" s="59">
        <v>0</v>
      </c>
      <c r="H405" s="38">
        <v>0</v>
      </c>
      <c r="I405" s="38" t="str">
        <f>IF(OR(H405="",'START HERE'!$F$8=0),"",H405/'START HERE'!$F$8)</f>
        <v/>
      </c>
      <c r="J405" s="64" t="str">
        <f t="shared" si="6"/>
        <v>OK</v>
      </c>
    </row>
    <row r="406" spans="1:10" x14ac:dyDescent="0.25">
      <c r="A406" s="26"/>
      <c r="B406" s="26"/>
      <c r="C406" s="26"/>
      <c r="D406" s="38"/>
      <c r="E406" s="38"/>
      <c r="F406" s="38"/>
      <c r="G406" s="59"/>
      <c r="H406" s="38"/>
      <c r="I406" s="38" t="str">
        <f>IF(OR(H406="",'START HERE'!$F$8=0),"",H406/'START HERE'!$F$8)</f>
        <v/>
      </c>
      <c r="J406" s="64" t="str">
        <f t="shared" si="6"/>
        <v>MISSING PHYSICAL</v>
      </c>
    </row>
    <row r="407" spans="1:10" x14ac:dyDescent="0.25">
      <c r="A407" s="26"/>
      <c r="B407" s="26"/>
      <c r="C407" s="26"/>
      <c r="D407" s="38"/>
      <c r="E407" s="38"/>
      <c r="F407" s="38"/>
      <c r="G407" s="59"/>
      <c r="H407" s="38"/>
      <c r="I407" s="38" t="str">
        <f>IF(OR(H407="",'START HERE'!$F$8=0),"",H407/'START HERE'!$F$8)</f>
        <v/>
      </c>
      <c r="J407" s="64" t="str">
        <f t="shared" si="6"/>
        <v>MISSING PHYSICAL</v>
      </c>
    </row>
    <row r="408" spans="1:10" x14ac:dyDescent="0.25">
      <c r="A408" s="26"/>
      <c r="B408" s="26"/>
      <c r="C408" s="26"/>
      <c r="D408" s="38"/>
      <c r="E408" s="38"/>
      <c r="F408" s="38"/>
      <c r="G408" s="59"/>
      <c r="H408" s="38"/>
      <c r="I408" s="38" t="str">
        <f>IF(OR(H408="",'START HERE'!$F$8=0),"",H408/'START HERE'!$F$8)</f>
        <v/>
      </c>
      <c r="J408" s="64" t="str">
        <f t="shared" si="6"/>
        <v>MISSING PHYSICAL</v>
      </c>
    </row>
    <row r="409" spans="1:10" x14ac:dyDescent="0.25">
      <c r="A409" s="26"/>
      <c r="B409" s="26"/>
      <c r="C409" s="26"/>
      <c r="D409" s="38"/>
      <c r="E409" s="38"/>
      <c r="F409" s="38"/>
      <c r="G409" s="59"/>
      <c r="H409" s="38"/>
      <c r="I409" s="38" t="str">
        <f>IF(OR(H409="",'START HERE'!$F$8=0),"",H409/'START HERE'!$F$8)</f>
        <v/>
      </c>
      <c r="J409" s="64" t="str">
        <f t="shared" si="6"/>
        <v>MISSING PHYSICAL</v>
      </c>
    </row>
    <row r="410" spans="1:10" x14ac:dyDescent="0.25">
      <c r="A410" s="26"/>
      <c r="B410" s="26"/>
      <c r="C410" s="26"/>
      <c r="D410" s="38"/>
      <c r="E410" s="38"/>
      <c r="F410" s="38"/>
      <c r="G410" s="59"/>
      <c r="H410" s="38"/>
      <c r="I410" s="38" t="str">
        <f>IF(OR(H410="",'START HERE'!$F$8=0),"",H410/'START HERE'!$F$8)</f>
        <v/>
      </c>
      <c r="J410" s="64" t="str">
        <f t="shared" si="6"/>
        <v>MISSING PHYSICAL</v>
      </c>
    </row>
    <row r="411" spans="1:10" x14ac:dyDescent="0.25">
      <c r="A411" s="26"/>
      <c r="B411" s="26"/>
      <c r="C411" s="26"/>
      <c r="D411" s="38"/>
      <c r="E411" s="38"/>
      <c r="F411" s="38"/>
      <c r="G411" s="59"/>
      <c r="H411" s="38"/>
      <c r="I411" s="38" t="str">
        <f>IF(OR(H411="",'START HERE'!$F$8=0),"",H411/'START HERE'!$F$8)</f>
        <v/>
      </c>
      <c r="J411" s="64" t="str">
        <f t="shared" si="6"/>
        <v>MISSING PHYSICAL</v>
      </c>
    </row>
    <row r="412" spans="1:10" x14ac:dyDescent="0.25">
      <c r="A412" s="26"/>
      <c r="B412" s="26"/>
      <c r="C412" s="26"/>
      <c r="D412" s="38"/>
      <c r="E412" s="38"/>
      <c r="F412" s="38"/>
      <c r="G412" s="59"/>
      <c r="H412" s="38"/>
      <c r="I412" s="38" t="str">
        <f>IF(OR(H412="",'START HERE'!$F$8=0),"",H412/'START HERE'!$F$8)</f>
        <v/>
      </c>
      <c r="J412" s="64" t="str">
        <f t="shared" si="6"/>
        <v>MISSING PHYSICAL</v>
      </c>
    </row>
    <row r="413" spans="1:10" x14ac:dyDescent="0.25">
      <c r="A413" s="26"/>
      <c r="B413" s="26"/>
      <c r="C413" s="26"/>
      <c r="D413" s="38"/>
      <c r="E413" s="38"/>
      <c r="F413" s="38"/>
      <c r="G413" s="59"/>
      <c r="H413" s="38"/>
      <c r="I413" s="38" t="str">
        <f>IF(OR(H413="",'START HERE'!$F$8=0),"",H413/'START HERE'!$F$8)</f>
        <v/>
      </c>
      <c r="J413" s="64" t="str">
        <f t="shared" si="6"/>
        <v>MISSING PHYSICAL</v>
      </c>
    </row>
    <row r="414" spans="1:10" x14ac:dyDescent="0.25">
      <c r="A414" s="26"/>
      <c r="B414" s="26"/>
      <c r="C414" s="26"/>
      <c r="D414" s="38"/>
      <c r="E414" s="38"/>
      <c r="F414" s="38"/>
      <c r="G414" s="59"/>
      <c r="H414" s="38"/>
      <c r="I414" s="38" t="str">
        <f>IF(OR(H414="",'START HERE'!$F$8=0),"",H414/'START HERE'!$F$8)</f>
        <v/>
      </c>
      <c r="J414" s="64" t="str">
        <f t="shared" si="6"/>
        <v>MISSING PHYSICAL</v>
      </c>
    </row>
    <row r="415" spans="1:10" x14ac:dyDescent="0.25">
      <c r="A415" s="26"/>
      <c r="B415" s="26"/>
      <c r="C415" s="26"/>
      <c r="D415" s="38"/>
      <c r="E415" s="38"/>
      <c r="F415" s="38"/>
      <c r="G415" s="59"/>
      <c r="H415" s="38"/>
      <c r="I415" s="38" t="str">
        <f>IF(OR(H415="",'START HERE'!$F$8=0),"",H415/'START HERE'!$F$8)</f>
        <v/>
      </c>
      <c r="J415" s="64" t="str">
        <f t="shared" si="6"/>
        <v>MISSING PHYSICAL</v>
      </c>
    </row>
    <row r="416" spans="1:10" x14ac:dyDescent="0.25">
      <c r="A416" s="26"/>
      <c r="B416" s="26"/>
      <c r="C416" s="26"/>
      <c r="D416" s="38"/>
      <c r="E416" s="38"/>
      <c r="F416" s="38"/>
      <c r="G416" s="59"/>
      <c r="H416" s="38"/>
      <c r="I416" s="38" t="str">
        <f>IF(OR(H416="",'START HERE'!$F$8=0),"",H416/'START HERE'!$F$8)</f>
        <v/>
      </c>
      <c r="J416" s="64" t="str">
        <f t="shared" si="6"/>
        <v>MISSING PHYSICAL</v>
      </c>
    </row>
    <row r="417" spans="1:10" x14ac:dyDescent="0.25">
      <c r="A417" s="26"/>
      <c r="B417" s="26"/>
      <c r="C417" s="26"/>
      <c r="D417" s="38"/>
      <c r="E417" s="38"/>
      <c r="F417" s="38"/>
      <c r="G417" s="59"/>
      <c r="H417" s="38"/>
      <c r="I417" s="38" t="str">
        <f>IF(OR(H417="",'START HERE'!$F$8=0),"",H417/'START HERE'!$F$8)</f>
        <v/>
      </c>
      <c r="J417" s="64" t="str">
        <f t="shared" si="6"/>
        <v>MISSING PHYSICAL</v>
      </c>
    </row>
    <row r="418" spans="1:10" x14ac:dyDescent="0.25">
      <c r="A418" s="26"/>
      <c r="B418" s="26"/>
      <c r="C418" s="26"/>
      <c r="D418" s="38"/>
      <c r="E418" s="38"/>
      <c r="F418" s="38"/>
      <c r="G418" s="59"/>
      <c r="H418" s="38"/>
      <c r="I418" s="38" t="str">
        <f>IF(OR(H418="",'START HERE'!$F$8=0),"",H418/'START HERE'!$F$8)</f>
        <v/>
      </c>
      <c r="J418" s="64" t="str">
        <f t="shared" si="6"/>
        <v>MISSING PHYSICAL</v>
      </c>
    </row>
    <row r="419" spans="1:10" x14ac:dyDescent="0.25">
      <c r="A419" s="26"/>
      <c r="B419" s="26"/>
      <c r="C419" s="26"/>
      <c r="D419" s="38"/>
      <c r="E419" s="38"/>
      <c r="F419" s="38"/>
      <c r="G419" s="59"/>
      <c r="H419" s="38"/>
      <c r="I419" s="38" t="str">
        <f>IF(OR(H419="",'START HERE'!$F$8=0),"",H419/'START HERE'!$F$8)</f>
        <v/>
      </c>
      <c r="J419" s="64" t="str">
        <f t="shared" si="6"/>
        <v>MISSING PHYSICAL</v>
      </c>
    </row>
    <row r="420" spans="1:10" x14ac:dyDescent="0.25">
      <c r="A420" s="26"/>
      <c r="B420" s="26"/>
      <c r="C420" s="26"/>
      <c r="D420" s="38"/>
      <c r="E420" s="38"/>
      <c r="F420" s="38"/>
      <c r="G420" s="59"/>
      <c r="H420" s="38"/>
      <c r="I420" s="38" t="str">
        <f>IF(OR(H420="",'START HERE'!$F$8=0),"",H420/'START HERE'!$F$8)</f>
        <v/>
      </c>
      <c r="J420" s="64" t="str">
        <f t="shared" si="6"/>
        <v>MISSING PHYSICAL</v>
      </c>
    </row>
    <row r="421" spans="1:10" x14ac:dyDescent="0.25">
      <c r="A421" s="26"/>
      <c r="B421" s="26"/>
      <c r="C421" s="26"/>
      <c r="D421" s="38"/>
      <c r="E421" s="38"/>
      <c r="F421" s="38"/>
      <c r="G421" s="59"/>
      <c r="H421" s="38"/>
      <c r="I421" s="38" t="str">
        <f>IF(OR(H421="",'START HERE'!$F$8=0),"",H421/'START HERE'!$F$8)</f>
        <v/>
      </c>
      <c r="J421" s="64" t="str">
        <f t="shared" si="6"/>
        <v>MISSING PHYSICAL</v>
      </c>
    </row>
    <row r="422" spans="1:10" x14ac:dyDescent="0.25">
      <c r="A422" s="26"/>
      <c r="B422" s="26"/>
      <c r="C422" s="26"/>
      <c r="D422" s="38"/>
      <c r="E422" s="38"/>
      <c r="F422" s="38"/>
      <c r="G422" s="59"/>
      <c r="H422" s="38"/>
      <c r="I422" s="38" t="str">
        <f>IF(OR(H422="",'START HERE'!$F$8=0),"",H422/'START HERE'!$F$8)</f>
        <v/>
      </c>
      <c r="J422" s="64" t="str">
        <f t="shared" si="6"/>
        <v>MISSING PHYSICAL</v>
      </c>
    </row>
    <row r="423" spans="1:10" x14ac:dyDescent="0.25">
      <c r="A423" s="26"/>
      <c r="B423" s="26"/>
      <c r="C423" s="26"/>
      <c r="D423" s="38"/>
      <c r="E423" s="38"/>
      <c r="F423" s="38"/>
      <c r="G423" s="59"/>
      <c r="H423" s="38"/>
      <c r="I423" s="38" t="str">
        <f>IF(OR(H423="",'START HERE'!$F$8=0),"",H423/'START HERE'!$F$8)</f>
        <v/>
      </c>
      <c r="J423" s="64" t="str">
        <f t="shared" si="6"/>
        <v>MISSING PHYSICAL</v>
      </c>
    </row>
    <row r="424" spans="1:10" x14ac:dyDescent="0.25">
      <c r="A424" s="26"/>
      <c r="B424" s="26"/>
      <c r="C424" s="26"/>
      <c r="D424" s="38"/>
      <c r="E424" s="38"/>
      <c r="F424" s="38"/>
      <c r="G424" s="59"/>
      <c r="H424" s="38"/>
      <c r="I424" s="38" t="str">
        <f>IF(OR(H424="",'START HERE'!$F$8=0),"",H424/'START HERE'!$F$8)</f>
        <v/>
      </c>
      <c r="J424" s="64" t="str">
        <f t="shared" si="6"/>
        <v>MISSING PHYSICAL</v>
      </c>
    </row>
    <row r="425" spans="1:10" x14ac:dyDescent="0.25">
      <c r="A425" s="26"/>
      <c r="B425" s="26"/>
      <c r="C425" s="26"/>
      <c r="D425" s="38"/>
      <c r="E425" s="38"/>
      <c r="F425" s="38"/>
      <c r="G425" s="59"/>
      <c r="H425" s="38"/>
      <c r="I425" s="38" t="str">
        <f>IF(OR(H425="",'START HERE'!$F$8=0),"",H425/'START HERE'!$F$8)</f>
        <v/>
      </c>
      <c r="J425" s="64" t="str">
        <f t="shared" si="6"/>
        <v>MISSING PHYSICAL</v>
      </c>
    </row>
    <row r="426" spans="1:10" x14ac:dyDescent="0.25">
      <c r="A426" s="26"/>
      <c r="B426" s="26"/>
      <c r="C426" s="26"/>
      <c r="D426" s="38"/>
      <c r="E426" s="38"/>
      <c r="F426" s="38"/>
      <c r="G426" s="59"/>
      <c r="H426" s="38"/>
      <c r="I426" s="38" t="str">
        <f>IF(OR(H426="",'START HERE'!$F$8=0),"",H426/'START HERE'!$F$8)</f>
        <v/>
      </c>
      <c r="J426" s="64" t="str">
        <f t="shared" si="6"/>
        <v>MISSING PHYSICAL</v>
      </c>
    </row>
    <row r="427" spans="1:10" x14ac:dyDescent="0.25">
      <c r="A427" s="26"/>
      <c r="B427" s="26"/>
      <c r="C427" s="26"/>
      <c r="D427" s="38"/>
      <c r="E427" s="38"/>
      <c r="F427" s="38"/>
      <c r="G427" s="59"/>
      <c r="H427" s="38"/>
      <c r="I427" s="38" t="str">
        <f>IF(OR(H427="",'START HERE'!$F$8=0),"",H427/'START HERE'!$F$8)</f>
        <v/>
      </c>
      <c r="J427" s="64" t="str">
        <f t="shared" si="6"/>
        <v>MISSING PHYSICAL</v>
      </c>
    </row>
    <row r="428" spans="1:10" x14ac:dyDescent="0.25">
      <c r="A428" s="26"/>
      <c r="B428" s="26"/>
      <c r="C428" s="26"/>
      <c r="D428" s="38"/>
      <c r="E428" s="38"/>
      <c r="F428" s="38"/>
      <c r="G428" s="59"/>
      <c r="H428" s="38"/>
      <c r="I428" s="38" t="str">
        <f>IF(OR(H428="",'START HERE'!$F$8=0),"",H428/'START HERE'!$F$8)</f>
        <v/>
      </c>
      <c r="J428" s="64" t="str">
        <f t="shared" si="6"/>
        <v>MISSING PHYSICAL</v>
      </c>
    </row>
    <row r="429" spans="1:10" x14ac:dyDescent="0.25">
      <c r="A429" s="26"/>
      <c r="B429" s="26"/>
      <c r="C429" s="26"/>
      <c r="D429" s="38"/>
      <c r="E429" s="38"/>
      <c r="F429" s="38"/>
      <c r="G429" s="59"/>
      <c r="H429" s="38"/>
      <c r="I429" s="38" t="str">
        <f>IF(OR(H429="",'START HERE'!$F$8=0),"",H429/'START HERE'!$F$8)</f>
        <v/>
      </c>
      <c r="J429" s="64" t="str">
        <f t="shared" si="6"/>
        <v>MISSING PHYSICAL</v>
      </c>
    </row>
    <row r="430" spans="1:10" x14ac:dyDescent="0.25">
      <c r="A430" s="26"/>
      <c r="B430" s="26"/>
      <c r="C430" s="26"/>
      <c r="D430" s="38"/>
      <c r="E430" s="38"/>
      <c r="F430" s="38"/>
      <c r="G430" s="59"/>
      <c r="H430" s="38"/>
      <c r="I430" s="38" t="str">
        <f>IF(OR(H430="",'START HERE'!$F$8=0),"",H430/'START HERE'!$F$8)</f>
        <v/>
      </c>
      <c r="J430" s="64" t="str">
        <f t="shared" si="6"/>
        <v>MISSING PHYSICAL</v>
      </c>
    </row>
    <row r="431" spans="1:10" x14ac:dyDescent="0.25">
      <c r="A431" s="26"/>
      <c r="B431" s="26"/>
      <c r="C431" s="26"/>
      <c r="D431" s="38"/>
      <c r="E431" s="38"/>
      <c r="F431" s="38"/>
      <c r="G431" s="59"/>
      <c r="H431" s="38"/>
      <c r="I431" s="38" t="str">
        <f>IF(OR(H431="",'START HERE'!$F$8=0),"",H431/'START HERE'!$F$8)</f>
        <v/>
      </c>
      <c r="J431" s="64" t="str">
        <f t="shared" si="6"/>
        <v>MISSING PHYSICAL</v>
      </c>
    </row>
    <row r="432" spans="1:10" x14ac:dyDescent="0.25">
      <c r="A432" s="26"/>
      <c r="B432" s="26"/>
      <c r="C432" s="26"/>
      <c r="D432" s="38"/>
      <c r="E432" s="38"/>
      <c r="F432" s="38"/>
      <c r="G432" s="59"/>
      <c r="H432" s="38"/>
      <c r="I432" s="38" t="str">
        <f>IF(OR(H432="",'START HERE'!$F$8=0),"",H432/'START HERE'!$F$8)</f>
        <v/>
      </c>
      <c r="J432" s="64" t="str">
        <f t="shared" si="6"/>
        <v>MISSING PHYSICAL</v>
      </c>
    </row>
    <row r="433" spans="1:10" x14ac:dyDescent="0.25">
      <c r="A433" s="26"/>
      <c r="B433" s="26"/>
      <c r="C433" s="26"/>
      <c r="D433" s="38"/>
      <c r="E433" s="38"/>
      <c r="F433" s="38"/>
      <c r="G433" s="59"/>
      <c r="H433" s="38"/>
      <c r="I433" s="38" t="str">
        <f>IF(OR(H433="",'START HERE'!$F$8=0),"",H433/'START HERE'!$F$8)</f>
        <v/>
      </c>
      <c r="J433" s="64" t="str">
        <f t="shared" si="6"/>
        <v>MISSING PHYSICAL</v>
      </c>
    </row>
    <row r="434" spans="1:10" x14ac:dyDescent="0.25">
      <c r="A434" s="26"/>
      <c r="B434" s="26"/>
      <c r="C434" s="26"/>
      <c r="D434" s="38"/>
      <c r="E434" s="38"/>
      <c r="F434" s="38"/>
      <c r="G434" s="59"/>
      <c r="H434" s="38"/>
      <c r="I434" s="38" t="str">
        <f>IF(OR(H434="",'START HERE'!$F$8=0),"",H434/'START HERE'!$F$8)</f>
        <v/>
      </c>
      <c r="J434" s="64" t="str">
        <f t="shared" si="6"/>
        <v>MISSING PHYSICAL</v>
      </c>
    </row>
    <row r="435" spans="1:10" x14ac:dyDescent="0.25">
      <c r="A435" s="26"/>
      <c r="B435" s="26"/>
      <c r="C435" s="26"/>
      <c r="D435" s="38"/>
      <c r="E435" s="38"/>
      <c r="F435" s="38"/>
      <c r="G435" s="59"/>
      <c r="H435" s="38"/>
      <c r="I435" s="38" t="str">
        <f>IF(OR(H435="",'START HERE'!$F$8=0),"",H435/'START HERE'!$F$8)</f>
        <v/>
      </c>
      <c r="J435" s="64" t="str">
        <f t="shared" si="6"/>
        <v>MISSING PHYSICAL</v>
      </c>
    </row>
    <row r="436" spans="1:10" x14ac:dyDescent="0.25">
      <c r="A436" s="26"/>
      <c r="B436" s="26"/>
      <c r="C436" s="26"/>
      <c r="D436" s="38"/>
      <c r="E436" s="38"/>
      <c r="F436" s="38"/>
      <c r="G436" s="59"/>
      <c r="H436" s="38"/>
      <c r="I436" s="38" t="str">
        <f>IF(OR(H436="",'START HERE'!$F$8=0),"",H436/'START HERE'!$F$8)</f>
        <v/>
      </c>
      <c r="J436" s="64" t="str">
        <f t="shared" si="6"/>
        <v>MISSING PHYSICAL</v>
      </c>
    </row>
    <row r="437" spans="1:10" x14ac:dyDescent="0.25">
      <c r="A437" s="26"/>
      <c r="B437" s="26"/>
      <c r="C437" s="26"/>
      <c r="D437" s="38"/>
      <c r="E437" s="38"/>
      <c r="F437" s="38"/>
      <c r="G437" s="59"/>
      <c r="H437" s="38"/>
      <c r="I437" s="38" t="str">
        <f>IF(OR(H437="",'START HERE'!$F$8=0),"",H437/'START HERE'!$F$8)</f>
        <v/>
      </c>
      <c r="J437" s="64" t="str">
        <f t="shared" si="6"/>
        <v>MISSING PHYSICAL</v>
      </c>
    </row>
    <row r="438" spans="1:10" x14ac:dyDescent="0.25">
      <c r="A438" s="26"/>
      <c r="B438" s="26"/>
      <c r="C438" s="26"/>
      <c r="D438" s="38"/>
      <c r="E438" s="38"/>
      <c r="F438" s="38"/>
      <c r="G438" s="59"/>
      <c r="H438" s="38"/>
      <c r="I438" s="38" t="str">
        <f>IF(OR(H438="",'START HERE'!$F$8=0),"",H438/'START HERE'!$F$8)</f>
        <v/>
      </c>
      <c r="J438" s="64" t="str">
        <f t="shared" si="6"/>
        <v>MISSING PHYSICAL</v>
      </c>
    </row>
    <row r="439" spans="1:10" x14ac:dyDescent="0.25">
      <c r="A439" s="26"/>
      <c r="B439" s="26"/>
      <c r="C439" s="26"/>
      <c r="D439" s="38"/>
      <c r="E439" s="38"/>
      <c r="F439" s="38"/>
      <c r="G439" s="59"/>
      <c r="H439" s="38"/>
      <c r="I439" s="38" t="str">
        <f>IF(OR(H439="",'START HERE'!$F$8=0),"",H439/'START HERE'!$F$8)</f>
        <v/>
      </c>
      <c r="J439" s="64" t="str">
        <f t="shared" si="6"/>
        <v>MISSING PHYSICAL</v>
      </c>
    </row>
    <row r="440" spans="1:10" x14ac:dyDescent="0.25">
      <c r="A440" s="26"/>
      <c r="B440" s="26"/>
      <c r="C440" s="26"/>
      <c r="D440" s="38"/>
      <c r="E440" s="38"/>
      <c r="F440" s="38"/>
      <c r="G440" s="59"/>
      <c r="H440" s="38"/>
      <c r="I440" s="38" t="str">
        <f>IF(OR(H440="",'START HERE'!$F$8=0),"",H440/'START HERE'!$F$8)</f>
        <v/>
      </c>
      <c r="J440" s="64" t="str">
        <f t="shared" si="6"/>
        <v>MISSING PHYSICAL</v>
      </c>
    </row>
    <row r="441" spans="1:10" x14ac:dyDescent="0.25">
      <c r="A441" s="26"/>
      <c r="B441" s="26"/>
      <c r="C441" s="26"/>
      <c r="D441" s="38"/>
      <c r="E441" s="38"/>
      <c r="F441" s="38"/>
      <c r="G441" s="59"/>
      <c r="H441" s="38"/>
      <c r="I441" s="38" t="str">
        <f>IF(OR(H441="",'START HERE'!$F$8=0),"",H441/'START HERE'!$F$8)</f>
        <v/>
      </c>
      <c r="J441" s="64" t="str">
        <f t="shared" si="6"/>
        <v>MISSING PHYSICAL</v>
      </c>
    </row>
    <row r="442" spans="1:10" x14ac:dyDescent="0.25">
      <c r="A442" s="26"/>
      <c r="B442" s="26"/>
      <c r="C442" s="26"/>
      <c r="D442" s="38"/>
      <c r="E442" s="38"/>
      <c r="F442" s="38"/>
      <c r="G442" s="59"/>
      <c r="H442" s="38"/>
      <c r="I442" s="38" t="str">
        <f>IF(OR(H442="",'START HERE'!$F$8=0),"",H442/'START HERE'!$F$8)</f>
        <v/>
      </c>
      <c r="J442" s="64" t="str">
        <f t="shared" si="6"/>
        <v>MISSING PHYSICAL</v>
      </c>
    </row>
    <row r="443" spans="1:10" x14ac:dyDescent="0.25">
      <c r="A443" s="26"/>
      <c r="B443" s="26"/>
      <c r="C443" s="26"/>
      <c r="D443" s="38"/>
      <c r="E443" s="38"/>
      <c r="F443" s="38"/>
      <c r="G443" s="59"/>
      <c r="H443" s="38"/>
      <c r="I443" s="38" t="str">
        <f>IF(OR(H443="",'START HERE'!$F$8=0),"",H443/'START HERE'!$F$8)</f>
        <v/>
      </c>
      <c r="J443" s="64" t="str">
        <f t="shared" si="6"/>
        <v>MISSING PHYSICAL</v>
      </c>
    </row>
    <row r="444" spans="1:10" x14ac:dyDescent="0.25">
      <c r="A444" s="26"/>
      <c r="B444" s="26"/>
      <c r="C444" s="26"/>
      <c r="D444" s="38"/>
      <c r="E444" s="38"/>
      <c r="F444" s="38"/>
      <c r="G444" s="59"/>
      <c r="H444" s="38"/>
      <c r="I444" s="38" t="str">
        <f>IF(OR(H444="",'START HERE'!$F$8=0),"",H444/'START HERE'!$F$8)</f>
        <v/>
      </c>
      <c r="J444" s="64" t="str">
        <f t="shared" si="6"/>
        <v>MISSING PHYSICAL</v>
      </c>
    </row>
    <row r="445" spans="1:10" x14ac:dyDescent="0.25">
      <c r="A445" s="26"/>
      <c r="B445" s="26"/>
      <c r="C445" s="26"/>
      <c r="D445" s="38"/>
      <c r="E445" s="38"/>
      <c r="F445" s="38"/>
      <c r="G445" s="59"/>
      <c r="H445" s="38"/>
      <c r="I445" s="38" t="str">
        <f>IF(OR(H445="",'START HERE'!$F$8=0),"",H445/'START HERE'!$F$8)</f>
        <v/>
      </c>
      <c r="J445" s="64" t="str">
        <f t="shared" si="6"/>
        <v>MISSING PHYSICAL</v>
      </c>
    </row>
    <row r="446" spans="1:10" x14ac:dyDescent="0.25">
      <c r="A446" s="26"/>
      <c r="B446" s="26"/>
      <c r="C446" s="26"/>
      <c r="D446" s="38"/>
      <c r="E446" s="38"/>
      <c r="F446" s="38"/>
      <c r="G446" s="59"/>
      <c r="H446" s="38"/>
      <c r="I446" s="38" t="str">
        <f>IF(OR(H446="",'START HERE'!$F$8=0),"",H446/'START HERE'!$F$8)</f>
        <v/>
      </c>
      <c r="J446" s="64" t="str">
        <f t="shared" si="6"/>
        <v>MISSING PHYSICAL</v>
      </c>
    </row>
    <row r="447" spans="1:10" x14ac:dyDescent="0.25">
      <c r="A447" s="26"/>
      <c r="B447" s="26"/>
      <c r="C447" s="26"/>
      <c r="D447" s="38"/>
      <c r="E447" s="38"/>
      <c r="F447" s="38"/>
      <c r="G447" s="59"/>
      <c r="H447" s="38"/>
      <c r="I447" s="38" t="str">
        <f>IF(OR(H447="",'START HERE'!$F$8=0),"",H447/'START HERE'!$F$8)</f>
        <v/>
      </c>
      <c r="J447" s="64" t="str">
        <f t="shared" si="6"/>
        <v>MISSING PHYSICAL</v>
      </c>
    </row>
    <row r="448" spans="1:10" x14ac:dyDescent="0.25">
      <c r="A448" s="26"/>
      <c r="B448" s="26"/>
      <c r="C448" s="26"/>
      <c r="D448" s="38"/>
      <c r="E448" s="38"/>
      <c r="F448" s="38"/>
      <c r="G448" s="59"/>
      <c r="H448" s="38"/>
      <c r="I448" s="38" t="str">
        <f>IF(OR(H448="",'START HERE'!$F$8=0),"",H448/'START HERE'!$F$8)</f>
        <v/>
      </c>
      <c r="J448" s="64" t="str">
        <f t="shared" si="6"/>
        <v>MISSING PHYSICAL</v>
      </c>
    </row>
    <row r="449" spans="1:10" x14ac:dyDescent="0.25">
      <c r="A449" s="26"/>
      <c r="B449" s="26"/>
      <c r="C449" s="26"/>
      <c r="D449" s="38"/>
      <c r="E449" s="38"/>
      <c r="F449" s="38"/>
      <c r="G449" s="59"/>
      <c r="H449" s="38"/>
      <c r="I449" s="38" t="str">
        <f>IF(OR(H449="",'START HERE'!$F$8=0),"",H449/'START HERE'!$F$8)</f>
        <v/>
      </c>
      <c r="J449" s="64" t="str">
        <f t="shared" si="6"/>
        <v>MISSING PHYSICAL</v>
      </c>
    </row>
    <row r="450" spans="1:10" x14ac:dyDescent="0.25">
      <c r="A450" s="26"/>
      <c r="B450" s="26"/>
      <c r="C450" s="26"/>
      <c r="D450" s="38"/>
      <c r="E450" s="38"/>
      <c r="F450" s="38"/>
      <c r="G450" s="59"/>
      <c r="H450" s="38"/>
      <c r="I450" s="38" t="str">
        <f>IF(OR(H450="",'START HERE'!$F$8=0),"",H450/'START HERE'!$F$8)</f>
        <v/>
      </c>
      <c r="J450" s="64" t="str">
        <f t="shared" si="6"/>
        <v>MISSING PHYSICAL</v>
      </c>
    </row>
    <row r="451" spans="1:10" x14ac:dyDescent="0.25">
      <c r="A451" s="26"/>
      <c r="B451" s="26"/>
      <c r="C451" s="26"/>
      <c r="D451" s="38"/>
      <c r="E451" s="38"/>
      <c r="F451" s="38"/>
      <c r="G451" s="59"/>
      <c r="H451" s="38"/>
      <c r="I451" s="38" t="str">
        <f>IF(OR(H451="",'START HERE'!$F$8=0),"",H451/'START HERE'!$F$8)</f>
        <v/>
      </c>
      <c r="J451" s="64" t="str">
        <f t="shared" si="6"/>
        <v>MISSING PHYSICAL</v>
      </c>
    </row>
    <row r="452" spans="1:10" x14ac:dyDescent="0.25">
      <c r="A452" s="26"/>
      <c r="B452" s="26"/>
      <c r="C452" s="26"/>
      <c r="D452" s="38"/>
      <c r="E452" s="38"/>
      <c r="F452" s="38"/>
      <c r="G452" s="59"/>
      <c r="H452" s="38"/>
      <c r="I452" s="38" t="str">
        <f>IF(OR(H452="",'START HERE'!$F$8=0),"",H452/'START HERE'!$F$8)</f>
        <v/>
      </c>
      <c r="J452" s="64" t="str">
        <f t="shared" si="6"/>
        <v>MISSING PHYSICAL</v>
      </c>
    </row>
    <row r="453" spans="1:10" x14ac:dyDescent="0.25">
      <c r="A453" s="26"/>
      <c r="B453" s="26"/>
      <c r="C453" s="26"/>
      <c r="D453" s="38"/>
      <c r="E453" s="38"/>
      <c r="F453" s="38"/>
      <c r="G453" s="59"/>
      <c r="H453" s="38"/>
      <c r="I453" s="38" t="str">
        <f>IF(OR(H453="",'START HERE'!$F$8=0),"",H453/'START HERE'!$F$8)</f>
        <v/>
      </c>
      <c r="J453" s="64" t="str">
        <f t="shared" ref="J453:J482" si="7">IF(G453="","MISSING PHYSICAL",IF(H453&lt;0,"CHECK: NEGATIVE CONSUMPTION","OK"))</f>
        <v>MISSING PHYSICAL</v>
      </c>
    </row>
    <row r="454" spans="1:10" x14ac:dyDescent="0.25">
      <c r="A454" s="26"/>
      <c r="B454" s="26"/>
      <c r="C454" s="26"/>
      <c r="D454" s="38"/>
      <c r="E454" s="38"/>
      <c r="F454" s="38"/>
      <c r="G454" s="59"/>
      <c r="H454" s="38"/>
      <c r="I454" s="38" t="str">
        <f>IF(OR(H454="",'START HERE'!$F$8=0),"",H454/'START HERE'!$F$8)</f>
        <v/>
      </c>
      <c r="J454" s="64" t="str">
        <f t="shared" si="7"/>
        <v>MISSING PHYSICAL</v>
      </c>
    </row>
    <row r="455" spans="1:10" x14ac:dyDescent="0.25">
      <c r="A455" s="26"/>
      <c r="B455" s="26"/>
      <c r="C455" s="26"/>
      <c r="D455" s="38"/>
      <c r="E455" s="38"/>
      <c r="F455" s="38"/>
      <c r="G455" s="59"/>
      <c r="H455" s="38"/>
      <c r="I455" s="38" t="str">
        <f>IF(OR(H455="",'START HERE'!$F$8=0),"",H455/'START HERE'!$F$8)</f>
        <v/>
      </c>
      <c r="J455" s="64" t="str">
        <f t="shared" si="7"/>
        <v>MISSING PHYSICAL</v>
      </c>
    </row>
    <row r="456" spans="1:10" x14ac:dyDescent="0.25">
      <c r="A456" s="26"/>
      <c r="B456" s="26"/>
      <c r="C456" s="26"/>
      <c r="D456" s="38"/>
      <c r="E456" s="38"/>
      <c r="F456" s="38"/>
      <c r="G456" s="59"/>
      <c r="H456" s="38"/>
      <c r="I456" s="38" t="str">
        <f>IF(OR(H456="",'START HERE'!$F$8=0),"",H456/'START HERE'!$F$8)</f>
        <v/>
      </c>
      <c r="J456" s="64" t="str">
        <f t="shared" si="7"/>
        <v>MISSING PHYSICAL</v>
      </c>
    </row>
    <row r="457" spans="1:10" x14ac:dyDescent="0.25">
      <c r="A457" s="26"/>
      <c r="B457" s="26"/>
      <c r="C457" s="26"/>
      <c r="D457" s="38"/>
      <c r="E457" s="38"/>
      <c r="F457" s="38"/>
      <c r="G457" s="59"/>
      <c r="H457" s="38"/>
      <c r="I457" s="38" t="str">
        <f>IF(OR(H457="",'START HERE'!$F$8=0),"",H457/'START HERE'!$F$8)</f>
        <v/>
      </c>
      <c r="J457" s="64" t="str">
        <f t="shared" si="7"/>
        <v>MISSING PHYSICAL</v>
      </c>
    </row>
    <row r="458" spans="1:10" x14ac:dyDescent="0.25">
      <c r="A458" s="26"/>
      <c r="B458" s="26"/>
      <c r="C458" s="26"/>
      <c r="D458" s="38"/>
      <c r="E458" s="38"/>
      <c r="F458" s="38"/>
      <c r="G458" s="59"/>
      <c r="H458" s="38"/>
      <c r="I458" s="38" t="str">
        <f>IF(OR(H458="",'START HERE'!$F$8=0),"",H458/'START HERE'!$F$8)</f>
        <v/>
      </c>
      <c r="J458" s="64" t="str">
        <f t="shared" si="7"/>
        <v>MISSING PHYSICAL</v>
      </c>
    </row>
    <row r="459" spans="1:10" x14ac:dyDescent="0.25">
      <c r="A459" s="26"/>
      <c r="B459" s="26"/>
      <c r="C459" s="26"/>
      <c r="D459" s="38"/>
      <c r="E459" s="38"/>
      <c r="F459" s="38"/>
      <c r="G459" s="59"/>
      <c r="H459" s="38"/>
      <c r="I459" s="38" t="str">
        <f>IF(OR(H459="",'START HERE'!$F$8=0),"",H459/'START HERE'!$F$8)</f>
        <v/>
      </c>
      <c r="J459" s="64" t="str">
        <f t="shared" si="7"/>
        <v>MISSING PHYSICAL</v>
      </c>
    </row>
    <row r="460" spans="1:10" x14ac:dyDescent="0.25">
      <c r="A460" s="26"/>
      <c r="B460" s="26"/>
      <c r="C460" s="26"/>
      <c r="D460" s="38"/>
      <c r="E460" s="38"/>
      <c r="F460" s="38"/>
      <c r="G460" s="59"/>
      <c r="H460" s="38"/>
      <c r="I460" s="38" t="str">
        <f>IF(OR(H460="",'START HERE'!$F$8=0),"",H460/'START HERE'!$F$8)</f>
        <v/>
      </c>
      <c r="J460" s="64" t="str">
        <f t="shared" si="7"/>
        <v>MISSING PHYSICAL</v>
      </c>
    </row>
    <row r="461" spans="1:10" x14ac:dyDescent="0.25">
      <c r="A461" s="26"/>
      <c r="B461" s="26"/>
      <c r="C461" s="26"/>
      <c r="D461" s="38"/>
      <c r="E461" s="38"/>
      <c r="F461" s="38"/>
      <c r="G461" s="59"/>
      <c r="H461" s="38"/>
      <c r="I461" s="38" t="str">
        <f>IF(OR(H461="",'START HERE'!$F$8=0),"",H461/'START HERE'!$F$8)</f>
        <v/>
      </c>
      <c r="J461" s="64" t="str">
        <f t="shared" si="7"/>
        <v>MISSING PHYSICAL</v>
      </c>
    </row>
    <row r="462" spans="1:10" x14ac:dyDescent="0.25">
      <c r="A462" s="26"/>
      <c r="B462" s="26"/>
      <c r="C462" s="26"/>
      <c r="D462" s="38"/>
      <c r="E462" s="38"/>
      <c r="F462" s="38"/>
      <c r="G462" s="59"/>
      <c r="H462" s="38"/>
      <c r="I462" s="38" t="str">
        <f>IF(OR(H462="",'START HERE'!$F$8=0),"",H462/'START HERE'!$F$8)</f>
        <v/>
      </c>
      <c r="J462" s="64" t="str">
        <f t="shared" si="7"/>
        <v>MISSING PHYSICAL</v>
      </c>
    </row>
    <row r="463" spans="1:10" x14ac:dyDescent="0.25">
      <c r="A463" s="26"/>
      <c r="B463" s="26"/>
      <c r="C463" s="26"/>
      <c r="D463" s="38"/>
      <c r="E463" s="38"/>
      <c r="F463" s="38"/>
      <c r="G463" s="59"/>
      <c r="H463" s="38"/>
      <c r="I463" s="38" t="str">
        <f>IF(OR(H463="",'START HERE'!$F$8=0),"",H463/'START HERE'!$F$8)</f>
        <v/>
      </c>
      <c r="J463" s="64" t="str">
        <f t="shared" si="7"/>
        <v>MISSING PHYSICAL</v>
      </c>
    </row>
    <row r="464" spans="1:10" x14ac:dyDescent="0.25">
      <c r="A464" s="26"/>
      <c r="B464" s="26"/>
      <c r="C464" s="26"/>
      <c r="D464" s="38"/>
      <c r="E464" s="38"/>
      <c r="F464" s="38"/>
      <c r="G464" s="59"/>
      <c r="H464" s="38"/>
      <c r="I464" s="38" t="str">
        <f>IF(OR(H464="",'START HERE'!$F$8=0),"",H464/'START HERE'!$F$8)</f>
        <v/>
      </c>
      <c r="J464" s="64" t="str">
        <f t="shared" si="7"/>
        <v>MISSING PHYSICAL</v>
      </c>
    </row>
    <row r="465" spans="1:10" x14ac:dyDescent="0.25">
      <c r="A465" s="26"/>
      <c r="B465" s="26"/>
      <c r="C465" s="26"/>
      <c r="D465" s="38"/>
      <c r="E465" s="38"/>
      <c r="F465" s="38"/>
      <c r="G465" s="59"/>
      <c r="H465" s="38"/>
      <c r="I465" s="38" t="str">
        <f>IF(OR(H465="",'START HERE'!$F$8=0),"",H465/'START HERE'!$F$8)</f>
        <v/>
      </c>
      <c r="J465" s="64" t="str">
        <f t="shared" si="7"/>
        <v>MISSING PHYSICAL</v>
      </c>
    </row>
    <row r="466" spans="1:10" x14ac:dyDescent="0.25">
      <c r="A466" s="26"/>
      <c r="B466" s="26"/>
      <c r="C466" s="26"/>
      <c r="D466" s="38"/>
      <c r="E466" s="38"/>
      <c r="F466" s="38"/>
      <c r="G466" s="59"/>
      <c r="H466" s="38"/>
      <c r="I466" s="38" t="str">
        <f>IF(OR(H466="",'START HERE'!$F$8=0),"",H466/'START HERE'!$F$8)</f>
        <v/>
      </c>
      <c r="J466" s="64" t="str">
        <f t="shared" si="7"/>
        <v>MISSING PHYSICAL</v>
      </c>
    </row>
    <row r="467" spans="1:10" x14ac:dyDescent="0.25">
      <c r="A467" s="26"/>
      <c r="B467" s="26"/>
      <c r="C467" s="26"/>
      <c r="D467" s="38"/>
      <c r="E467" s="38"/>
      <c r="F467" s="38"/>
      <c r="G467" s="59"/>
      <c r="H467" s="38"/>
      <c r="I467" s="38" t="str">
        <f>IF(OR(H467="",'START HERE'!$F$8=0),"",H467/'START HERE'!$F$8)</f>
        <v/>
      </c>
      <c r="J467" s="64" t="str">
        <f t="shared" si="7"/>
        <v>MISSING PHYSICAL</v>
      </c>
    </row>
    <row r="468" spans="1:10" x14ac:dyDescent="0.25">
      <c r="A468" s="26"/>
      <c r="B468" s="26"/>
      <c r="C468" s="26"/>
      <c r="D468" s="38"/>
      <c r="E468" s="38"/>
      <c r="F468" s="38"/>
      <c r="G468" s="59"/>
      <c r="H468" s="38"/>
      <c r="I468" s="38" t="str">
        <f>IF(OR(H468="",'START HERE'!$F$8=0),"",H468/'START HERE'!$F$8)</f>
        <v/>
      </c>
      <c r="J468" s="64" t="str">
        <f t="shared" si="7"/>
        <v>MISSING PHYSICAL</v>
      </c>
    </row>
    <row r="469" spans="1:10" x14ac:dyDescent="0.25">
      <c r="A469" s="26"/>
      <c r="B469" s="26"/>
      <c r="C469" s="26"/>
      <c r="D469" s="38"/>
      <c r="E469" s="38"/>
      <c r="F469" s="38"/>
      <c r="G469" s="59"/>
      <c r="H469" s="38"/>
      <c r="I469" s="38" t="str">
        <f>IF(OR(H469="",'START HERE'!$F$8=0),"",H469/'START HERE'!$F$8)</f>
        <v/>
      </c>
      <c r="J469" s="64" t="str">
        <f t="shared" si="7"/>
        <v>MISSING PHYSICAL</v>
      </c>
    </row>
    <row r="470" spans="1:10" x14ac:dyDescent="0.25">
      <c r="A470" s="26"/>
      <c r="B470" s="26"/>
      <c r="C470" s="26"/>
      <c r="D470" s="38"/>
      <c r="E470" s="38"/>
      <c r="F470" s="38"/>
      <c r="G470" s="59"/>
      <c r="H470" s="38"/>
      <c r="I470" s="38" t="str">
        <f>IF(OR(H470="",'START HERE'!$F$8=0),"",H470/'START HERE'!$F$8)</f>
        <v/>
      </c>
      <c r="J470" s="64" t="str">
        <f t="shared" si="7"/>
        <v>MISSING PHYSICAL</v>
      </c>
    </row>
    <row r="471" spans="1:10" x14ac:dyDescent="0.25">
      <c r="A471" s="26"/>
      <c r="B471" s="26"/>
      <c r="C471" s="26"/>
      <c r="D471" s="38"/>
      <c r="E471" s="38"/>
      <c r="F471" s="38"/>
      <c r="G471" s="59"/>
      <c r="H471" s="38"/>
      <c r="I471" s="38" t="str">
        <f>IF(OR(H471="",'START HERE'!$F$8=0),"",H471/'START HERE'!$F$8)</f>
        <v/>
      </c>
      <c r="J471" s="64" t="str">
        <f t="shared" si="7"/>
        <v>MISSING PHYSICAL</v>
      </c>
    </row>
    <row r="472" spans="1:10" x14ac:dyDescent="0.25">
      <c r="A472" s="26"/>
      <c r="B472" s="26"/>
      <c r="C472" s="26"/>
      <c r="D472" s="38"/>
      <c r="E472" s="38"/>
      <c r="F472" s="38"/>
      <c r="G472" s="59"/>
      <c r="H472" s="38"/>
      <c r="I472" s="38" t="str">
        <f>IF(OR(H472="",'START HERE'!$F$8=0),"",H472/'START HERE'!$F$8)</f>
        <v/>
      </c>
      <c r="J472" s="64" t="str">
        <f t="shared" si="7"/>
        <v>MISSING PHYSICAL</v>
      </c>
    </row>
    <row r="473" spans="1:10" x14ac:dyDescent="0.25">
      <c r="A473" s="26"/>
      <c r="B473" s="26"/>
      <c r="C473" s="26"/>
      <c r="D473" s="38"/>
      <c r="E473" s="38"/>
      <c r="F473" s="38"/>
      <c r="G473" s="59"/>
      <c r="H473" s="38"/>
      <c r="I473" s="38" t="str">
        <f>IF(OR(H473="",'START HERE'!$F$8=0),"",H473/'START HERE'!$F$8)</f>
        <v/>
      </c>
      <c r="J473" s="64" t="str">
        <f t="shared" si="7"/>
        <v>MISSING PHYSICAL</v>
      </c>
    </row>
    <row r="474" spans="1:10" x14ac:dyDescent="0.25">
      <c r="A474" s="26"/>
      <c r="B474" s="26"/>
      <c r="C474" s="26"/>
      <c r="D474" s="38"/>
      <c r="E474" s="38"/>
      <c r="F474" s="38"/>
      <c r="G474" s="59"/>
      <c r="H474" s="38"/>
      <c r="I474" s="38" t="str">
        <f>IF(OR(H474="",'START HERE'!$F$8=0),"",H474/'START HERE'!$F$8)</f>
        <v/>
      </c>
      <c r="J474" s="64" t="str">
        <f t="shared" si="7"/>
        <v>MISSING PHYSICAL</v>
      </c>
    </row>
    <row r="475" spans="1:10" x14ac:dyDescent="0.25">
      <c r="A475" s="26"/>
      <c r="B475" s="26"/>
      <c r="C475" s="26"/>
      <c r="D475" s="38"/>
      <c r="E475" s="38"/>
      <c r="F475" s="38"/>
      <c r="G475" s="59"/>
      <c r="H475" s="38"/>
      <c r="I475" s="38" t="str">
        <f>IF(OR(H475="",'START HERE'!$F$8=0),"",H475/'START HERE'!$F$8)</f>
        <v/>
      </c>
      <c r="J475" s="64" t="str">
        <f t="shared" si="7"/>
        <v>MISSING PHYSICAL</v>
      </c>
    </row>
    <row r="476" spans="1:10" x14ac:dyDescent="0.25">
      <c r="A476" s="26"/>
      <c r="B476" s="26"/>
      <c r="C476" s="26"/>
      <c r="D476" s="38"/>
      <c r="E476" s="38"/>
      <c r="F476" s="38"/>
      <c r="G476" s="59"/>
      <c r="H476" s="38"/>
      <c r="I476" s="38" t="str">
        <f>IF(OR(H476="",'START HERE'!$F$8=0),"",H476/'START HERE'!$F$8)</f>
        <v/>
      </c>
      <c r="J476" s="64" t="str">
        <f t="shared" si="7"/>
        <v>MISSING PHYSICAL</v>
      </c>
    </row>
    <row r="477" spans="1:10" x14ac:dyDescent="0.25">
      <c r="A477" s="26"/>
      <c r="B477" s="26"/>
      <c r="C477" s="26"/>
      <c r="D477" s="38"/>
      <c r="E477" s="38"/>
      <c r="F477" s="38"/>
      <c r="G477" s="59"/>
      <c r="H477" s="38"/>
      <c r="I477" s="38" t="str">
        <f>IF(OR(H477="",'START HERE'!$F$8=0),"",H477/'START HERE'!$F$8)</f>
        <v/>
      </c>
      <c r="J477" s="64" t="str">
        <f t="shared" si="7"/>
        <v>MISSING PHYSICAL</v>
      </c>
    </row>
    <row r="478" spans="1:10" x14ac:dyDescent="0.25">
      <c r="A478" s="26"/>
      <c r="B478" s="26"/>
      <c r="C478" s="26"/>
      <c r="D478" s="38"/>
      <c r="E478" s="38"/>
      <c r="F478" s="38"/>
      <c r="G478" s="59"/>
      <c r="H478" s="38"/>
      <c r="I478" s="38" t="str">
        <f>IF(OR(H478="",'START HERE'!$F$8=0),"",H478/'START HERE'!$F$8)</f>
        <v/>
      </c>
      <c r="J478" s="64" t="str">
        <f t="shared" si="7"/>
        <v>MISSING PHYSICAL</v>
      </c>
    </row>
    <row r="479" spans="1:10" x14ac:dyDescent="0.25">
      <c r="A479" s="26"/>
      <c r="B479" s="26"/>
      <c r="C479" s="26"/>
      <c r="D479" s="38"/>
      <c r="E479" s="38"/>
      <c r="F479" s="38"/>
      <c r="G479" s="59"/>
      <c r="H479" s="38"/>
      <c r="I479" s="38" t="str">
        <f>IF(OR(H479="",'START HERE'!$F$8=0),"",H479/'START HERE'!$F$8)</f>
        <v/>
      </c>
      <c r="J479" s="64" t="str">
        <f t="shared" si="7"/>
        <v>MISSING PHYSICAL</v>
      </c>
    </row>
    <row r="480" spans="1:10" x14ac:dyDescent="0.25">
      <c r="A480" s="26"/>
      <c r="B480" s="26"/>
      <c r="C480" s="26"/>
      <c r="D480" s="38"/>
      <c r="E480" s="38"/>
      <c r="F480" s="38"/>
      <c r="G480" s="59"/>
      <c r="H480" s="38"/>
      <c r="I480" s="38" t="str">
        <f>IF(OR(H480="",'START HERE'!$F$8=0),"",H480/'START HERE'!$F$8)</f>
        <v/>
      </c>
      <c r="J480" s="64" t="str">
        <f t="shared" si="7"/>
        <v>MISSING PHYSICAL</v>
      </c>
    </row>
    <row r="481" spans="1:10" x14ac:dyDescent="0.25">
      <c r="A481" s="26"/>
      <c r="B481" s="26"/>
      <c r="C481" s="26"/>
      <c r="D481" s="38"/>
      <c r="E481" s="38"/>
      <c r="F481" s="38"/>
      <c r="G481" s="59"/>
      <c r="H481" s="38"/>
      <c r="I481" s="38" t="str">
        <f>IF(OR(H481="",'START HERE'!$F$8=0),"",H481/'START HERE'!$F$8)</f>
        <v/>
      </c>
      <c r="J481" s="64" t="str">
        <f t="shared" si="7"/>
        <v>MISSING PHYSICAL</v>
      </c>
    </row>
    <row r="482" spans="1:10" x14ac:dyDescent="0.25">
      <c r="A482" s="26"/>
      <c r="B482" s="26"/>
      <c r="C482" s="26"/>
      <c r="D482" s="38"/>
      <c r="E482" s="38"/>
      <c r="F482" s="38"/>
      <c r="G482" s="59"/>
      <c r="H482" s="38"/>
      <c r="I482" s="38" t="str">
        <f>IF(OR(H482="",'START HERE'!$F$8=0),"",H482/'START HERE'!$F$8)</f>
        <v/>
      </c>
      <c r="J482" s="64" t="str">
        <f t="shared" si="7"/>
        <v>MISSING PHYSICAL</v>
      </c>
    </row>
  </sheetData>
  <mergeCells count="2">
    <mergeCell ref="A2:H2"/>
    <mergeCell ref="A1:H1"/>
  </mergeCells>
  <conditionalFormatting sqref="J5:J382">
    <cfRule type="cellIs" dxfId="1" priority="1" operator="equal">
      <formula>"MISSING PHYSICAL"</formula>
    </cfRule>
    <cfRule type="cellIs" dxfId="0" priority="2" operator="equal">
      <formula>"CHECK: NEGATIVE CONSUMPTION"</formula>
    </cfRule>
  </conditionalFormatting>
  <pageMargins left="0.75" right="0.75" top="1" bottom="1" header="0.5" footer="0.5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5" style="31" customWidth="1"/>
    <col min="2" max="2" width="42" style="31" customWidth="1"/>
    <col min="3" max="3" width="35" style="31" customWidth="1"/>
    <col min="4" max="4" width="18" style="31" customWidth="1"/>
    <col min="5" max="5" width="15" style="31" customWidth="1"/>
    <col min="6" max="6" width="35" style="31" customWidth="1"/>
  </cols>
  <sheetData>
    <row r="1" spans="1:6" x14ac:dyDescent="0.25">
      <c r="A1" s="26" t="s">
        <v>964</v>
      </c>
      <c r="B1" s="26" t="s">
        <v>965</v>
      </c>
    </row>
    <row r="3" spans="1:6" x14ac:dyDescent="0.25">
      <c r="A3" s="67" t="s">
        <v>103</v>
      </c>
      <c r="B3" s="67" t="s">
        <v>95</v>
      </c>
      <c r="C3" s="67" t="s">
        <v>93</v>
      </c>
      <c r="D3" s="67" t="s">
        <v>104</v>
      </c>
      <c r="E3" s="67" t="s">
        <v>966</v>
      </c>
      <c r="F3" s="67" t="s">
        <v>967</v>
      </c>
    </row>
    <row r="4" spans="1:6" x14ac:dyDescent="0.25">
      <c r="A4" s="31" t="s">
        <v>995</v>
      </c>
      <c r="B4" s="31" t="s">
        <v>996</v>
      </c>
      <c r="C4" s="31" t="s">
        <v>997</v>
      </c>
      <c r="D4" s="31" t="s">
        <v>998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H103"/>
  <sheetViews>
    <sheetView showGridLines="0" workbookViewId="0">
      <pane ySplit="3" topLeftCell="A4" activePane="bottomLeft" state="frozen"/>
      <selection pane="bottomLeft" activeCell="E4" sqref="E4"/>
    </sheetView>
  </sheetViews>
  <sheetFormatPr defaultRowHeight="15" x14ac:dyDescent="0.25"/>
  <cols>
    <col min="1" max="1" width="12.5703125" style="31" bestFit="1" customWidth="1"/>
    <col min="2" max="2" width="94" style="31" bestFit="1" customWidth="1"/>
    <col min="3" max="3" width="5.5703125" style="31" bestFit="1" customWidth="1"/>
    <col min="4" max="4" width="10.5703125" style="31" bestFit="1" customWidth="1"/>
    <col min="5" max="5" width="9.5703125" style="31" bestFit="1" customWidth="1"/>
    <col min="6" max="6" width="9.7109375" style="31" bestFit="1" customWidth="1"/>
    <col min="7" max="7" width="11.7109375" style="31" bestFit="1" customWidth="1"/>
    <col min="8" max="8" width="4.5703125" bestFit="1" customWidth="1"/>
  </cols>
  <sheetData>
    <row r="1" spans="1:8" x14ac:dyDescent="0.25">
      <c r="A1" s="26" t="s">
        <v>968</v>
      </c>
      <c r="B1" s="26" t="s">
        <v>969</v>
      </c>
    </row>
    <row r="3" spans="1:8" x14ac:dyDescent="0.25">
      <c r="A3" s="67" t="s">
        <v>970</v>
      </c>
      <c r="B3" s="67" t="s">
        <v>971</v>
      </c>
      <c r="C3" s="67" t="s">
        <v>972</v>
      </c>
      <c r="D3" s="67" t="s">
        <v>941</v>
      </c>
      <c r="E3" s="67" t="s">
        <v>973</v>
      </c>
      <c r="F3" s="67" t="s">
        <v>974</v>
      </c>
      <c r="G3" s="67" t="s">
        <v>1009</v>
      </c>
      <c r="H3" s="69" t="s">
        <v>18</v>
      </c>
    </row>
    <row r="4" spans="1:8" x14ac:dyDescent="0.25">
      <c r="A4" s="84">
        <v>46292</v>
      </c>
      <c r="B4" s="83" t="s">
        <v>1008</v>
      </c>
      <c r="C4" s="83"/>
      <c r="D4" s="83" t="s">
        <v>18</v>
      </c>
      <c r="E4" s="78">
        <v>1</v>
      </c>
      <c r="F4" s="78" t="str">
        <f t="shared" ref="F4" si="0">IF(OR(C4="",E4=0),"",C4*E4)</f>
        <v/>
      </c>
      <c r="G4" s="83"/>
    </row>
    <row r="5" spans="1:8" x14ac:dyDescent="0.25">
      <c r="A5" s="83"/>
      <c r="B5" s="83"/>
      <c r="C5" s="83"/>
      <c r="D5" s="83"/>
      <c r="E5" s="78"/>
      <c r="F5" s="78"/>
      <c r="G5" s="83"/>
    </row>
    <row r="6" spans="1:8" x14ac:dyDescent="0.25">
      <c r="A6" s="83"/>
      <c r="B6" s="83"/>
      <c r="C6" s="83"/>
      <c r="D6" s="83"/>
      <c r="E6" s="78"/>
      <c r="F6" s="78"/>
      <c r="G6" s="83"/>
    </row>
    <row r="7" spans="1:8" x14ac:dyDescent="0.25">
      <c r="A7" s="83"/>
      <c r="B7" s="83"/>
      <c r="C7" s="83"/>
      <c r="D7" s="83"/>
      <c r="E7" s="78"/>
      <c r="F7" s="78"/>
      <c r="G7" s="83"/>
    </row>
    <row r="8" spans="1:8" x14ac:dyDescent="0.25">
      <c r="A8" s="83"/>
      <c r="B8" s="83"/>
      <c r="C8" s="83"/>
      <c r="D8" s="83"/>
      <c r="E8" s="78"/>
      <c r="F8" s="78"/>
      <c r="G8" s="83"/>
    </row>
    <row r="9" spans="1:8" x14ac:dyDescent="0.25">
      <c r="A9" s="83"/>
      <c r="B9" s="83"/>
      <c r="C9" s="83"/>
      <c r="D9" s="83"/>
      <c r="E9" s="78"/>
      <c r="F9" s="78"/>
      <c r="G9" s="83"/>
    </row>
    <row r="10" spans="1:8" x14ac:dyDescent="0.25">
      <c r="A10" s="83"/>
      <c r="B10" s="83"/>
      <c r="C10" s="83"/>
      <c r="D10" s="83"/>
      <c r="E10" s="78"/>
      <c r="F10" s="78"/>
      <c r="G10" s="83"/>
    </row>
    <row r="11" spans="1:8" x14ac:dyDescent="0.25">
      <c r="A11" s="83"/>
      <c r="B11" s="83"/>
      <c r="C11" s="83"/>
      <c r="D11" s="83"/>
      <c r="E11" s="78"/>
      <c r="F11" s="78"/>
      <c r="G11" s="83"/>
    </row>
    <row r="12" spans="1:8" x14ac:dyDescent="0.25">
      <c r="A12" s="83"/>
      <c r="B12" s="83"/>
      <c r="C12" s="83"/>
      <c r="D12" s="83"/>
      <c r="E12" s="78"/>
      <c r="F12" s="78"/>
      <c r="G12" s="83"/>
    </row>
    <row r="13" spans="1:8" x14ac:dyDescent="0.25">
      <c r="A13" s="83"/>
      <c r="B13" s="83"/>
      <c r="C13" s="83"/>
      <c r="D13" s="83"/>
      <c r="E13" s="78"/>
      <c r="F13" s="78"/>
      <c r="G13" s="83"/>
    </row>
    <row r="14" spans="1:8" x14ac:dyDescent="0.25">
      <c r="A14" s="83"/>
      <c r="B14" s="83"/>
      <c r="C14" s="83"/>
      <c r="D14" s="83"/>
      <c r="E14" s="78"/>
      <c r="F14" s="78"/>
      <c r="G14" s="83"/>
    </row>
    <row r="15" spans="1:8" x14ac:dyDescent="0.25">
      <c r="A15" s="83"/>
      <c r="B15" s="83"/>
      <c r="C15" s="83"/>
      <c r="D15" s="83"/>
      <c r="E15" s="78"/>
      <c r="F15" s="78"/>
      <c r="G15" s="83"/>
    </row>
    <row r="16" spans="1:8" x14ac:dyDescent="0.25">
      <c r="A16" s="83"/>
      <c r="B16" s="83"/>
      <c r="C16" s="83"/>
      <c r="D16" s="83"/>
      <c r="E16" s="78"/>
      <c r="F16" s="78"/>
      <c r="G16" s="83"/>
    </row>
    <row r="17" spans="1:7" x14ac:dyDescent="0.25">
      <c r="A17" s="83"/>
      <c r="B17" s="83"/>
      <c r="C17" s="83"/>
      <c r="D17" s="83"/>
      <c r="E17" s="78"/>
      <c r="F17" s="78"/>
      <c r="G17" s="83"/>
    </row>
    <row r="18" spans="1:7" x14ac:dyDescent="0.25">
      <c r="A18" s="83"/>
      <c r="B18" s="83"/>
      <c r="C18" s="83"/>
      <c r="D18" s="83"/>
      <c r="E18" s="78"/>
      <c r="F18" s="78"/>
      <c r="G18" s="83"/>
    </row>
    <row r="19" spans="1:7" x14ac:dyDescent="0.25">
      <c r="A19" s="83"/>
      <c r="B19" s="83"/>
      <c r="C19" s="83"/>
      <c r="D19" s="83"/>
      <c r="E19" s="78"/>
      <c r="F19" s="78"/>
      <c r="G19" s="83"/>
    </row>
    <row r="20" spans="1:7" x14ac:dyDescent="0.25">
      <c r="A20" s="83"/>
      <c r="B20" s="83"/>
      <c r="C20" s="83"/>
      <c r="D20" s="83"/>
      <c r="E20" s="78"/>
      <c r="F20" s="78"/>
      <c r="G20" s="83"/>
    </row>
    <row r="21" spans="1:7" x14ac:dyDescent="0.25">
      <c r="A21" s="83"/>
      <c r="B21" s="83"/>
      <c r="C21" s="83"/>
      <c r="D21" s="83"/>
      <c r="E21" s="78"/>
      <c r="F21" s="78"/>
      <c r="G21" s="83"/>
    </row>
    <row r="22" spans="1:7" x14ac:dyDescent="0.25">
      <c r="A22" s="83"/>
      <c r="B22" s="83"/>
      <c r="C22" s="83"/>
      <c r="D22" s="83"/>
      <c r="E22" s="78"/>
      <c r="F22" s="78"/>
      <c r="G22" s="83"/>
    </row>
    <row r="23" spans="1:7" x14ac:dyDescent="0.25">
      <c r="A23" s="83"/>
      <c r="B23" s="83"/>
      <c r="C23" s="83"/>
      <c r="D23" s="83"/>
      <c r="E23" s="78"/>
      <c r="F23" s="78"/>
      <c r="G23" s="83"/>
    </row>
    <row r="24" spans="1:7" x14ac:dyDescent="0.25">
      <c r="A24" s="83"/>
      <c r="B24" s="83"/>
      <c r="C24" s="83"/>
      <c r="D24" s="83"/>
      <c r="E24" s="78"/>
      <c r="F24" s="78"/>
      <c r="G24" s="83"/>
    </row>
    <row r="25" spans="1:7" x14ac:dyDescent="0.25">
      <c r="A25" s="83"/>
      <c r="B25" s="83"/>
      <c r="C25" s="83"/>
      <c r="D25" s="83"/>
      <c r="E25" s="78"/>
      <c r="F25" s="78"/>
      <c r="G25" s="83"/>
    </row>
    <row r="26" spans="1:7" x14ac:dyDescent="0.25">
      <c r="A26" s="83"/>
      <c r="B26" s="83"/>
      <c r="C26" s="83"/>
      <c r="D26" s="83"/>
      <c r="E26" s="78"/>
      <c r="F26" s="78"/>
      <c r="G26" s="83"/>
    </row>
    <row r="27" spans="1:7" x14ac:dyDescent="0.25">
      <c r="A27" s="83"/>
      <c r="B27" s="83"/>
      <c r="C27" s="83"/>
      <c r="D27" s="83"/>
      <c r="E27" s="78"/>
      <c r="F27" s="78"/>
      <c r="G27" s="83"/>
    </row>
    <row r="28" spans="1:7" x14ac:dyDescent="0.25">
      <c r="A28" s="83"/>
      <c r="B28" s="83"/>
      <c r="C28" s="83"/>
      <c r="D28" s="83"/>
      <c r="E28" s="78"/>
      <c r="F28" s="78"/>
      <c r="G28" s="83"/>
    </row>
    <row r="29" spans="1:7" x14ac:dyDescent="0.25">
      <c r="A29" s="83"/>
      <c r="B29" s="83"/>
      <c r="C29" s="83"/>
      <c r="D29" s="83"/>
      <c r="E29" s="78"/>
      <c r="F29" s="78"/>
      <c r="G29" s="83"/>
    </row>
    <row r="30" spans="1:7" x14ac:dyDescent="0.25">
      <c r="A30" s="83"/>
      <c r="B30" s="83"/>
      <c r="C30" s="83"/>
      <c r="D30" s="83"/>
      <c r="E30" s="78"/>
      <c r="F30" s="78"/>
      <c r="G30" s="83"/>
    </row>
    <row r="31" spans="1:7" x14ac:dyDescent="0.25">
      <c r="A31" s="83"/>
      <c r="B31" s="83"/>
      <c r="C31" s="83"/>
      <c r="D31" s="83"/>
      <c r="E31" s="78"/>
      <c r="F31" s="78"/>
      <c r="G31" s="83"/>
    </row>
    <row r="32" spans="1:7" x14ac:dyDescent="0.25">
      <c r="A32" s="83"/>
      <c r="B32" s="83"/>
      <c r="C32" s="83"/>
      <c r="D32" s="83"/>
      <c r="E32" s="78"/>
      <c r="F32" s="78"/>
      <c r="G32" s="83"/>
    </row>
    <row r="33" spans="1:7" x14ac:dyDescent="0.25">
      <c r="A33" s="83"/>
      <c r="B33" s="83"/>
      <c r="C33" s="83"/>
      <c r="D33" s="83"/>
      <c r="E33" s="78"/>
      <c r="F33" s="78"/>
      <c r="G33" s="83"/>
    </row>
    <row r="34" spans="1:7" x14ac:dyDescent="0.25">
      <c r="A34" s="83"/>
      <c r="B34" s="83"/>
      <c r="C34" s="83"/>
      <c r="D34" s="83"/>
      <c r="E34" s="78"/>
      <c r="F34" s="78"/>
      <c r="G34" s="83"/>
    </row>
    <row r="35" spans="1:7" x14ac:dyDescent="0.25">
      <c r="A35" s="83"/>
      <c r="B35" s="83"/>
      <c r="C35" s="83"/>
      <c r="D35" s="83"/>
      <c r="E35" s="78"/>
      <c r="F35" s="78"/>
      <c r="G35" s="83"/>
    </row>
    <row r="36" spans="1:7" x14ac:dyDescent="0.25">
      <c r="A36" s="83"/>
      <c r="B36" s="83"/>
      <c r="C36" s="83"/>
      <c r="D36" s="83"/>
      <c r="E36" s="78"/>
      <c r="F36" s="78"/>
      <c r="G36" s="83"/>
    </row>
    <row r="37" spans="1:7" x14ac:dyDescent="0.25">
      <c r="A37" s="83"/>
      <c r="B37" s="83"/>
      <c r="C37" s="83"/>
      <c r="D37" s="83"/>
      <c r="E37" s="78"/>
      <c r="F37" s="78"/>
      <c r="G37" s="83"/>
    </row>
    <row r="38" spans="1:7" x14ac:dyDescent="0.25">
      <c r="A38" s="83"/>
      <c r="B38" s="83"/>
      <c r="C38" s="83"/>
      <c r="D38" s="83"/>
      <c r="E38" s="78"/>
      <c r="F38" s="78"/>
      <c r="G38" s="83"/>
    </row>
    <row r="39" spans="1:7" x14ac:dyDescent="0.25">
      <c r="A39" s="83"/>
      <c r="B39" s="83"/>
      <c r="C39" s="83"/>
      <c r="D39" s="83"/>
      <c r="E39" s="78"/>
      <c r="F39" s="78"/>
      <c r="G39" s="83"/>
    </row>
    <row r="40" spans="1:7" x14ac:dyDescent="0.25">
      <c r="A40" s="83"/>
      <c r="B40" s="83"/>
      <c r="C40" s="83"/>
      <c r="D40" s="83"/>
      <c r="E40" s="78"/>
      <c r="F40" s="78"/>
      <c r="G40" s="83"/>
    </row>
    <row r="41" spans="1:7" x14ac:dyDescent="0.25">
      <c r="A41" s="83"/>
      <c r="B41" s="83"/>
      <c r="C41" s="83"/>
      <c r="D41" s="83"/>
      <c r="E41" s="78"/>
      <c r="F41" s="78"/>
      <c r="G41" s="83"/>
    </row>
    <row r="42" spans="1:7" x14ac:dyDescent="0.25">
      <c r="A42" s="83"/>
      <c r="B42" s="83"/>
      <c r="C42" s="83"/>
      <c r="D42" s="83"/>
      <c r="E42" s="78"/>
      <c r="F42" s="78"/>
      <c r="G42" s="83"/>
    </row>
    <row r="43" spans="1:7" x14ac:dyDescent="0.25">
      <c r="A43" s="83"/>
      <c r="B43" s="83"/>
      <c r="C43" s="83"/>
      <c r="D43" s="83"/>
      <c r="E43" s="78"/>
      <c r="F43" s="78"/>
      <c r="G43" s="83"/>
    </row>
    <row r="44" spans="1:7" x14ac:dyDescent="0.25">
      <c r="A44" s="83"/>
      <c r="B44" s="83"/>
      <c r="C44" s="83"/>
      <c r="D44" s="83"/>
      <c r="E44" s="78"/>
      <c r="F44" s="78"/>
      <c r="G44" s="83"/>
    </row>
    <row r="45" spans="1:7" x14ac:dyDescent="0.25">
      <c r="A45" s="83"/>
      <c r="B45" s="83"/>
      <c r="C45" s="83"/>
      <c r="D45" s="83"/>
      <c r="E45" s="78"/>
      <c r="F45" s="78"/>
      <c r="G45" s="83"/>
    </row>
    <row r="46" spans="1:7" x14ac:dyDescent="0.25">
      <c r="A46" s="83"/>
      <c r="B46" s="83"/>
      <c r="C46" s="83"/>
      <c r="D46" s="83"/>
      <c r="E46" s="78"/>
      <c r="F46" s="78"/>
      <c r="G46" s="83"/>
    </row>
    <row r="47" spans="1:7" x14ac:dyDescent="0.25">
      <c r="A47" s="83"/>
      <c r="B47" s="83"/>
      <c r="C47" s="83"/>
      <c r="D47" s="83"/>
      <c r="E47" s="78"/>
      <c r="F47" s="78"/>
      <c r="G47" s="83"/>
    </row>
    <row r="48" spans="1:7" x14ac:dyDescent="0.25">
      <c r="A48" s="83"/>
      <c r="B48" s="83"/>
      <c r="C48" s="83"/>
      <c r="D48" s="83"/>
      <c r="E48" s="78"/>
      <c r="F48" s="78"/>
      <c r="G48" s="83"/>
    </row>
    <row r="49" spans="1:7" x14ac:dyDescent="0.25">
      <c r="A49" s="83"/>
      <c r="B49" s="83"/>
      <c r="C49" s="83"/>
      <c r="D49" s="83"/>
      <c r="E49" s="78"/>
      <c r="F49" s="78"/>
      <c r="G49" s="83"/>
    </row>
    <row r="50" spans="1:7" x14ac:dyDescent="0.25">
      <c r="A50" s="83"/>
      <c r="B50" s="83"/>
      <c r="C50" s="83"/>
      <c r="D50" s="83"/>
      <c r="E50" s="78"/>
      <c r="F50" s="78"/>
      <c r="G50" s="83"/>
    </row>
    <row r="51" spans="1:7" x14ac:dyDescent="0.25">
      <c r="A51" s="83"/>
      <c r="B51" s="83"/>
      <c r="C51" s="83"/>
      <c r="D51" s="83"/>
      <c r="E51" s="78"/>
      <c r="F51" s="78"/>
      <c r="G51" s="83"/>
    </row>
    <row r="52" spans="1:7" x14ac:dyDescent="0.25">
      <c r="A52" s="83"/>
      <c r="B52" s="83"/>
      <c r="C52" s="83"/>
      <c r="D52" s="83"/>
      <c r="E52" s="78"/>
      <c r="F52" s="78"/>
      <c r="G52" s="83"/>
    </row>
    <row r="53" spans="1:7" x14ac:dyDescent="0.25">
      <c r="A53" s="83"/>
      <c r="B53" s="83"/>
      <c r="C53" s="83"/>
      <c r="D53" s="83"/>
      <c r="E53" s="78"/>
      <c r="F53" s="78"/>
      <c r="G53" s="83"/>
    </row>
    <row r="54" spans="1:7" x14ac:dyDescent="0.25">
      <c r="A54" s="83"/>
      <c r="B54" s="83"/>
      <c r="C54" s="83"/>
      <c r="D54" s="83"/>
      <c r="E54" s="78"/>
      <c r="F54" s="78"/>
      <c r="G54" s="83"/>
    </row>
    <row r="55" spans="1:7" x14ac:dyDescent="0.25">
      <c r="A55" s="83"/>
      <c r="B55" s="83"/>
      <c r="C55" s="83"/>
      <c r="D55" s="83"/>
      <c r="E55" s="78"/>
      <c r="F55" s="78"/>
      <c r="G55" s="83"/>
    </row>
    <row r="56" spans="1:7" x14ac:dyDescent="0.25">
      <c r="A56" s="83"/>
      <c r="B56" s="83"/>
      <c r="C56" s="83"/>
      <c r="D56" s="83"/>
      <c r="E56" s="78"/>
      <c r="F56" s="78"/>
      <c r="G56" s="83"/>
    </row>
    <row r="57" spans="1:7" x14ac:dyDescent="0.25">
      <c r="A57" s="83"/>
      <c r="B57" s="83"/>
      <c r="C57" s="83"/>
      <c r="D57" s="83"/>
      <c r="E57" s="78"/>
      <c r="F57" s="78"/>
      <c r="G57" s="83"/>
    </row>
    <row r="58" spans="1:7" x14ac:dyDescent="0.25">
      <c r="A58" s="83"/>
      <c r="B58" s="83"/>
      <c r="C58" s="83"/>
      <c r="D58" s="83"/>
      <c r="E58" s="78"/>
      <c r="F58" s="78"/>
      <c r="G58" s="83"/>
    </row>
    <row r="59" spans="1:7" x14ac:dyDescent="0.25">
      <c r="A59" s="83"/>
      <c r="B59" s="83"/>
      <c r="C59" s="83"/>
      <c r="D59" s="83"/>
      <c r="E59" s="78"/>
      <c r="F59" s="78"/>
      <c r="G59" s="83"/>
    </row>
    <row r="60" spans="1:7" x14ac:dyDescent="0.25">
      <c r="A60" s="83"/>
      <c r="B60" s="83"/>
      <c r="C60" s="83"/>
      <c r="D60" s="83"/>
      <c r="E60" s="78"/>
      <c r="F60" s="78"/>
      <c r="G60" s="83"/>
    </row>
    <row r="61" spans="1:7" x14ac:dyDescent="0.25">
      <c r="A61" s="83"/>
      <c r="B61" s="83"/>
      <c r="C61" s="83"/>
      <c r="D61" s="83"/>
      <c r="E61" s="78"/>
      <c r="F61" s="78"/>
      <c r="G61" s="83"/>
    </row>
    <row r="62" spans="1:7" x14ac:dyDescent="0.25">
      <c r="A62" s="83"/>
      <c r="B62" s="83"/>
      <c r="C62" s="83"/>
      <c r="D62" s="83"/>
      <c r="E62" s="78"/>
      <c r="F62" s="78"/>
      <c r="G62" s="83"/>
    </row>
    <row r="63" spans="1:7" x14ac:dyDescent="0.25">
      <c r="A63" s="83"/>
      <c r="B63" s="83"/>
      <c r="C63" s="83"/>
      <c r="D63" s="83"/>
      <c r="E63" s="78"/>
      <c r="F63" s="78"/>
      <c r="G63" s="83"/>
    </row>
    <row r="64" spans="1:7" x14ac:dyDescent="0.25">
      <c r="A64" s="83"/>
      <c r="B64" s="83"/>
      <c r="C64" s="83"/>
      <c r="D64" s="83"/>
      <c r="E64" s="78"/>
      <c r="F64" s="78"/>
      <c r="G64" s="83"/>
    </row>
    <row r="65" spans="1:7" x14ac:dyDescent="0.25">
      <c r="A65" s="83"/>
      <c r="B65" s="83"/>
      <c r="C65" s="83"/>
      <c r="D65" s="83"/>
      <c r="E65" s="78"/>
      <c r="F65" s="78"/>
      <c r="G65" s="83"/>
    </row>
    <row r="66" spans="1:7" x14ac:dyDescent="0.25">
      <c r="A66" s="83"/>
      <c r="B66" s="83"/>
      <c r="C66" s="83"/>
      <c r="D66" s="83"/>
      <c r="E66" s="78"/>
      <c r="F66" s="78"/>
      <c r="G66" s="83"/>
    </row>
    <row r="67" spans="1:7" x14ac:dyDescent="0.25">
      <c r="A67" s="83"/>
      <c r="B67" s="83"/>
      <c r="C67" s="83"/>
      <c r="D67" s="83"/>
      <c r="E67" s="78"/>
      <c r="F67" s="78"/>
      <c r="G67" s="83"/>
    </row>
    <row r="68" spans="1:7" x14ac:dyDescent="0.25">
      <c r="A68" s="83"/>
      <c r="B68" s="83"/>
      <c r="C68" s="83"/>
      <c r="D68" s="83"/>
      <c r="E68" s="78"/>
      <c r="F68" s="78"/>
      <c r="G68" s="83"/>
    </row>
    <row r="69" spans="1:7" x14ac:dyDescent="0.25">
      <c r="A69" s="83"/>
      <c r="B69" s="83"/>
      <c r="C69" s="83"/>
      <c r="D69" s="83"/>
      <c r="E69" s="78"/>
      <c r="F69" s="78"/>
      <c r="G69" s="83"/>
    </row>
    <row r="70" spans="1:7" x14ac:dyDescent="0.25">
      <c r="A70" s="83"/>
      <c r="B70" s="83"/>
      <c r="C70" s="83"/>
      <c r="D70" s="83"/>
      <c r="E70" s="78"/>
      <c r="F70" s="78"/>
      <c r="G70" s="83"/>
    </row>
    <row r="71" spans="1:7" x14ac:dyDescent="0.25">
      <c r="A71" s="83"/>
      <c r="B71" s="83"/>
      <c r="C71" s="83"/>
      <c r="D71" s="83"/>
      <c r="E71" s="78"/>
      <c r="F71" s="78"/>
      <c r="G71" s="83"/>
    </row>
    <row r="72" spans="1:7" x14ac:dyDescent="0.25">
      <c r="A72" s="83"/>
      <c r="B72" s="83"/>
      <c r="C72" s="83"/>
      <c r="D72" s="83"/>
      <c r="E72" s="78"/>
      <c r="F72" s="78"/>
      <c r="G72" s="83"/>
    </row>
    <row r="73" spans="1:7" x14ac:dyDescent="0.25">
      <c r="A73" s="83"/>
      <c r="B73" s="83"/>
      <c r="C73" s="83"/>
      <c r="D73" s="83"/>
      <c r="E73" s="78"/>
      <c r="F73" s="78"/>
      <c r="G73" s="83"/>
    </row>
    <row r="74" spans="1:7" x14ac:dyDescent="0.25">
      <c r="A74" s="83"/>
      <c r="B74" s="83"/>
      <c r="C74" s="83"/>
      <c r="D74" s="83"/>
      <c r="E74" s="78"/>
      <c r="F74" s="78"/>
      <c r="G74" s="83"/>
    </row>
    <row r="75" spans="1:7" x14ac:dyDescent="0.25">
      <c r="A75" s="83"/>
      <c r="B75" s="83"/>
      <c r="C75" s="83"/>
      <c r="D75" s="83"/>
      <c r="E75" s="78"/>
      <c r="F75" s="78"/>
      <c r="G75" s="83"/>
    </row>
    <row r="76" spans="1:7" x14ac:dyDescent="0.25">
      <c r="A76" s="83"/>
      <c r="B76" s="83"/>
      <c r="C76" s="83"/>
      <c r="D76" s="83"/>
      <c r="E76" s="78"/>
      <c r="F76" s="78"/>
      <c r="G76" s="83"/>
    </row>
    <row r="77" spans="1:7" x14ac:dyDescent="0.25">
      <c r="A77" s="83"/>
      <c r="B77" s="83"/>
      <c r="C77" s="83"/>
      <c r="D77" s="83"/>
      <c r="E77" s="78"/>
      <c r="F77" s="78"/>
      <c r="G77" s="83"/>
    </row>
    <row r="78" spans="1:7" x14ac:dyDescent="0.25">
      <c r="A78" s="83"/>
      <c r="B78" s="83"/>
      <c r="C78" s="83"/>
      <c r="D78" s="83"/>
      <c r="E78" s="78"/>
      <c r="F78" s="78"/>
      <c r="G78" s="83"/>
    </row>
    <row r="79" spans="1:7" x14ac:dyDescent="0.25">
      <c r="A79" s="83"/>
      <c r="B79" s="83"/>
      <c r="C79" s="83"/>
      <c r="D79" s="83"/>
      <c r="E79" s="78"/>
      <c r="F79" s="78"/>
      <c r="G79" s="83"/>
    </row>
    <row r="80" spans="1:7" x14ac:dyDescent="0.25">
      <c r="A80" s="83"/>
      <c r="B80" s="83"/>
      <c r="C80" s="83"/>
      <c r="D80" s="83"/>
      <c r="E80" s="78"/>
      <c r="F80" s="78"/>
      <c r="G80" s="83"/>
    </row>
    <row r="81" spans="1:7" x14ac:dyDescent="0.25">
      <c r="A81" s="83"/>
      <c r="B81" s="83"/>
      <c r="C81" s="83"/>
      <c r="D81" s="83"/>
      <c r="E81" s="78"/>
      <c r="F81" s="78"/>
      <c r="G81" s="83"/>
    </row>
    <row r="82" spans="1:7" x14ac:dyDescent="0.25">
      <c r="A82" s="83"/>
      <c r="B82" s="83"/>
      <c r="C82" s="83"/>
      <c r="D82" s="83"/>
      <c r="E82" s="78"/>
      <c r="F82" s="78"/>
      <c r="G82" s="83"/>
    </row>
    <row r="83" spans="1:7" x14ac:dyDescent="0.25">
      <c r="A83" s="83"/>
      <c r="B83" s="83"/>
      <c r="C83" s="83"/>
      <c r="D83" s="83"/>
      <c r="E83" s="78"/>
      <c r="F83" s="78"/>
      <c r="G83" s="83"/>
    </row>
    <row r="84" spans="1:7" x14ac:dyDescent="0.25">
      <c r="A84" s="83"/>
      <c r="B84" s="83"/>
      <c r="C84" s="83"/>
      <c r="D84" s="83"/>
      <c r="E84" s="78"/>
      <c r="F84" s="78"/>
      <c r="G84" s="83"/>
    </row>
    <row r="85" spans="1:7" x14ac:dyDescent="0.25">
      <c r="A85" s="83"/>
      <c r="B85" s="83"/>
      <c r="C85" s="83"/>
      <c r="D85" s="83"/>
      <c r="E85" s="78"/>
      <c r="F85" s="78"/>
      <c r="G85" s="83"/>
    </row>
    <row r="86" spans="1:7" x14ac:dyDescent="0.25">
      <c r="A86" s="83"/>
      <c r="B86" s="83"/>
      <c r="C86" s="83"/>
      <c r="D86" s="83"/>
      <c r="E86" s="78"/>
      <c r="F86" s="78"/>
      <c r="G86" s="83"/>
    </row>
    <row r="87" spans="1:7" x14ac:dyDescent="0.25">
      <c r="A87" s="83"/>
      <c r="B87" s="83"/>
      <c r="C87" s="83"/>
      <c r="D87" s="83"/>
      <c r="E87" s="78"/>
      <c r="F87" s="78"/>
      <c r="G87" s="83"/>
    </row>
    <row r="88" spans="1:7" x14ac:dyDescent="0.25">
      <c r="A88" s="83"/>
      <c r="B88" s="83"/>
      <c r="C88" s="83"/>
      <c r="D88" s="83"/>
      <c r="E88" s="78"/>
      <c r="F88" s="78"/>
      <c r="G88" s="83"/>
    </row>
    <row r="89" spans="1:7" x14ac:dyDescent="0.25">
      <c r="A89" s="83"/>
      <c r="B89" s="83"/>
      <c r="C89" s="83"/>
      <c r="D89" s="83"/>
      <c r="E89" s="78"/>
      <c r="F89" s="78"/>
      <c r="G89" s="83"/>
    </row>
    <row r="90" spans="1:7" x14ac:dyDescent="0.25">
      <c r="A90" s="83"/>
      <c r="B90" s="83"/>
      <c r="C90" s="83"/>
      <c r="D90" s="83"/>
      <c r="E90" s="78"/>
      <c r="F90" s="78"/>
      <c r="G90" s="83"/>
    </row>
    <row r="91" spans="1:7" x14ac:dyDescent="0.25">
      <c r="A91" s="83"/>
      <c r="B91" s="83"/>
      <c r="C91" s="83"/>
      <c r="D91" s="83"/>
      <c r="E91" s="78"/>
      <c r="F91" s="78"/>
      <c r="G91" s="83"/>
    </row>
    <row r="92" spans="1:7" x14ac:dyDescent="0.25">
      <c r="A92" s="83"/>
      <c r="B92" s="83"/>
      <c r="C92" s="83"/>
      <c r="D92" s="83"/>
      <c r="E92" s="78"/>
      <c r="F92" s="78"/>
      <c r="G92" s="83"/>
    </row>
    <row r="93" spans="1:7" x14ac:dyDescent="0.25">
      <c r="A93" s="83"/>
      <c r="B93" s="83"/>
      <c r="C93" s="83"/>
      <c r="D93" s="83"/>
      <c r="E93" s="78"/>
      <c r="F93" s="78"/>
      <c r="G93" s="83"/>
    </row>
    <row r="94" spans="1:7" x14ac:dyDescent="0.25">
      <c r="A94" s="83"/>
      <c r="B94" s="83"/>
      <c r="C94" s="83"/>
      <c r="D94" s="83"/>
      <c r="E94" s="78"/>
      <c r="F94" s="78"/>
      <c r="G94" s="83"/>
    </row>
    <row r="95" spans="1:7" x14ac:dyDescent="0.25">
      <c r="A95" s="83"/>
      <c r="B95" s="83"/>
      <c r="C95" s="83"/>
      <c r="D95" s="83"/>
      <c r="E95" s="78"/>
      <c r="F95" s="78"/>
      <c r="G95" s="83"/>
    </row>
    <row r="96" spans="1:7" x14ac:dyDescent="0.25">
      <c r="A96" s="83"/>
      <c r="B96" s="83"/>
      <c r="C96" s="83"/>
      <c r="D96" s="83"/>
      <c r="E96" s="78"/>
      <c r="F96" s="78"/>
      <c r="G96" s="83"/>
    </row>
    <row r="97" spans="1:7" x14ac:dyDescent="0.25">
      <c r="A97" s="83"/>
      <c r="B97" s="83"/>
      <c r="C97" s="83"/>
      <c r="D97" s="83"/>
      <c r="E97" s="78"/>
      <c r="F97" s="78"/>
      <c r="G97" s="83"/>
    </row>
    <row r="98" spans="1:7" x14ac:dyDescent="0.25">
      <c r="A98" s="83"/>
      <c r="B98" s="83"/>
      <c r="C98" s="83"/>
      <c r="D98" s="83"/>
      <c r="E98" s="78"/>
      <c r="F98" s="78"/>
      <c r="G98" s="83"/>
    </row>
    <row r="99" spans="1:7" x14ac:dyDescent="0.25">
      <c r="A99" s="83"/>
      <c r="B99" s="83"/>
      <c r="C99" s="83"/>
      <c r="D99" s="83"/>
      <c r="E99" s="78"/>
      <c r="F99" s="78"/>
      <c r="G99" s="83"/>
    </row>
    <row r="100" spans="1:7" x14ac:dyDescent="0.25">
      <c r="A100" s="83"/>
      <c r="B100" s="83"/>
      <c r="C100" s="83"/>
      <c r="D100" s="83"/>
      <c r="E100" s="78"/>
      <c r="F100" s="78"/>
      <c r="G100" s="83"/>
    </row>
    <row r="101" spans="1:7" x14ac:dyDescent="0.25">
      <c r="A101" s="83"/>
      <c r="B101" s="83"/>
      <c r="C101" s="83"/>
      <c r="D101" s="83"/>
      <c r="E101" s="78"/>
      <c r="F101" s="78"/>
      <c r="G101" s="83"/>
    </row>
    <row r="102" spans="1:7" x14ac:dyDescent="0.25">
      <c r="A102" s="83"/>
      <c r="B102" s="83"/>
      <c r="C102" s="83"/>
      <c r="D102" s="83"/>
      <c r="E102" s="78"/>
      <c r="F102" s="78"/>
      <c r="G102" s="83"/>
    </row>
    <row r="103" spans="1:7" x14ac:dyDescent="0.25">
      <c r="A103" s="83"/>
      <c r="B103" s="83"/>
      <c r="C103" s="83"/>
      <c r="D103" s="83"/>
      <c r="E103" s="78"/>
      <c r="F103" s="78"/>
      <c r="G103" s="83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249977111117893"/>
  </sheetPr>
  <dimension ref="A1:C13"/>
  <sheetViews>
    <sheetView showGridLines="0" workbookViewId="0">
      <pane ySplit="4" topLeftCell="A5" activePane="bottomLeft" state="frozen"/>
      <selection pane="bottomLeft" activeCell="I17" sqref="I17"/>
    </sheetView>
  </sheetViews>
  <sheetFormatPr defaultRowHeight="15" x14ac:dyDescent="0.25"/>
  <cols>
    <col min="1" max="1" width="14" style="31" customWidth="1"/>
    <col min="2" max="2" width="20" style="31" customWidth="1"/>
    <col min="3" max="3" width="28" style="31" customWidth="1"/>
  </cols>
  <sheetData>
    <row r="1" spans="1:3" x14ac:dyDescent="0.25">
      <c r="A1" s="26" t="s">
        <v>975</v>
      </c>
      <c r="B1" s="26" t="s">
        <v>976</v>
      </c>
    </row>
    <row r="3" spans="1:3" x14ac:dyDescent="0.25">
      <c r="A3" s="81" t="s">
        <v>941</v>
      </c>
      <c r="B3" s="81" t="s">
        <v>942</v>
      </c>
      <c r="C3" s="81" t="s">
        <v>977</v>
      </c>
    </row>
    <row r="4" spans="1:3" ht="5.25" customHeight="1" x14ac:dyDescent="0.25">
      <c r="A4" s="82"/>
      <c r="B4" s="82"/>
      <c r="C4" s="82"/>
    </row>
    <row r="5" spans="1:3" x14ac:dyDescent="0.25">
      <c r="A5" s="78" t="s">
        <v>18</v>
      </c>
      <c r="B5" s="83">
        <v>1</v>
      </c>
      <c r="C5" s="78" t="s">
        <v>978</v>
      </c>
    </row>
    <row r="6" spans="1:3" x14ac:dyDescent="0.25">
      <c r="A6" s="78" t="s">
        <v>83</v>
      </c>
      <c r="B6" s="83"/>
      <c r="C6" s="78" t="s">
        <v>979</v>
      </c>
    </row>
    <row r="7" spans="1:3" x14ac:dyDescent="0.25">
      <c r="A7" s="78" t="s">
        <v>980</v>
      </c>
      <c r="B7" s="83"/>
      <c r="C7" s="78" t="s">
        <v>981</v>
      </c>
    </row>
    <row r="8" spans="1:3" x14ac:dyDescent="0.25">
      <c r="A8" s="78" t="s">
        <v>982</v>
      </c>
      <c r="B8" s="83"/>
      <c r="C8" s="78" t="s">
        <v>983</v>
      </c>
    </row>
    <row r="9" spans="1:3" x14ac:dyDescent="0.25">
      <c r="A9" s="78" t="s">
        <v>984</v>
      </c>
      <c r="B9" s="83"/>
      <c r="C9" s="78" t="s">
        <v>985</v>
      </c>
    </row>
    <row r="10" spans="1:3" x14ac:dyDescent="0.25">
      <c r="A10" s="78" t="s">
        <v>986</v>
      </c>
      <c r="B10" s="83"/>
      <c r="C10" s="78" t="s">
        <v>987</v>
      </c>
    </row>
    <row r="11" spans="1:3" x14ac:dyDescent="0.25">
      <c r="A11" s="78" t="s">
        <v>988</v>
      </c>
      <c r="B11" s="83"/>
      <c r="C11" s="78" t="s">
        <v>989</v>
      </c>
    </row>
    <row r="12" spans="1:3" x14ac:dyDescent="0.25">
      <c r="A12" s="78" t="s">
        <v>990</v>
      </c>
      <c r="B12" s="83"/>
      <c r="C12" s="78" t="s">
        <v>991</v>
      </c>
    </row>
    <row r="13" spans="1:3" x14ac:dyDescent="0.25">
      <c r="A13" s="78" t="s">
        <v>992</v>
      </c>
      <c r="B13" s="83"/>
      <c r="C13" s="78" t="s">
        <v>993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15"/>
  <sheetViews>
    <sheetView showGridLines="0" workbookViewId="0">
      <selection activeCell="A3" sqref="A3:B8"/>
    </sheetView>
  </sheetViews>
  <sheetFormatPr defaultRowHeight="15" x14ac:dyDescent="0.25"/>
  <cols>
    <col min="1" max="1" width="37.42578125" customWidth="1"/>
    <col min="2" max="2" width="20.42578125" customWidth="1"/>
  </cols>
  <sheetData>
    <row r="1" spans="1:2" ht="19.5" thickBot="1" x14ac:dyDescent="0.3">
      <c r="A1" s="126" t="s">
        <v>1032</v>
      </c>
      <c r="B1" s="127"/>
    </row>
    <row r="2" spans="1:2" x14ac:dyDescent="0.25">
      <c r="A2" s="91"/>
      <c r="B2" s="92"/>
    </row>
    <row r="3" spans="1:2" x14ac:dyDescent="0.25">
      <c r="A3" s="91" t="s">
        <v>1040</v>
      </c>
      <c r="B3" s="92" t="s">
        <v>1034</v>
      </c>
    </row>
    <row r="4" spans="1:2" x14ac:dyDescent="0.25">
      <c r="A4" s="91" t="s">
        <v>1041</v>
      </c>
      <c r="B4" s="92" t="s">
        <v>1033</v>
      </c>
    </row>
    <row r="5" spans="1:2" x14ac:dyDescent="0.25">
      <c r="A5" s="91" t="s">
        <v>1042</v>
      </c>
      <c r="B5" s="92" t="s">
        <v>1048</v>
      </c>
    </row>
    <row r="6" spans="1:2" x14ac:dyDescent="0.25">
      <c r="A6" s="91" t="s">
        <v>1043</v>
      </c>
      <c r="B6" s="93">
        <v>46296</v>
      </c>
    </row>
    <row r="7" spans="1:2" x14ac:dyDescent="0.25">
      <c r="A7" s="91" t="s">
        <v>1044</v>
      </c>
      <c r="B7" s="93">
        <v>46296</v>
      </c>
    </row>
    <row r="8" spans="1:2" x14ac:dyDescent="0.25">
      <c r="A8" s="91" t="s">
        <v>1045</v>
      </c>
      <c r="B8" s="93">
        <v>46296</v>
      </c>
    </row>
    <row r="9" spans="1:2" x14ac:dyDescent="0.25">
      <c r="A9" s="91"/>
      <c r="B9" s="92"/>
    </row>
    <row r="10" spans="1:2" x14ac:dyDescent="0.25">
      <c r="A10" s="91" t="s">
        <v>1046</v>
      </c>
      <c r="B10" s="92"/>
    </row>
    <row r="11" spans="1:2" x14ac:dyDescent="0.25">
      <c r="A11" s="91"/>
      <c r="B11" s="92"/>
    </row>
    <row r="12" spans="1:2" x14ac:dyDescent="0.25">
      <c r="A12" s="91" t="s">
        <v>1047</v>
      </c>
      <c r="B12" s="92"/>
    </row>
    <row r="13" spans="1:2" x14ac:dyDescent="0.25">
      <c r="A13" s="91"/>
      <c r="B13" s="92"/>
    </row>
    <row r="14" spans="1:2" x14ac:dyDescent="0.25">
      <c r="A14" s="91"/>
      <c r="B14" s="92"/>
    </row>
    <row r="15" spans="1:2" ht="15.75" thickBot="1" x14ac:dyDescent="0.3">
      <c r="A15" s="94"/>
      <c r="B15" s="95"/>
    </row>
  </sheetData>
  <mergeCells count="1">
    <mergeCell ref="A1:B1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J405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2.42578125" style="31" bestFit="1" customWidth="1"/>
    <col min="2" max="2" width="30.7109375" style="31" customWidth="1"/>
    <col min="3" max="3" width="25.140625" style="31" bestFit="1" customWidth="1"/>
    <col min="4" max="4" width="13.5703125" style="31" bestFit="1" customWidth="1"/>
    <col min="5" max="5" width="12.7109375" style="31" bestFit="1" customWidth="1"/>
    <col min="6" max="6" width="9" bestFit="1" customWidth="1"/>
    <col min="8" max="9" width="8.140625" bestFit="1" customWidth="1"/>
    <col min="10" max="10" width="25.7109375" customWidth="1"/>
  </cols>
  <sheetData>
    <row r="1" spans="1:10" ht="21" x14ac:dyDescent="0.25">
      <c r="A1" s="128" t="s">
        <v>1010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x14ac:dyDescent="0.25">
      <c r="A2" s="26"/>
      <c r="B2" s="76"/>
    </row>
    <row r="4" spans="1:10" ht="30" x14ac:dyDescent="0.25">
      <c r="A4" s="80" t="s">
        <v>995</v>
      </c>
      <c r="B4" s="80" t="s">
        <v>1011</v>
      </c>
      <c r="C4" s="80" t="s">
        <v>1000</v>
      </c>
      <c r="D4" s="80" t="s">
        <v>1001</v>
      </c>
      <c r="E4" s="80" t="s">
        <v>1002</v>
      </c>
      <c r="F4" s="77" t="s">
        <v>1003</v>
      </c>
      <c r="G4" s="77" t="s">
        <v>1004</v>
      </c>
      <c r="H4" s="77" t="s">
        <v>1005</v>
      </c>
      <c r="I4" s="77" t="s">
        <v>1006</v>
      </c>
      <c r="J4" s="77" t="s">
        <v>1007</v>
      </c>
    </row>
    <row r="5" spans="1:10" x14ac:dyDescent="0.25">
      <c r="A5" s="78">
        <v>1010010</v>
      </c>
      <c r="B5" s="78" t="s">
        <v>106</v>
      </c>
      <c r="C5" s="78" t="s">
        <v>35</v>
      </c>
      <c r="D5" s="78">
        <v>0</v>
      </c>
      <c r="E5" s="78">
        <v>0</v>
      </c>
      <c r="F5" s="78">
        <v>0</v>
      </c>
      <c r="G5" s="79">
        <v>0</v>
      </c>
      <c r="H5" s="78">
        <v>0</v>
      </c>
      <c r="I5" s="78">
        <v>0</v>
      </c>
      <c r="J5" s="78"/>
    </row>
    <row r="6" spans="1:10" x14ac:dyDescent="0.25">
      <c r="A6" s="78">
        <v>1010015</v>
      </c>
      <c r="B6" s="78" t="s">
        <v>109</v>
      </c>
      <c r="C6" s="78" t="s">
        <v>35</v>
      </c>
      <c r="D6" s="78">
        <v>0</v>
      </c>
      <c r="E6" s="78">
        <v>0</v>
      </c>
      <c r="F6" s="78">
        <v>0</v>
      </c>
      <c r="G6" s="79">
        <v>0</v>
      </c>
      <c r="H6" s="78">
        <v>0</v>
      </c>
      <c r="I6" s="78">
        <v>0</v>
      </c>
      <c r="J6" s="78"/>
    </row>
    <row r="7" spans="1:10" x14ac:dyDescent="0.25">
      <c r="A7" s="78">
        <v>1010030</v>
      </c>
      <c r="B7" s="78" t="s">
        <v>111</v>
      </c>
      <c r="C7" s="78" t="s">
        <v>35</v>
      </c>
      <c r="D7" s="78">
        <v>0</v>
      </c>
      <c r="E7" s="78">
        <v>0</v>
      </c>
      <c r="F7" s="78">
        <v>0</v>
      </c>
      <c r="G7" s="79">
        <v>0</v>
      </c>
      <c r="H7" s="78">
        <v>0</v>
      </c>
      <c r="I7" s="78">
        <v>0</v>
      </c>
      <c r="J7" s="78"/>
    </row>
    <row r="8" spans="1:10" x14ac:dyDescent="0.25">
      <c r="A8" s="78">
        <v>1010070</v>
      </c>
      <c r="B8" s="78" t="s">
        <v>113</v>
      </c>
      <c r="C8" s="78" t="s">
        <v>35</v>
      </c>
      <c r="D8" s="78">
        <v>0</v>
      </c>
      <c r="E8" s="78">
        <v>0</v>
      </c>
      <c r="F8" s="78">
        <v>0</v>
      </c>
      <c r="G8" s="79">
        <v>0</v>
      </c>
      <c r="H8" s="78">
        <v>0</v>
      </c>
      <c r="I8" s="78">
        <v>0</v>
      </c>
      <c r="J8" s="78"/>
    </row>
    <row r="9" spans="1:10" x14ac:dyDescent="0.25">
      <c r="A9" s="78">
        <v>1010105</v>
      </c>
      <c r="B9" s="78" t="s">
        <v>115</v>
      </c>
      <c r="C9" s="78" t="s">
        <v>35</v>
      </c>
      <c r="D9" s="78">
        <v>0</v>
      </c>
      <c r="E9" s="78">
        <v>0</v>
      </c>
      <c r="F9" s="78">
        <v>0</v>
      </c>
      <c r="G9" s="79">
        <v>0</v>
      </c>
      <c r="H9" s="78">
        <v>0</v>
      </c>
      <c r="I9" s="78">
        <v>0</v>
      </c>
      <c r="J9" s="78"/>
    </row>
    <row r="10" spans="1:10" x14ac:dyDescent="0.25">
      <c r="A10" s="78">
        <v>1010120</v>
      </c>
      <c r="B10" s="78" t="s">
        <v>117</v>
      </c>
      <c r="C10" s="78" t="s">
        <v>35</v>
      </c>
      <c r="D10" s="78">
        <v>0</v>
      </c>
      <c r="E10" s="78">
        <v>0</v>
      </c>
      <c r="F10" s="78">
        <v>0</v>
      </c>
      <c r="G10" s="79">
        <v>0</v>
      </c>
      <c r="H10" s="78">
        <v>0</v>
      </c>
      <c r="I10" s="78">
        <v>0</v>
      </c>
      <c r="J10" s="78"/>
    </row>
    <row r="11" spans="1:10" x14ac:dyDescent="0.25">
      <c r="A11" s="78">
        <v>1010130</v>
      </c>
      <c r="B11" s="78" t="s">
        <v>119</v>
      </c>
      <c r="C11" s="78" t="s">
        <v>35</v>
      </c>
      <c r="D11" s="78">
        <v>0</v>
      </c>
      <c r="E11" s="78">
        <v>0</v>
      </c>
      <c r="F11" s="78">
        <v>0</v>
      </c>
      <c r="G11" s="79">
        <v>0</v>
      </c>
      <c r="H11" s="78">
        <v>0</v>
      </c>
      <c r="I11" s="78">
        <v>0</v>
      </c>
      <c r="J11" s="78"/>
    </row>
    <row r="12" spans="1:10" x14ac:dyDescent="0.25">
      <c r="A12" s="78">
        <v>1010140</v>
      </c>
      <c r="B12" s="78" t="s">
        <v>121</v>
      </c>
      <c r="C12" s="78" t="s">
        <v>35</v>
      </c>
      <c r="D12" s="78">
        <v>0</v>
      </c>
      <c r="E12" s="78">
        <v>0</v>
      </c>
      <c r="F12" s="78">
        <v>0</v>
      </c>
      <c r="G12" s="79">
        <v>0</v>
      </c>
      <c r="H12" s="78">
        <v>0</v>
      </c>
      <c r="I12" s="78">
        <v>0</v>
      </c>
      <c r="J12" s="78"/>
    </row>
    <row r="13" spans="1:10" x14ac:dyDescent="0.25">
      <c r="A13" s="78">
        <v>1010170</v>
      </c>
      <c r="B13" s="78" t="s">
        <v>34</v>
      </c>
      <c r="C13" s="78" t="s">
        <v>35</v>
      </c>
      <c r="D13" s="78">
        <v>0</v>
      </c>
      <c r="E13" s="78">
        <v>0</v>
      </c>
      <c r="F13" s="78">
        <v>0</v>
      </c>
      <c r="G13" s="79">
        <v>0</v>
      </c>
      <c r="H13" s="78">
        <v>0</v>
      </c>
      <c r="I13" s="78">
        <v>0</v>
      </c>
      <c r="J13" s="78"/>
    </row>
    <row r="14" spans="1:10" x14ac:dyDescent="0.25">
      <c r="A14" s="78">
        <v>1030010</v>
      </c>
      <c r="B14" s="78" t="s">
        <v>123</v>
      </c>
      <c r="C14" s="78" t="s">
        <v>35</v>
      </c>
      <c r="D14" s="78">
        <v>0</v>
      </c>
      <c r="E14" s="78">
        <v>0</v>
      </c>
      <c r="F14" s="78">
        <v>0</v>
      </c>
      <c r="G14" s="79">
        <v>0</v>
      </c>
      <c r="H14" s="78">
        <v>0</v>
      </c>
      <c r="I14" s="78">
        <v>0</v>
      </c>
      <c r="J14" s="78"/>
    </row>
    <row r="15" spans="1:10" x14ac:dyDescent="0.25">
      <c r="A15" s="78">
        <v>1030040</v>
      </c>
      <c r="B15" s="78" t="s">
        <v>37</v>
      </c>
      <c r="C15" s="78" t="s">
        <v>35</v>
      </c>
      <c r="D15" s="78">
        <v>0</v>
      </c>
      <c r="E15" s="78">
        <v>0</v>
      </c>
      <c r="F15" s="78">
        <v>0</v>
      </c>
      <c r="G15" s="79">
        <v>0</v>
      </c>
      <c r="H15" s="78">
        <v>0</v>
      </c>
      <c r="I15" s="78">
        <v>0</v>
      </c>
      <c r="J15" s="78"/>
    </row>
    <row r="16" spans="1:10" x14ac:dyDescent="0.25">
      <c r="A16" s="78">
        <v>1030050</v>
      </c>
      <c r="B16" s="78" t="s">
        <v>126</v>
      </c>
      <c r="C16" s="78" t="s">
        <v>35</v>
      </c>
      <c r="D16" s="78">
        <v>0</v>
      </c>
      <c r="E16" s="78">
        <v>0</v>
      </c>
      <c r="F16" s="78">
        <v>0</v>
      </c>
      <c r="G16" s="79">
        <v>0</v>
      </c>
      <c r="H16" s="78">
        <v>0</v>
      </c>
      <c r="I16" s="78">
        <v>0</v>
      </c>
      <c r="J16" s="78"/>
    </row>
    <row r="17" spans="1:10" x14ac:dyDescent="0.25">
      <c r="A17" s="78">
        <v>1050020</v>
      </c>
      <c r="B17" s="78" t="s">
        <v>128</v>
      </c>
      <c r="C17" s="78" t="s">
        <v>35</v>
      </c>
      <c r="D17" s="78">
        <v>0</v>
      </c>
      <c r="E17" s="78">
        <v>0</v>
      </c>
      <c r="F17" s="78">
        <v>0</v>
      </c>
      <c r="G17" s="79">
        <v>0</v>
      </c>
      <c r="H17" s="78">
        <v>0</v>
      </c>
      <c r="I17" s="78">
        <v>0</v>
      </c>
      <c r="J17" s="78"/>
    </row>
    <row r="18" spans="1:10" x14ac:dyDescent="0.25">
      <c r="A18" s="78">
        <v>1050030</v>
      </c>
      <c r="B18" s="78" t="s">
        <v>131</v>
      </c>
      <c r="C18" s="78" t="s">
        <v>35</v>
      </c>
      <c r="D18" s="78">
        <v>0</v>
      </c>
      <c r="E18" s="78">
        <v>0</v>
      </c>
      <c r="F18" s="78">
        <v>0</v>
      </c>
      <c r="G18" s="79">
        <v>0</v>
      </c>
      <c r="H18" s="78">
        <v>0</v>
      </c>
      <c r="I18" s="78">
        <v>0</v>
      </c>
      <c r="J18" s="78"/>
    </row>
    <row r="19" spans="1:10" x14ac:dyDescent="0.25">
      <c r="A19" s="78">
        <v>1050050</v>
      </c>
      <c r="B19" s="78" t="s">
        <v>133</v>
      </c>
      <c r="C19" s="78" t="s">
        <v>35</v>
      </c>
      <c r="D19" s="78">
        <v>0</v>
      </c>
      <c r="E19" s="78">
        <v>0</v>
      </c>
      <c r="F19" s="78">
        <v>0</v>
      </c>
      <c r="G19" s="79">
        <v>0</v>
      </c>
      <c r="H19" s="78">
        <v>0</v>
      </c>
      <c r="I19" s="78">
        <v>0</v>
      </c>
      <c r="J19" s="78"/>
    </row>
    <row r="20" spans="1:10" x14ac:dyDescent="0.25">
      <c r="A20" s="78">
        <v>1050100</v>
      </c>
      <c r="B20" s="78" t="s">
        <v>135</v>
      </c>
      <c r="C20" s="78" t="s">
        <v>35</v>
      </c>
      <c r="D20" s="78">
        <v>0</v>
      </c>
      <c r="E20" s="78">
        <v>0</v>
      </c>
      <c r="F20" s="78">
        <v>0</v>
      </c>
      <c r="G20" s="79">
        <v>0</v>
      </c>
      <c r="H20" s="78">
        <v>0</v>
      </c>
      <c r="I20" s="78">
        <v>0</v>
      </c>
      <c r="J20" s="78"/>
    </row>
    <row r="21" spans="1:10" x14ac:dyDescent="0.25">
      <c r="A21" s="78">
        <v>1050120</v>
      </c>
      <c r="B21" s="78" t="s">
        <v>137</v>
      </c>
      <c r="C21" s="78" t="s">
        <v>35</v>
      </c>
      <c r="D21" s="78">
        <v>0</v>
      </c>
      <c r="E21" s="78">
        <v>0</v>
      </c>
      <c r="F21" s="78">
        <v>0</v>
      </c>
      <c r="G21" s="79">
        <v>0</v>
      </c>
      <c r="H21" s="78">
        <v>0</v>
      </c>
      <c r="I21" s="78">
        <v>0</v>
      </c>
      <c r="J21" s="78"/>
    </row>
    <row r="22" spans="1:10" x14ac:dyDescent="0.25">
      <c r="A22" s="78">
        <v>1050140</v>
      </c>
      <c r="B22" s="78" t="s">
        <v>139</v>
      </c>
      <c r="C22" s="78" t="s">
        <v>35</v>
      </c>
      <c r="D22" s="78">
        <v>0</v>
      </c>
      <c r="E22" s="78">
        <v>0</v>
      </c>
      <c r="F22" s="78">
        <v>0</v>
      </c>
      <c r="G22" s="79">
        <v>0</v>
      </c>
      <c r="H22" s="78">
        <v>0</v>
      </c>
      <c r="I22" s="78">
        <v>0</v>
      </c>
      <c r="J22" s="78"/>
    </row>
    <row r="23" spans="1:10" x14ac:dyDescent="0.25">
      <c r="A23" s="78">
        <v>1050170</v>
      </c>
      <c r="B23" s="78" t="s">
        <v>141</v>
      </c>
      <c r="C23" s="78" t="s">
        <v>35</v>
      </c>
      <c r="D23" s="78">
        <v>0</v>
      </c>
      <c r="E23" s="78">
        <v>0</v>
      </c>
      <c r="F23" s="78">
        <v>0</v>
      </c>
      <c r="G23" s="79">
        <v>0</v>
      </c>
      <c r="H23" s="78">
        <v>0</v>
      </c>
      <c r="I23" s="78">
        <v>0</v>
      </c>
      <c r="J23" s="78"/>
    </row>
    <row r="24" spans="1:10" x14ac:dyDescent="0.25">
      <c r="A24" s="78">
        <v>1050190</v>
      </c>
      <c r="B24" s="78" t="s">
        <v>143</v>
      </c>
      <c r="C24" s="78" t="s">
        <v>35</v>
      </c>
      <c r="D24" s="78">
        <v>0</v>
      </c>
      <c r="E24" s="78">
        <v>0</v>
      </c>
      <c r="F24" s="78">
        <v>0</v>
      </c>
      <c r="G24" s="79">
        <v>0</v>
      </c>
      <c r="H24" s="78">
        <v>0</v>
      </c>
      <c r="I24" s="78">
        <v>0</v>
      </c>
      <c r="J24" s="78"/>
    </row>
    <row r="25" spans="1:10" x14ac:dyDescent="0.25">
      <c r="A25" s="78">
        <v>1060010</v>
      </c>
      <c r="B25" s="78" t="s">
        <v>145</v>
      </c>
      <c r="C25" s="78" t="s">
        <v>35</v>
      </c>
      <c r="D25" s="78">
        <v>0</v>
      </c>
      <c r="E25" s="78">
        <v>0</v>
      </c>
      <c r="F25" s="78">
        <v>0</v>
      </c>
      <c r="G25" s="79">
        <v>0</v>
      </c>
      <c r="H25" s="78">
        <v>0</v>
      </c>
      <c r="I25" s="78">
        <v>0</v>
      </c>
      <c r="J25" s="78"/>
    </row>
    <row r="26" spans="1:10" x14ac:dyDescent="0.25">
      <c r="A26" s="78">
        <v>1060020</v>
      </c>
      <c r="B26" s="78" t="s">
        <v>148</v>
      </c>
      <c r="C26" s="78" t="s">
        <v>35</v>
      </c>
      <c r="D26" s="78">
        <v>0</v>
      </c>
      <c r="E26" s="78">
        <v>0</v>
      </c>
      <c r="F26" s="78">
        <v>0</v>
      </c>
      <c r="G26" s="79">
        <v>0</v>
      </c>
      <c r="H26" s="78">
        <v>0</v>
      </c>
      <c r="I26" s="78">
        <v>0</v>
      </c>
      <c r="J26" s="78"/>
    </row>
    <row r="27" spans="1:10" x14ac:dyDescent="0.25">
      <c r="A27" s="78">
        <v>1060030</v>
      </c>
      <c r="B27" s="78" t="s">
        <v>150</v>
      </c>
      <c r="C27" s="78" t="s">
        <v>35</v>
      </c>
      <c r="D27" s="78">
        <v>0</v>
      </c>
      <c r="E27" s="78">
        <v>0</v>
      </c>
      <c r="F27" s="78">
        <v>0</v>
      </c>
      <c r="G27" s="79">
        <v>0</v>
      </c>
      <c r="H27" s="78">
        <v>0</v>
      </c>
      <c r="I27" s="78">
        <v>0</v>
      </c>
      <c r="J27" s="78"/>
    </row>
    <row r="28" spans="1:10" x14ac:dyDescent="0.25">
      <c r="A28" s="78">
        <v>1060041</v>
      </c>
      <c r="B28" s="78" t="s">
        <v>152</v>
      </c>
      <c r="C28" s="78" t="s">
        <v>35</v>
      </c>
      <c r="D28" s="78">
        <v>0</v>
      </c>
      <c r="E28" s="78">
        <v>0</v>
      </c>
      <c r="F28" s="78">
        <v>0</v>
      </c>
      <c r="G28" s="79">
        <v>0</v>
      </c>
      <c r="H28" s="78">
        <v>0</v>
      </c>
      <c r="I28" s="78">
        <v>0</v>
      </c>
      <c r="J28" s="78"/>
    </row>
    <row r="29" spans="1:10" x14ac:dyDescent="0.25">
      <c r="A29" s="78">
        <v>1060050</v>
      </c>
      <c r="B29" s="78" t="s">
        <v>154</v>
      </c>
      <c r="C29" s="78" t="s">
        <v>35</v>
      </c>
      <c r="D29" s="78">
        <v>0</v>
      </c>
      <c r="E29" s="78">
        <v>0</v>
      </c>
      <c r="F29" s="78">
        <v>0</v>
      </c>
      <c r="G29" s="79">
        <v>0</v>
      </c>
      <c r="H29" s="78">
        <v>0</v>
      </c>
      <c r="I29" s="78">
        <v>0</v>
      </c>
      <c r="J29" s="78"/>
    </row>
    <row r="30" spans="1:10" x14ac:dyDescent="0.25">
      <c r="A30" s="78">
        <v>1060070</v>
      </c>
      <c r="B30" s="78" t="s">
        <v>156</v>
      </c>
      <c r="C30" s="78" t="s">
        <v>35</v>
      </c>
      <c r="D30" s="78">
        <v>0</v>
      </c>
      <c r="E30" s="78">
        <v>0</v>
      </c>
      <c r="F30" s="78">
        <v>0</v>
      </c>
      <c r="G30" s="79">
        <v>0</v>
      </c>
      <c r="H30" s="78">
        <v>0</v>
      </c>
      <c r="I30" s="78">
        <v>0</v>
      </c>
      <c r="J30" s="78"/>
    </row>
    <row r="31" spans="1:10" x14ac:dyDescent="0.25">
      <c r="A31" s="78">
        <v>1060080</v>
      </c>
      <c r="B31" s="78" t="s">
        <v>158</v>
      </c>
      <c r="C31" s="78" t="s">
        <v>35</v>
      </c>
      <c r="D31" s="78">
        <v>0</v>
      </c>
      <c r="E31" s="78">
        <v>0</v>
      </c>
      <c r="F31" s="78">
        <v>0</v>
      </c>
      <c r="G31" s="79">
        <v>0</v>
      </c>
      <c r="H31" s="78">
        <v>0</v>
      </c>
      <c r="I31" s="78">
        <v>0</v>
      </c>
      <c r="J31" s="78"/>
    </row>
    <row r="32" spans="1:10" x14ac:dyDescent="0.25">
      <c r="A32" s="78">
        <v>1060090</v>
      </c>
      <c r="B32" s="78" t="s">
        <v>160</v>
      </c>
      <c r="C32" s="78" t="s">
        <v>35</v>
      </c>
      <c r="D32" s="78">
        <v>0</v>
      </c>
      <c r="E32" s="78">
        <v>0</v>
      </c>
      <c r="F32" s="78">
        <v>0</v>
      </c>
      <c r="G32" s="79">
        <v>0</v>
      </c>
      <c r="H32" s="78">
        <v>0</v>
      </c>
      <c r="I32" s="78">
        <v>0</v>
      </c>
      <c r="J32" s="78"/>
    </row>
    <row r="33" spans="1:10" x14ac:dyDescent="0.25">
      <c r="A33" s="78">
        <v>1080010</v>
      </c>
      <c r="B33" s="78" t="s">
        <v>162</v>
      </c>
      <c r="C33" s="78" t="s">
        <v>35</v>
      </c>
      <c r="D33" s="78">
        <v>0</v>
      </c>
      <c r="E33" s="78">
        <v>0</v>
      </c>
      <c r="F33" s="78">
        <v>0</v>
      </c>
      <c r="G33" s="79">
        <v>0</v>
      </c>
      <c r="H33" s="78">
        <v>0</v>
      </c>
      <c r="I33" s="78">
        <v>0</v>
      </c>
      <c r="J33" s="78"/>
    </row>
    <row r="34" spans="1:10" x14ac:dyDescent="0.25">
      <c r="A34" s="78">
        <v>1510020</v>
      </c>
      <c r="B34" s="78" t="s">
        <v>165</v>
      </c>
      <c r="C34" s="78" t="s">
        <v>35</v>
      </c>
      <c r="D34" s="78">
        <v>0</v>
      </c>
      <c r="E34" s="78">
        <v>0</v>
      </c>
      <c r="F34" s="78">
        <v>0</v>
      </c>
      <c r="G34" s="79">
        <v>0</v>
      </c>
      <c r="H34" s="78">
        <v>0</v>
      </c>
      <c r="I34" s="78">
        <v>0</v>
      </c>
      <c r="J34" s="78"/>
    </row>
    <row r="35" spans="1:10" x14ac:dyDescent="0.25">
      <c r="A35" s="78">
        <v>1520040</v>
      </c>
      <c r="B35" s="78" t="s">
        <v>168</v>
      </c>
      <c r="C35" s="78" t="s">
        <v>35</v>
      </c>
      <c r="D35" s="78">
        <v>0</v>
      </c>
      <c r="E35" s="78">
        <v>0</v>
      </c>
      <c r="F35" s="78">
        <v>0</v>
      </c>
      <c r="G35" s="79">
        <v>0</v>
      </c>
      <c r="H35" s="78">
        <v>0</v>
      </c>
      <c r="I35" s="78">
        <v>0</v>
      </c>
      <c r="J35" s="78"/>
    </row>
    <row r="36" spans="1:10" x14ac:dyDescent="0.25">
      <c r="A36" s="78">
        <v>1520050</v>
      </c>
      <c r="B36" s="78" t="s">
        <v>171</v>
      </c>
      <c r="C36" s="78" t="s">
        <v>35</v>
      </c>
      <c r="D36" s="78">
        <v>0</v>
      </c>
      <c r="E36" s="78">
        <v>0</v>
      </c>
      <c r="F36" s="78">
        <v>0</v>
      </c>
      <c r="G36" s="79">
        <v>0</v>
      </c>
      <c r="H36" s="78">
        <v>0</v>
      </c>
      <c r="I36" s="78">
        <v>0</v>
      </c>
      <c r="J36" s="78"/>
    </row>
    <row r="37" spans="1:10" x14ac:dyDescent="0.25">
      <c r="A37" s="78">
        <v>1530020</v>
      </c>
      <c r="B37" s="78" t="s">
        <v>173</v>
      </c>
      <c r="C37" s="78" t="s">
        <v>35</v>
      </c>
      <c r="D37" s="78">
        <v>0</v>
      </c>
      <c r="E37" s="78">
        <v>0</v>
      </c>
      <c r="F37" s="78">
        <v>0</v>
      </c>
      <c r="G37" s="79">
        <v>0</v>
      </c>
      <c r="H37" s="78">
        <v>0</v>
      </c>
      <c r="I37" s="78">
        <v>0</v>
      </c>
      <c r="J37" s="78"/>
    </row>
    <row r="38" spans="1:10" x14ac:dyDescent="0.25">
      <c r="A38" s="78">
        <v>1530030</v>
      </c>
      <c r="B38" s="78" t="s">
        <v>176</v>
      </c>
      <c r="C38" s="78" t="s">
        <v>35</v>
      </c>
      <c r="D38" s="78">
        <v>0</v>
      </c>
      <c r="E38" s="78">
        <v>0</v>
      </c>
      <c r="F38" s="78">
        <v>0</v>
      </c>
      <c r="G38" s="79">
        <v>0</v>
      </c>
      <c r="H38" s="78">
        <v>0</v>
      </c>
      <c r="I38" s="78">
        <v>0</v>
      </c>
      <c r="J38" s="78"/>
    </row>
    <row r="39" spans="1:10" x14ac:dyDescent="0.25">
      <c r="A39" s="78">
        <v>1530040</v>
      </c>
      <c r="B39" s="78" t="s">
        <v>178</v>
      </c>
      <c r="C39" s="78" t="s">
        <v>35</v>
      </c>
      <c r="D39" s="78">
        <v>0</v>
      </c>
      <c r="E39" s="78">
        <v>0</v>
      </c>
      <c r="F39" s="78">
        <v>0</v>
      </c>
      <c r="G39" s="79">
        <v>0</v>
      </c>
      <c r="H39" s="78">
        <v>0</v>
      </c>
      <c r="I39" s="78">
        <v>0</v>
      </c>
      <c r="J39" s="78"/>
    </row>
    <row r="40" spans="1:10" x14ac:dyDescent="0.25">
      <c r="A40" s="78">
        <v>1540010</v>
      </c>
      <c r="B40" s="78" t="s">
        <v>180</v>
      </c>
      <c r="C40" s="78" t="s">
        <v>35</v>
      </c>
      <c r="D40" s="78">
        <v>0</v>
      </c>
      <c r="E40" s="78">
        <v>0</v>
      </c>
      <c r="F40" s="78">
        <v>0</v>
      </c>
      <c r="G40" s="79">
        <v>0</v>
      </c>
      <c r="H40" s="78">
        <v>0</v>
      </c>
      <c r="I40" s="78">
        <v>0</v>
      </c>
      <c r="J40" s="78"/>
    </row>
    <row r="41" spans="1:10" x14ac:dyDescent="0.25">
      <c r="A41" s="78">
        <v>15601043</v>
      </c>
      <c r="B41" s="78" t="s">
        <v>49</v>
      </c>
      <c r="C41" s="78" t="s">
        <v>184</v>
      </c>
      <c r="D41" s="78">
        <v>0</v>
      </c>
      <c r="E41" s="78">
        <v>0</v>
      </c>
      <c r="F41" s="78">
        <v>0</v>
      </c>
      <c r="G41" s="79">
        <v>0</v>
      </c>
      <c r="H41" s="78">
        <v>0</v>
      </c>
      <c r="I41" s="78">
        <v>0</v>
      </c>
      <c r="J41" s="78"/>
    </row>
    <row r="42" spans="1:10" x14ac:dyDescent="0.25">
      <c r="A42" s="78">
        <v>1560113</v>
      </c>
      <c r="B42" s="78" t="s">
        <v>186</v>
      </c>
      <c r="C42" s="78" t="s">
        <v>184</v>
      </c>
      <c r="D42" s="78">
        <v>0</v>
      </c>
      <c r="E42" s="78">
        <v>0</v>
      </c>
      <c r="F42" s="78">
        <v>0</v>
      </c>
      <c r="G42" s="79">
        <v>0</v>
      </c>
      <c r="H42" s="78">
        <v>0</v>
      </c>
      <c r="I42" s="78">
        <v>0</v>
      </c>
      <c r="J42" s="78"/>
    </row>
    <row r="43" spans="1:10" x14ac:dyDescent="0.25">
      <c r="A43" s="78">
        <v>1560146</v>
      </c>
      <c r="B43" s="78" t="s">
        <v>49</v>
      </c>
      <c r="C43" s="78" t="s">
        <v>50</v>
      </c>
      <c r="D43" s="78">
        <v>0</v>
      </c>
      <c r="E43" s="78">
        <v>0</v>
      </c>
      <c r="F43" s="78">
        <v>0</v>
      </c>
      <c r="G43" s="79">
        <v>0</v>
      </c>
      <c r="H43" s="78">
        <v>0</v>
      </c>
      <c r="I43" s="78">
        <v>0</v>
      </c>
      <c r="J43" s="78"/>
    </row>
    <row r="44" spans="1:10" x14ac:dyDescent="0.25">
      <c r="A44" s="78">
        <v>1605050</v>
      </c>
      <c r="B44" s="78" t="s">
        <v>188</v>
      </c>
      <c r="C44" s="78" t="s">
        <v>190</v>
      </c>
      <c r="D44" s="78">
        <v>0</v>
      </c>
      <c r="E44" s="78">
        <v>0</v>
      </c>
      <c r="F44" s="78">
        <v>0</v>
      </c>
      <c r="G44" s="79">
        <v>0</v>
      </c>
      <c r="H44" s="78">
        <v>0</v>
      </c>
      <c r="I44" s="78">
        <v>0</v>
      </c>
      <c r="J44" s="78"/>
    </row>
    <row r="45" spans="1:10" x14ac:dyDescent="0.25">
      <c r="A45" s="78">
        <v>1605088</v>
      </c>
      <c r="B45" s="78" t="s">
        <v>192</v>
      </c>
      <c r="C45" s="78" t="s">
        <v>194</v>
      </c>
      <c r="D45" s="78">
        <v>0</v>
      </c>
      <c r="E45" s="78">
        <v>0</v>
      </c>
      <c r="F45" s="78">
        <v>0</v>
      </c>
      <c r="G45" s="79">
        <v>0</v>
      </c>
      <c r="H45" s="78">
        <v>0</v>
      </c>
      <c r="I45" s="78">
        <v>0</v>
      </c>
      <c r="J45" s="78"/>
    </row>
    <row r="46" spans="1:10" x14ac:dyDescent="0.25">
      <c r="A46" s="78">
        <v>1615607</v>
      </c>
      <c r="B46" s="78" t="s">
        <v>52</v>
      </c>
      <c r="C46" s="78" t="s">
        <v>53</v>
      </c>
      <c r="D46" s="78">
        <v>0</v>
      </c>
      <c r="E46" s="78">
        <v>0</v>
      </c>
      <c r="F46" s="78">
        <v>0</v>
      </c>
      <c r="G46" s="79">
        <v>0</v>
      </c>
      <c r="H46" s="78">
        <v>0</v>
      </c>
      <c r="I46" s="78">
        <v>0</v>
      </c>
      <c r="J46" s="78"/>
    </row>
    <row r="47" spans="1:10" x14ac:dyDescent="0.25">
      <c r="A47" s="78">
        <v>2010010</v>
      </c>
      <c r="B47" s="78" t="s">
        <v>196</v>
      </c>
      <c r="C47" s="78" t="s">
        <v>35</v>
      </c>
      <c r="D47" s="78">
        <v>0</v>
      </c>
      <c r="E47" s="78">
        <v>0</v>
      </c>
      <c r="F47" s="78">
        <v>0</v>
      </c>
      <c r="G47" s="79">
        <v>0</v>
      </c>
      <c r="H47" s="78">
        <v>0</v>
      </c>
      <c r="I47" s="78">
        <v>0</v>
      </c>
      <c r="J47" s="78"/>
    </row>
    <row r="48" spans="1:10" x14ac:dyDescent="0.25">
      <c r="A48" s="78">
        <v>2010040</v>
      </c>
      <c r="B48" s="78" t="s">
        <v>199</v>
      </c>
      <c r="C48" s="78" t="s">
        <v>35</v>
      </c>
      <c r="D48" s="78">
        <v>0</v>
      </c>
      <c r="E48" s="78">
        <v>0</v>
      </c>
      <c r="F48" s="78">
        <v>0</v>
      </c>
      <c r="G48" s="79">
        <v>0</v>
      </c>
      <c r="H48" s="78">
        <v>0</v>
      </c>
      <c r="I48" s="78">
        <v>0</v>
      </c>
      <c r="J48" s="78"/>
    </row>
    <row r="49" spans="1:10" x14ac:dyDescent="0.25">
      <c r="A49" s="78">
        <v>2010060</v>
      </c>
      <c r="B49" s="78" t="s">
        <v>201</v>
      </c>
      <c r="C49" s="78" t="s">
        <v>35</v>
      </c>
      <c r="D49" s="78">
        <v>0</v>
      </c>
      <c r="E49" s="78">
        <v>0</v>
      </c>
      <c r="F49" s="78">
        <v>0</v>
      </c>
      <c r="G49" s="79">
        <v>0</v>
      </c>
      <c r="H49" s="78">
        <v>0</v>
      </c>
      <c r="I49" s="78">
        <v>0</v>
      </c>
      <c r="J49" s="78"/>
    </row>
    <row r="50" spans="1:10" x14ac:dyDescent="0.25">
      <c r="A50" s="78">
        <v>2030060</v>
      </c>
      <c r="B50" s="78" t="s">
        <v>203</v>
      </c>
      <c r="C50" s="78" t="s">
        <v>35</v>
      </c>
      <c r="D50" s="78">
        <v>0</v>
      </c>
      <c r="E50" s="78">
        <v>0</v>
      </c>
      <c r="F50" s="78">
        <v>0</v>
      </c>
      <c r="G50" s="79">
        <v>0</v>
      </c>
      <c r="H50" s="78">
        <v>0</v>
      </c>
      <c r="I50" s="78">
        <v>0</v>
      </c>
      <c r="J50" s="78"/>
    </row>
    <row r="51" spans="1:10" x14ac:dyDescent="0.25">
      <c r="A51" s="78">
        <v>2030090</v>
      </c>
      <c r="B51" s="78" t="s">
        <v>206</v>
      </c>
      <c r="C51" s="78" t="s">
        <v>35</v>
      </c>
      <c r="D51" s="78">
        <v>0</v>
      </c>
      <c r="E51" s="78">
        <v>0</v>
      </c>
      <c r="F51" s="78">
        <v>0</v>
      </c>
      <c r="G51" s="79">
        <v>0</v>
      </c>
      <c r="H51" s="78">
        <v>0</v>
      </c>
      <c r="I51" s="78">
        <v>0</v>
      </c>
      <c r="J51" s="78"/>
    </row>
    <row r="52" spans="1:10" x14ac:dyDescent="0.25">
      <c r="A52" s="78">
        <v>2030120</v>
      </c>
      <c r="B52" s="78" t="s">
        <v>208</v>
      </c>
      <c r="C52" s="78" t="s">
        <v>35</v>
      </c>
      <c r="D52" s="78">
        <v>0</v>
      </c>
      <c r="E52" s="78">
        <v>0</v>
      </c>
      <c r="F52" s="78">
        <v>0</v>
      </c>
      <c r="G52" s="79">
        <v>0</v>
      </c>
      <c r="H52" s="78">
        <v>0</v>
      </c>
      <c r="I52" s="78">
        <v>0</v>
      </c>
      <c r="J52" s="78"/>
    </row>
    <row r="53" spans="1:10" x14ac:dyDescent="0.25">
      <c r="A53" s="78">
        <v>2030130</v>
      </c>
      <c r="B53" s="78" t="s">
        <v>39</v>
      </c>
      <c r="C53" s="78" t="s">
        <v>35</v>
      </c>
      <c r="D53" s="78">
        <v>0</v>
      </c>
      <c r="E53" s="78">
        <v>0</v>
      </c>
      <c r="F53" s="78">
        <v>0</v>
      </c>
      <c r="G53" s="79">
        <v>0</v>
      </c>
      <c r="H53" s="78">
        <v>0</v>
      </c>
      <c r="I53" s="78">
        <v>0</v>
      </c>
      <c r="J53" s="78"/>
    </row>
    <row r="54" spans="1:10" x14ac:dyDescent="0.25">
      <c r="A54" s="78">
        <v>2030140</v>
      </c>
      <c r="B54" s="78" t="s">
        <v>211</v>
      </c>
      <c r="C54" s="78" t="s">
        <v>35</v>
      </c>
      <c r="D54" s="78">
        <v>0</v>
      </c>
      <c r="E54" s="78">
        <v>0</v>
      </c>
      <c r="F54" s="78">
        <v>0</v>
      </c>
      <c r="G54" s="79">
        <v>0</v>
      </c>
      <c r="H54" s="78">
        <v>0</v>
      </c>
      <c r="I54" s="78">
        <v>0</v>
      </c>
      <c r="J54" s="78"/>
    </row>
    <row r="55" spans="1:10" x14ac:dyDescent="0.25">
      <c r="A55" s="78">
        <v>2030170</v>
      </c>
      <c r="B55" s="78" t="s">
        <v>213</v>
      </c>
      <c r="C55" s="78" t="s">
        <v>35</v>
      </c>
      <c r="D55" s="78">
        <v>0</v>
      </c>
      <c r="E55" s="78">
        <v>0</v>
      </c>
      <c r="F55" s="78">
        <v>0</v>
      </c>
      <c r="G55" s="79">
        <v>0</v>
      </c>
      <c r="H55" s="78">
        <v>0</v>
      </c>
      <c r="I55" s="78">
        <v>0</v>
      </c>
      <c r="J55" s="78"/>
    </row>
    <row r="56" spans="1:10" x14ac:dyDescent="0.25">
      <c r="A56" s="78">
        <v>2030387</v>
      </c>
      <c r="B56" s="78" t="s">
        <v>39</v>
      </c>
      <c r="C56" s="78" t="s">
        <v>40</v>
      </c>
      <c r="D56" s="78">
        <v>0</v>
      </c>
      <c r="E56" s="78">
        <v>0</v>
      </c>
      <c r="F56" s="78">
        <v>0</v>
      </c>
      <c r="G56" s="79">
        <v>0</v>
      </c>
      <c r="H56" s="78">
        <v>0</v>
      </c>
      <c r="I56" s="78">
        <v>0</v>
      </c>
      <c r="J56" s="78"/>
    </row>
    <row r="57" spans="1:10" x14ac:dyDescent="0.25">
      <c r="A57" s="78">
        <v>2050010</v>
      </c>
      <c r="B57" s="78" t="s">
        <v>215</v>
      </c>
      <c r="C57" s="78" t="s">
        <v>35</v>
      </c>
      <c r="D57" s="78">
        <v>0</v>
      </c>
      <c r="E57" s="78">
        <v>0</v>
      </c>
      <c r="F57" s="78">
        <v>0</v>
      </c>
      <c r="G57" s="79">
        <v>0</v>
      </c>
      <c r="H57" s="78">
        <v>0</v>
      </c>
      <c r="I57" s="78">
        <v>0</v>
      </c>
      <c r="J57" s="78"/>
    </row>
    <row r="58" spans="1:10" x14ac:dyDescent="0.25">
      <c r="A58" s="78">
        <v>2050030</v>
      </c>
      <c r="B58" s="78" t="s">
        <v>218</v>
      </c>
      <c r="C58" s="78" t="s">
        <v>35</v>
      </c>
      <c r="D58" s="78">
        <v>0</v>
      </c>
      <c r="E58" s="78">
        <v>0</v>
      </c>
      <c r="F58" s="78">
        <v>0</v>
      </c>
      <c r="G58" s="79">
        <v>0</v>
      </c>
      <c r="H58" s="78">
        <v>0</v>
      </c>
      <c r="I58" s="78">
        <v>0</v>
      </c>
      <c r="J58" s="78"/>
    </row>
    <row r="59" spans="1:10" x14ac:dyDescent="0.25">
      <c r="A59" s="78">
        <v>2050080</v>
      </c>
      <c r="B59" s="78" t="s">
        <v>220</v>
      </c>
      <c r="C59" s="78" t="s">
        <v>35</v>
      </c>
      <c r="D59" s="78">
        <v>0</v>
      </c>
      <c r="E59" s="78">
        <v>0</v>
      </c>
      <c r="F59" s="78">
        <v>0</v>
      </c>
      <c r="G59" s="79">
        <v>0</v>
      </c>
      <c r="H59" s="78">
        <v>0</v>
      </c>
      <c r="I59" s="78">
        <v>0</v>
      </c>
      <c r="J59" s="78"/>
    </row>
    <row r="60" spans="1:10" x14ac:dyDescent="0.25">
      <c r="A60" s="78">
        <v>2050120</v>
      </c>
      <c r="B60" s="78" t="s">
        <v>222</v>
      </c>
      <c r="C60" s="78" t="s">
        <v>35</v>
      </c>
      <c r="D60" s="78">
        <v>0</v>
      </c>
      <c r="E60" s="78">
        <v>0</v>
      </c>
      <c r="F60" s="78">
        <v>0</v>
      </c>
      <c r="G60" s="79">
        <v>0</v>
      </c>
      <c r="H60" s="78">
        <v>0</v>
      </c>
      <c r="I60" s="78">
        <v>0</v>
      </c>
      <c r="J60" s="78"/>
    </row>
    <row r="61" spans="1:10" x14ac:dyDescent="0.25">
      <c r="A61" s="78">
        <v>2050140</v>
      </c>
      <c r="B61" s="78" t="s">
        <v>224</v>
      </c>
      <c r="C61" s="78" t="s">
        <v>35</v>
      </c>
      <c r="D61" s="78">
        <v>0</v>
      </c>
      <c r="E61" s="78">
        <v>0</v>
      </c>
      <c r="F61" s="78">
        <v>0</v>
      </c>
      <c r="G61" s="79">
        <v>0</v>
      </c>
      <c r="H61" s="78">
        <v>0</v>
      </c>
      <c r="I61" s="78">
        <v>0</v>
      </c>
      <c r="J61" s="78"/>
    </row>
    <row r="62" spans="1:10" x14ac:dyDescent="0.25">
      <c r="A62" s="78">
        <v>2050166</v>
      </c>
      <c r="B62" s="78" t="s">
        <v>226</v>
      </c>
      <c r="C62" s="78" t="s">
        <v>35</v>
      </c>
      <c r="D62" s="78">
        <v>0</v>
      </c>
      <c r="E62" s="78">
        <v>0</v>
      </c>
      <c r="F62" s="78">
        <v>0</v>
      </c>
      <c r="G62" s="79">
        <v>0</v>
      </c>
      <c r="H62" s="78">
        <v>0</v>
      </c>
      <c r="I62" s="78">
        <v>0</v>
      </c>
      <c r="J62" s="78"/>
    </row>
    <row r="63" spans="1:10" x14ac:dyDescent="0.25">
      <c r="A63" s="78">
        <v>2050220</v>
      </c>
      <c r="B63" s="78" t="s">
        <v>228</v>
      </c>
      <c r="C63" s="78" t="s">
        <v>35</v>
      </c>
      <c r="D63" s="78">
        <v>0</v>
      </c>
      <c r="E63" s="78">
        <v>0</v>
      </c>
      <c r="F63" s="78">
        <v>0</v>
      </c>
      <c r="G63" s="79">
        <v>0</v>
      </c>
      <c r="H63" s="78">
        <v>0</v>
      </c>
      <c r="I63" s="78">
        <v>0</v>
      </c>
      <c r="J63" s="78"/>
    </row>
    <row r="64" spans="1:10" x14ac:dyDescent="0.25">
      <c r="A64" s="78">
        <v>2060239</v>
      </c>
      <c r="B64" s="78" t="s">
        <v>230</v>
      </c>
      <c r="C64" s="78" t="s">
        <v>232</v>
      </c>
      <c r="D64" s="78">
        <v>0</v>
      </c>
      <c r="E64" s="78">
        <v>0</v>
      </c>
      <c r="F64" s="78">
        <v>0</v>
      </c>
      <c r="G64" s="79">
        <v>0</v>
      </c>
      <c r="H64" s="78">
        <v>0</v>
      </c>
      <c r="I64" s="78">
        <v>0</v>
      </c>
      <c r="J64" s="78"/>
    </row>
    <row r="65" spans="1:10" x14ac:dyDescent="0.25">
      <c r="A65" s="78">
        <v>2060243</v>
      </c>
      <c r="B65" s="78" t="s">
        <v>42</v>
      </c>
      <c r="C65" s="78" t="s">
        <v>43</v>
      </c>
      <c r="D65" s="78">
        <v>0</v>
      </c>
      <c r="E65" s="78">
        <v>0</v>
      </c>
      <c r="F65" s="78">
        <v>0</v>
      </c>
      <c r="G65" s="79">
        <v>0</v>
      </c>
      <c r="H65" s="78">
        <v>0</v>
      </c>
      <c r="I65" s="78">
        <v>0</v>
      </c>
      <c r="J65" s="78"/>
    </row>
    <row r="66" spans="1:10" x14ac:dyDescent="0.25">
      <c r="A66" s="78">
        <v>2060315</v>
      </c>
      <c r="B66" s="78" t="s">
        <v>42</v>
      </c>
      <c r="C66" s="78" t="s">
        <v>234</v>
      </c>
      <c r="D66" s="78">
        <v>0</v>
      </c>
      <c r="E66" s="78">
        <v>0</v>
      </c>
      <c r="F66" s="78">
        <v>0</v>
      </c>
      <c r="G66" s="79">
        <v>0</v>
      </c>
      <c r="H66" s="78">
        <v>0</v>
      </c>
      <c r="I66" s="78">
        <v>0</v>
      </c>
      <c r="J66" s="78"/>
    </row>
    <row r="67" spans="1:10" x14ac:dyDescent="0.25">
      <c r="A67" s="78">
        <v>2510030</v>
      </c>
      <c r="B67" s="78" t="s">
        <v>236</v>
      </c>
      <c r="C67" s="78" t="s">
        <v>35</v>
      </c>
      <c r="D67" s="78">
        <v>0</v>
      </c>
      <c r="E67" s="78">
        <v>0</v>
      </c>
      <c r="F67" s="78">
        <v>0</v>
      </c>
      <c r="G67" s="79">
        <v>0</v>
      </c>
      <c r="H67" s="78">
        <v>0</v>
      </c>
      <c r="I67" s="78">
        <v>0</v>
      </c>
      <c r="J67" s="78"/>
    </row>
    <row r="68" spans="1:10" x14ac:dyDescent="0.25">
      <c r="A68" s="78">
        <v>2510045</v>
      </c>
      <c r="B68" s="78" t="s">
        <v>239</v>
      </c>
      <c r="C68" s="78" t="s">
        <v>35</v>
      </c>
      <c r="D68" s="78">
        <v>0</v>
      </c>
      <c r="E68" s="78">
        <v>0</v>
      </c>
      <c r="F68" s="78">
        <v>0</v>
      </c>
      <c r="G68" s="79">
        <v>0</v>
      </c>
      <c r="H68" s="78">
        <v>0</v>
      </c>
      <c r="I68" s="78">
        <v>0</v>
      </c>
      <c r="J68" s="78"/>
    </row>
    <row r="69" spans="1:10" x14ac:dyDescent="0.25">
      <c r="A69" s="78">
        <v>2510050</v>
      </c>
      <c r="B69" s="78" t="s">
        <v>241</v>
      </c>
      <c r="C69" s="78" t="s">
        <v>35</v>
      </c>
      <c r="D69" s="78">
        <v>0</v>
      </c>
      <c r="E69" s="78">
        <v>0</v>
      </c>
      <c r="F69" s="78">
        <v>0</v>
      </c>
      <c r="G69" s="79">
        <v>0</v>
      </c>
      <c r="H69" s="78">
        <v>0</v>
      </c>
      <c r="I69" s="78">
        <v>0</v>
      </c>
      <c r="J69" s="78"/>
    </row>
    <row r="70" spans="1:10" x14ac:dyDescent="0.25">
      <c r="A70" s="78">
        <v>2510055</v>
      </c>
      <c r="B70" s="78" t="s">
        <v>243</v>
      </c>
      <c r="C70" s="78" t="s">
        <v>35</v>
      </c>
      <c r="D70" s="78">
        <v>0</v>
      </c>
      <c r="E70" s="78">
        <v>0</v>
      </c>
      <c r="F70" s="78">
        <v>0</v>
      </c>
      <c r="G70" s="79">
        <v>0</v>
      </c>
      <c r="H70" s="78">
        <v>0</v>
      </c>
      <c r="I70" s="78">
        <v>0</v>
      </c>
      <c r="J70" s="78"/>
    </row>
    <row r="71" spans="1:10" x14ac:dyDescent="0.25">
      <c r="A71" s="78">
        <v>2510060</v>
      </c>
      <c r="B71" s="78" t="s">
        <v>245</v>
      </c>
      <c r="C71" s="78" t="s">
        <v>35</v>
      </c>
      <c r="D71" s="78">
        <v>0</v>
      </c>
      <c r="E71" s="78">
        <v>0</v>
      </c>
      <c r="F71" s="78">
        <v>0</v>
      </c>
      <c r="G71" s="79">
        <v>0</v>
      </c>
      <c r="H71" s="78">
        <v>0</v>
      </c>
      <c r="I71" s="78">
        <v>0</v>
      </c>
      <c r="J71" s="78"/>
    </row>
    <row r="72" spans="1:10" x14ac:dyDescent="0.25">
      <c r="A72" s="78">
        <v>2510080</v>
      </c>
      <c r="B72" s="78" t="s">
        <v>247</v>
      </c>
      <c r="C72" s="78" t="s">
        <v>35</v>
      </c>
      <c r="D72" s="78">
        <v>0</v>
      </c>
      <c r="E72" s="78">
        <v>0</v>
      </c>
      <c r="F72" s="78">
        <v>0</v>
      </c>
      <c r="G72" s="79">
        <v>0</v>
      </c>
      <c r="H72" s="78">
        <v>0</v>
      </c>
      <c r="I72" s="78">
        <v>0</v>
      </c>
      <c r="J72" s="78"/>
    </row>
    <row r="73" spans="1:10" x14ac:dyDescent="0.25">
      <c r="A73" s="78">
        <v>2510090</v>
      </c>
      <c r="B73" s="78" t="s">
        <v>249</v>
      </c>
      <c r="C73" s="78" t="s">
        <v>35</v>
      </c>
      <c r="D73" s="78">
        <v>0</v>
      </c>
      <c r="E73" s="78">
        <v>0</v>
      </c>
      <c r="F73" s="78">
        <v>0</v>
      </c>
      <c r="G73" s="79">
        <v>0</v>
      </c>
      <c r="H73" s="78">
        <v>0</v>
      </c>
      <c r="I73" s="78">
        <v>0</v>
      </c>
      <c r="J73" s="78"/>
    </row>
    <row r="74" spans="1:10" x14ac:dyDescent="0.25">
      <c r="A74" s="78">
        <v>2510100</v>
      </c>
      <c r="B74" s="78" t="s">
        <v>251</v>
      </c>
      <c r="C74" s="78" t="s">
        <v>35</v>
      </c>
      <c r="D74" s="78">
        <v>0</v>
      </c>
      <c r="E74" s="78">
        <v>0</v>
      </c>
      <c r="F74" s="78">
        <v>0</v>
      </c>
      <c r="G74" s="79">
        <v>0</v>
      </c>
      <c r="H74" s="78">
        <v>0</v>
      </c>
      <c r="I74" s="78">
        <v>0</v>
      </c>
      <c r="J74" s="78"/>
    </row>
    <row r="75" spans="1:10" x14ac:dyDescent="0.25">
      <c r="A75" s="78">
        <v>2510110</v>
      </c>
      <c r="B75" s="78" t="s">
        <v>253</v>
      </c>
      <c r="C75" s="78" t="s">
        <v>35</v>
      </c>
      <c r="D75" s="78">
        <v>0</v>
      </c>
      <c r="E75" s="78">
        <v>0</v>
      </c>
      <c r="F75" s="78">
        <v>0</v>
      </c>
      <c r="G75" s="79">
        <v>0</v>
      </c>
      <c r="H75" s="78">
        <v>0</v>
      </c>
      <c r="I75" s="78">
        <v>0</v>
      </c>
      <c r="J75" s="78"/>
    </row>
    <row r="76" spans="1:10" x14ac:dyDescent="0.25">
      <c r="A76" s="78">
        <v>2510120</v>
      </c>
      <c r="B76" s="78" t="s">
        <v>255</v>
      </c>
      <c r="C76" s="78" t="s">
        <v>35</v>
      </c>
      <c r="D76" s="78">
        <v>0</v>
      </c>
      <c r="E76" s="78">
        <v>0</v>
      </c>
      <c r="F76" s="78">
        <v>0</v>
      </c>
      <c r="G76" s="79">
        <v>0</v>
      </c>
      <c r="H76" s="78">
        <v>0</v>
      </c>
      <c r="I76" s="78">
        <v>0</v>
      </c>
      <c r="J76" s="78"/>
    </row>
    <row r="77" spans="1:10" x14ac:dyDescent="0.25">
      <c r="A77" s="78">
        <v>2510130</v>
      </c>
      <c r="B77" s="78" t="s">
        <v>257</v>
      </c>
      <c r="C77" s="78" t="s">
        <v>35</v>
      </c>
      <c r="D77" s="78">
        <v>0</v>
      </c>
      <c r="E77" s="78">
        <v>0</v>
      </c>
      <c r="F77" s="78">
        <v>0</v>
      </c>
      <c r="G77" s="79">
        <v>0</v>
      </c>
      <c r="H77" s="78">
        <v>0</v>
      </c>
      <c r="I77" s="78">
        <v>0</v>
      </c>
      <c r="J77" s="78"/>
    </row>
    <row r="78" spans="1:10" x14ac:dyDescent="0.25">
      <c r="A78" s="78">
        <v>2510140</v>
      </c>
      <c r="B78" s="78" t="s">
        <v>259</v>
      </c>
      <c r="C78" s="78" t="s">
        <v>35</v>
      </c>
      <c r="D78" s="78">
        <v>0</v>
      </c>
      <c r="E78" s="78">
        <v>0</v>
      </c>
      <c r="F78" s="78">
        <v>0</v>
      </c>
      <c r="G78" s="79">
        <v>0</v>
      </c>
      <c r="H78" s="78">
        <v>0</v>
      </c>
      <c r="I78" s="78">
        <v>0</v>
      </c>
      <c r="J78" s="78"/>
    </row>
    <row r="79" spans="1:10" x14ac:dyDescent="0.25">
      <c r="A79" s="78">
        <v>2510150</v>
      </c>
      <c r="B79" s="78" t="s">
        <v>261</v>
      </c>
      <c r="C79" s="78" t="s">
        <v>35</v>
      </c>
      <c r="D79" s="78">
        <v>0</v>
      </c>
      <c r="E79" s="78">
        <v>0</v>
      </c>
      <c r="F79" s="78">
        <v>0</v>
      </c>
      <c r="G79" s="79">
        <v>0</v>
      </c>
      <c r="H79" s="78">
        <v>0</v>
      </c>
      <c r="I79" s="78">
        <v>0</v>
      </c>
      <c r="J79" s="78"/>
    </row>
    <row r="80" spans="1:10" x14ac:dyDescent="0.25">
      <c r="A80" s="78">
        <v>2510160</v>
      </c>
      <c r="B80" s="78" t="s">
        <v>263</v>
      </c>
      <c r="C80" s="78" t="s">
        <v>35</v>
      </c>
      <c r="D80" s="78">
        <v>0</v>
      </c>
      <c r="E80" s="78">
        <v>0</v>
      </c>
      <c r="F80" s="78">
        <v>0</v>
      </c>
      <c r="G80" s="79">
        <v>0</v>
      </c>
      <c r="H80" s="78">
        <v>0</v>
      </c>
      <c r="I80" s="78">
        <v>0</v>
      </c>
      <c r="J80" s="78"/>
    </row>
    <row r="81" spans="1:10" x14ac:dyDescent="0.25">
      <c r="A81" s="78">
        <v>2510170</v>
      </c>
      <c r="B81" s="78" t="s">
        <v>265</v>
      </c>
      <c r="C81" s="78" t="s">
        <v>35</v>
      </c>
      <c r="D81" s="78">
        <v>0</v>
      </c>
      <c r="E81" s="78">
        <v>0</v>
      </c>
      <c r="F81" s="78">
        <v>0</v>
      </c>
      <c r="G81" s="79">
        <v>0</v>
      </c>
      <c r="H81" s="78">
        <v>0</v>
      </c>
      <c r="I81" s="78">
        <v>0</v>
      </c>
      <c r="J81" s="78"/>
    </row>
    <row r="82" spans="1:10" x14ac:dyDescent="0.25">
      <c r="A82" s="78">
        <v>2510180</v>
      </c>
      <c r="B82" s="78" t="s">
        <v>267</v>
      </c>
      <c r="C82" s="78" t="s">
        <v>35</v>
      </c>
      <c r="D82" s="78">
        <v>0</v>
      </c>
      <c r="E82" s="78">
        <v>0</v>
      </c>
      <c r="F82" s="78">
        <v>0</v>
      </c>
      <c r="G82" s="79">
        <v>0</v>
      </c>
      <c r="H82" s="78">
        <v>0</v>
      </c>
      <c r="I82" s="78">
        <v>0</v>
      </c>
      <c r="J82" s="78"/>
    </row>
    <row r="83" spans="1:10" x14ac:dyDescent="0.25">
      <c r="A83" s="78">
        <v>2510230</v>
      </c>
      <c r="B83" s="78" t="s">
        <v>269</v>
      </c>
      <c r="C83" s="78" t="s">
        <v>35</v>
      </c>
      <c r="D83" s="78">
        <v>0</v>
      </c>
      <c r="E83" s="78">
        <v>0</v>
      </c>
      <c r="F83" s="78">
        <v>0</v>
      </c>
      <c r="G83" s="79">
        <v>0</v>
      </c>
      <c r="H83" s="78">
        <v>0</v>
      </c>
      <c r="I83" s="78">
        <v>0</v>
      </c>
      <c r="J83" s="78"/>
    </row>
    <row r="84" spans="1:10" x14ac:dyDescent="0.25">
      <c r="A84" s="78">
        <v>2510240</v>
      </c>
      <c r="B84" s="78" t="s">
        <v>271</v>
      </c>
      <c r="C84" s="78" t="s">
        <v>35</v>
      </c>
      <c r="D84" s="78">
        <v>0</v>
      </c>
      <c r="E84" s="78">
        <v>0</v>
      </c>
      <c r="F84" s="78">
        <v>0</v>
      </c>
      <c r="G84" s="79">
        <v>0</v>
      </c>
      <c r="H84" s="78">
        <v>0</v>
      </c>
      <c r="I84" s="78">
        <v>0</v>
      </c>
      <c r="J84" s="78"/>
    </row>
    <row r="85" spans="1:10" x14ac:dyDescent="0.25">
      <c r="A85" s="78">
        <v>2510250</v>
      </c>
      <c r="B85" s="78" t="s">
        <v>273</v>
      </c>
      <c r="C85" s="78" t="s">
        <v>35</v>
      </c>
      <c r="D85" s="78">
        <v>0</v>
      </c>
      <c r="E85" s="78">
        <v>0</v>
      </c>
      <c r="F85" s="78">
        <v>0</v>
      </c>
      <c r="G85" s="79">
        <v>0</v>
      </c>
      <c r="H85" s="78">
        <v>0</v>
      </c>
      <c r="I85" s="78">
        <v>0</v>
      </c>
      <c r="J85" s="78"/>
    </row>
    <row r="86" spans="1:10" x14ac:dyDescent="0.25">
      <c r="A86" s="78">
        <v>2510260</v>
      </c>
      <c r="B86" s="78" t="s">
        <v>275</v>
      </c>
      <c r="C86" s="78" t="s">
        <v>35</v>
      </c>
      <c r="D86" s="78">
        <v>0</v>
      </c>
      <c r="E86" s="78">
        <v>0</v>
      </c>
      <c r="F86" s="78">
        <v>0</v>
      </c>
      <c r="G86" s="79">
        <v>0</v>
      </c>
      <c r="H86" s="78">
        <v>0</v>
      </c>
      <c r="I86" s="78">
        <v>0</v>
      </c>
      <c r="J86" s="78"/>
    </row>
    <row r="87" spans="1:10" x14ac:dyDescent="0.25">
      <c r="A87" s="78">
        <v>2510271</v>
      </c>
      <c r="B87" s="78" t="s">
        <v>277</v>
      </c>
      <c r="C87" s="78" t="s">
        <v>35</v>
      </c>
      <c r="D87" s="78">
        <v>0</v>
      </c>
      <c r="E87" s="78">
        <v>0</v>
      </c>
      <c r="F87" s="78">
        <v>0</v>
      </c>
      <c r="G87" s="79">
        <v>0</v>
      </c>
      <c r="H87" s="78">
        <v>0</v>
      </c>
      <c r="I87" s="78">
        <v>0</v>
      </c>
      <c r="J87" s="78"/>
    </row>
    <row r="88" spans="1:10" x14ac:dyDescent="0.25">
      <c r="A88" s="78">
        <v>2510272</v>
      </c>
      <c r="B88" s="78" t="s">
        <v>279</v>
      </c>
      <c r="C88" s="78" t="s">
        <v>35</v>
      </c>
      <c r="D88" s="78">
        <v>0</v>
      </c>
      <c r="E88" s="78">
        <v>0</v>
      </c>
      <c r="F88" s="78">
        <v>0</v>
      </c>
      <c r="G88" s="79">
        <v>0</v>
      </c>
      <c r="H88" s="78">
        <v>0</v>
      </c>
      <c r="I88" s="78">
        <v>0</v>
      </c>
      <c r="J88" s="78"/>
    </row>
    <row r="89" spans="1:10" x14ac:dyDescent="0.25">
      <c r="A89" s="78">
        <v>2510280</v>
      </c>
      <c r="B89" s="78" t="s">
        <v>281</v>
      </c>
      <c r="C89" s="78" t="s">
        <v>35</v>
      </c>
      <c r="D89" s="78">
        <v>0</v>
      </c>
      <c r="E89" s="78">
        <v>0</v>
      </c>
      <c r="F89" s="78">
        <v>0</v>
      </c>
      <c r="G89" s="79">
        <v>0</v>
      </c>
      <c r="H89" s="78">
        <v>0</v>
      </c>
      <c r="I89" s="78">
        <v>0</v>
      </c>
      <c r="J89" s="78"/>
    </row>
    <row r="90" spans="1:10" x14ac:dyDescent="0.25">
      <c r="A90" s="78">
        <v>2510290</v>
      </c>
      <c r="B90" s="78" t="s">
        <v>283</v>
      </c>
      <c r="C90" s="78" t="s">
        <v>35</v>
      </c>
      <c r="D90" s="78">
        <v>0</v>
      </c>
      <c r="E90" s="78">
        <v>0</v>
      </c>
      <c r="F90" s="78">
        <v>0</v>
      </c>
      <c r="G90" s="79">
        <v>0</v>
      </c>
      <c r="H90" s="78">
        <v>0</v>
      </c>
      <c r="I90" s="78">
        <v>0</v>
      </c>
      <c r="J90" s="78"/>
    </row>
    <row r="91" spans="1:10" x14ac:dyDescent="0.25">
      <c r="A91" s="78">
        <v>2510300</v>
      </c>
      <c r="B91" s="78" t="s">
        <v>285</v>
      </c>
      <c r="C91" s="78" t="s">
        <v>35</v>
      </c>
      <c r="D91" s="78">
        <v>0</v>
      </c>
      <c r="E91" s="78">
        <v>0</v>
      </c>
      <c r="F91" s="78">
        <v>0</v>
      </c>
      <c r="G91" s="79">
        <v>0</v>
      </c>
      <c r="H91" s="78">
        <v>0</v>
      </c>
      <c r="I91" s="78">
        <v>0</v>
      </c>
      <c r="J91" s="78"/>
    </row>
    <row r="92" spans="1:10" x14ac:dyDescent="0.25">
      <c r="A92" s="78">
        <v>2510310</v>
      </c>
      <c r="B92" s="78" t="s">
        <v>287</v>
      </c>
      <c r="C92" s="78" t="s">
        <v>35</v>
      </c>
      <c r="D92" s="78">
        <v>0</v>
      </c>
      <c r="E92" s="78">
        <v>0</v>
      </c>
      <c r="F92" s="78">
        <v>0</v>
      </c>
      <c r="G92" s="79">
        <v>0</v>
      </c>
      <c r="H92" s="78">
        <v>0</v>
      </c>
      <c r="I92" s="78">
        <v>0</v>
      </c>
      <c r="J92" s="78"/>
    </row>
    <row r="93" spans="1:10" x14ac:dyDescent="0.25">
      <c r="A93" s="78">
        <v>2510320</v>
      </c>
      <c r="B93" s="78" t="s">
        <v>289</v>
      </c>
      <c r="C93" s="78" t="s">
        <v>35</v>
      </c>
      <c r="D93" s="78">
        <v>0</v>
      </c>
      <c r="E93" s="78">
        <v>0</v>
      </c>
      <c r="F93" s="78">
        <v>0</v>
      </c>
      <c r="G93" s="79">
        <v>0</v>
      </c>
      <c r="H93" s="78">
        <v>0</v>
      </c>
      <c r="I93" s="78">
        <v>0</v>
      </c>
      <c r="J93" s="78"/>
    </row>
    <row r="94" spans="1:10" x14ac:dyDescent="0.25">
      <c r="A94" s="78">
        <v>2510330</v>
      </c>
      <c r="B94" s="78" t="s">
        <v>291</v>
      </c>
      <c r="C94" s="78" t="s">
        <v>35</v>
      </c>
      <c r="D94" s="78">
        <v>0</v>
      </c>
      <c r="E94" s="78">
        <v>0</v>
      </c>
      <c r="F94" s="78">
        <v>0</v>
      </c>
      <c r="G94" s="79">
        <v>0</v>
      </c>
      <c r="H94" s="78">
        <v>0</v>
      </c>
      <c r="I94" s="78">
        <v>0</v>
      </c>
      <c r="J94" s="78"/>
    </row>
    <row r="95" spans="1:10" x14ac:dyDescent="0.25">
      <c r="A95" s="78">
        <v>2510340</v>
      </c>
      <c r="B95" s="78" t="s">
        <v>293</v>
      </c>
      <c r="C95" s="78" t="s">
        <v>35</v>
      </c>
      <c r="D95" s="78">
        <v>0</v>
      </c>
      <c r="E95" s="78">
        <v>0</v>
      </c>
      <c r="F95" s="78">
        <v>0</v>
      </c>
      <c r="G95" s="79">
        <v>0</v>
      </c>
      <c r="H95" s="78">
        <v>0</v>
      </c>
      <c r="I95" s="78">
        <v>0</v>
      </c>
      <c r="J95" s="78"/>
    </row>
    <row r="96" spans="1:10" x14ac:dyDescent="0.25">
      <c r="A96" s="78">
        <v>2510350</v>
      </c>
      <c r="B96" s="78" t="s">
        <v>295</v>
      </c>
      <c r="C96" s="78" t="s">
        <v>35</v>
      </c>
      <c r="D96" s="78">
        <v>0</v>
      </c>
      <c r="E96" s="78">
        <v>0</v>
      </c>
      <c r="F96" s="78">
        <v>0</v>
      </c>
      <c r="G96" s="79">
        <v>0</v>
      </c>
      <c r="H96" s="78">
        <v>0</v>
      </c>
      <c r="I96" s="78">
        <v>0</v>
      </c>
      <c r="J96" s="78"/>
    </row>
    <row r="97" spans="1:10" x14ac:dyDescent="0.25">
      <c r="A97" s="78">
        <v>2510370</v>
      </c>
      <c r="B97" s="78" t="s">
        <v>297</v>
      </c>
      <c r="C97" s="78" t="s">
        <v>35</v>
      </c>
      <c r="D97" s="78">
        <v>0</v>
      </c>
      <c r="E97" s="78">
        <v>0</v>
      </c>
      <c r="F97" s="78">
        <v>0</v>
      </c>
      <c r="G97" s="79">
        <v>0</v>
      </c>
      <c r="H97" s="78">
        <v>0</v>
      </c>
      <c r="I97" s="78">
        <v>0</v>
      </c>
      <c r="J97" s="78"/>
    </row>
    <row r="98" spans="1:10" x14ac:dyDescent="0.25">
      <c r="A98" s="78">
        <v>2510440</v>
      </c>
      <c r="B98" s="78" t="s">
        <v>299</v>
      </c>
      <c r="C98" s="78" t="s">
        <v>35</v>
      </c>
      <c r="D98" s="78">
        <v>0</v>
      </c>
      <c r="E98" s="78">
        <v>0</v>
      </c>
      <c r="F98" s="78">
        <v>0</v>
      </c>
      <c r="G98" s="79">
        <v>0</v>
      </c>
      <c r="H98" s="78">
        <v>0</v>
      </c>
      <c r="I98" s="78">
        <v>0</v>
      </c>
      <c r="J98" s="78"/>
    </row>
    <row r="99" spans="1:10" x14ac:dyDescent="0.25">
      <c r="A99" s="78">
        <v>2520040</v>
      </c>
      <c r="B99" s="78" t="s">
        <v>301</v>
      </c>
      <c r="C99" s="78" t="s">
        <v>35</v>
      </c>
      <c r="D99" s="78">
        <v>0</v>
      </c>
      <c r="E99" s="78">
        <v>0</v>
      </c>
      <c r="F99" s="78">
        <v>0</v>
      </c>
      <c r="G99" s="79">
        <v>0</v>
      </c>
      <c r="H99" s="78">
        <v>0</v>
      </c>
      <c r="I99" s="78">
        <v>0</v>
      </c>
      <c r="J99" s="78"/>
    </row>
    <row r="100" spans="1:10" x14ac:dyDescent="0.25">
      <c r="A100" s="78">
        <v>2520096</v>
      </c>
      <c r="B100" s="78" t="s">
        <v>304</v>
      </c>
      <c r="C100" s="78" t="s">
        <v>35</v>
      </c>
      <c r="D100" s="78">
        <v>0</v>
      </c>
      <c r="E100" s="78">
        <v>0</v>
      </c>
      <c r="F100" s="78">
        <v>0</v>
      </c>
      <c r="G100" s="79">
        <v>0</v>
      </c>
      <c r="H100" s="78">
        <v>0</v>
      </c>
      <c r="I100" s="78">
        <v>0</v>
      </c>
      <c r="J100" s="78"/>
    </row>
    <row r="101" spans="1:10" x14ac:dyDescent="0.25">
      <c r="A101" s="78">
        <v>2530010</v>
      </c>
      <c r="B101" s="78" t="s">
        <v>306</v>
      </c>
      <c r="C101" s="78" t="s">
        <v>35</v>
      </c>
      <c r="D101" s="78">
        <v>0</v>
      </c>
      <c r="E101" s="78">
        <v>0</v>
      </c>
      <c r="F101" s="78">
        <v>0</v>
      </c>
      <c r="G101" s="79">
        <v>0</v>
      </c>
      <c r="H101" s="78">
        <v>0</v>
      </c>
      <c r="I101" s="78">
        <v>0</v>
      </c>
      <c r="J101" s="78"/>
    </row>
    <row r="102" spans="1:10" x14ac:dyDescent="0.25">
      <c r="A102" s="78">
        <v>2530020</v>
      </c>
      <c r="B102" s="78" t="s">
        <v>241</v>
      </c>
      <c r="C102" s="78" t="s">
        <v>35</v>
      </c>
      <c r="D102" s="78">
        <v>0</v>
      </c>
      <c r="E102" s="78">
        <v>0</v>
      </c>
      <c r="F102" s="78">
        <v>0</v>
      </c>
      <c r="G102" s="79">
        <v>0</v>
      </c>
      <c r="H102" s="78">
        <v>0</v>
      </c>
      <c r="I102" s="78">
        <v>0</v>
      </c>
      <c r="J102" s="78"/>
    </row>
    <row r="103" spans="1:10" x14ac:dyDescent="0.25">
      <c r="A103" s="78">
        <v>2530040</v>
      </c>
      <c r="B103" s="78" t="s">
        <v>310</v>
      </c>
      <c r="C103" s="78" t="s">
        <v>35</v>
      </c>
      <c r="D103" s="78">
        <v>0</v>
      </c>
      <c r="E103" s="78">
        <v>0</v>
      </c>
      <c r="F103" s="78">
        <v>0</v>
      </c>
      <c r="G103" s="79">
        <v>0</v>
      </c>
      <c r="H103" s="78">
        <v>0</v>
      </c>
      <c r="I103" s="78">
        <v>0</v>
      </c>
      <c r="J103" s="78"/>
    </row>
    <row r="104" spans="1:10" x14ac:dyDescent="0.25">
      <c r="A104" s="78">
        <v>2530050</v>
      </c>
      <c r="B104" s="78" t="s">
        <v>251</v>
      </c>
      <c r="C104" s="78" t="s">
        <v>35</v>
      </c>
      <c r="D104" s="78">
        <v>0</v>
      </c>
      <c r="E104" s="78">
        <v>0</v>
      </c>
      <c r="F104" s="78">
        <v>0</v>
      </c>
      <c r="G104" s="79">
        <v>0</v>
      </c>
      <c r="H104" s="78">
        <v>0</v>
      </c>
      <c r="I104" s="78">
        <v>0</v>
      </c>
      <c r="J104" s="78"/>
    </row>
    <row r="105" spans="1:10" x14ac:dyDescent="0.25">
      <c r="A105" s="78">
        <v>25300513</v>
      </c>
      <c r="B105" s="78" t="s">
        <v>313</v>
      </c>
      <c r="C105" s="78" t="s">
        <v>314</v>
      </c>
      <c r="D105" s="78">
        <v>0</v>
      </c>
      <c r="E105" s="78">
        <v>0</v>
      </c>
      <c r="F105" s="78">
        <v>0</v>
      </c>
      <c r="G105" s="79">
        <v>0</v>
      </c>
      <c r="H105" s="78">
        <v>0</v>
      </c>
      <c r="I105" s="78">
        <v>0</v>
      </c>
      <c r="J105" s="78"/>
    </row>
    <row r="106" spans="1:10" x14ac:dyDescent="0.25">
      <c r="A106" s="78">
        <v>2530060</v>
      </c>
      <c r="B106" s="78" t="s">
        <v>316</v>
      </c>
      <c r="C106" s="78" t="s">
        <v>35</v>
      </c>
      <c r="D106" s="78">
        <v>0</v>
      </c>
      <c r="E106" s="78">
        <v>0</v>
      </c>
      <c r="F106" s="78">
        <v>0</v>
      </c>
      <c r="G106" s="79">
        <v>0</v>
      </c>
      <c r="H106" s="78">
        <v>0</v>
      </c>
      <c r="I106" s="78">
        <v>0</v>
      </c>
      <c r="J106" s="78"/>
    </row>
    <row r="107" spans="1:10" x14ac:dyDescent="0.25">
      <c r="A107" s="78">
        <v>2530070</v>
      </c>
      <c r="B107" s="78" t="s">
        <v>318</v>
      </c>
      <c r="C107" s="78" t="s">
        <v>35</v>
      </c>
      <c r="D107" s="78">
        <v>0</v>
      </c>
      <c r="E107" s="78">
        <v>0</v>
      </c>
      <c r="F107" s="78">
        <v>0</v>
      </c>
      <c r="G107" s="79">
        <v>0</v>
      </c>
      <c r="H107" s="78">
        <v>0</v>
      </c>
      <c r="I107" s="78">
        <v>0</v>
      </c>
      <c r="J107" s="78"/>
    </row>
    <row r="108" spans="1:10" x14ac:dyDescent="0.25">
      <c r="A108" s="78">
        <v>2530080</v>
      </c>
      <c r="B108" s="78" t="s">
        <v>320</v>
      </c>
      <c r="C108" s="78" t="s">
        <v>35</v>
      </c>
      <c r="D108" s="78">
        <v>0</v>
      </c>
      <c r="E108" s="78">
        <v>0</v>
      </c>
      <c r="F108" s="78">
        <v>0</v>
      </c>
      <c r="G108" s="79">
        <v>0</v>
      </c>
      <c r="H108" s="78">
        <v>0</v>
      </c>
      <c r="I108" s="78">
        <v>0</v>
      </c>
      <c r="J108" s="78"/>
    </row>
    <row r="109" spans="1:10" x14ac:dyDescent="0.25">
      <c r="A109" s="78">
        <v>2530100</v>
      </c>
      <c r="B109" s="78" t="s">
        <v>322</v>
      </c>
      <c r="C109" s="78" t="s">
        <v>35</v>
      </c>
      <c r="D109" s="78">
        <v>0</v>
      </c>
      <c r="E109" s="78">
        <v>0</v>
      </c>
      <c r="F109" s="78">
        <v>0</v>
      </c>
      <c r="G109" s="79">
        <v>0</v>
      </c>
      <c r="H109" s="78">
        <v>0</v>
      </c>
      <c r="I109" s="78">
        <v>0</v>
      </c>
      <c r="J109" s="78"/>
    </row>
    <row r="110" spans="1:10" x14ac:dyDescent="0.25">
      <c r="A110" s="78">
        <v>2530110</v>
      </c>
      <c r="B110" s="78" t="s">
        <v>313</v>
      </c>
      <c r="C110" s="78" t="s">
        <v>35</v>
      </c>
      <c r="D110" s="78">
        <v>0</v>
      </c>
      <c r="E110" s="78">
        <v>0</v>
      </c>
      <c r="F110" s="78">
        <v>0</v>
      </c>
      <c r="G110" s="79">
        <v>0</v>
      </c>
      <c r="H110" s="78">
        <v>0</v>
      </c>
      <c r="I110" s="78">
        <v>0</v>
      </c>
      <c r="J110" s="78"/>
    </row>
    <row r="111" spans="1:10" x14ac:dyDescent="0.25">
      <c r="A111" s="78">
        <v>2530120</v>
      </c>
      <c r="B111" s="78" t="s">
        <v>325</v>
      </c>
      <c r="C111" s="78" t="s">
        <v>35</v>
      </c>
      <c r="D111" s="78">
        <v>0</v>
      </c>
      <c r="E111" s="78">
        <v>0</v>
      </c>
      <c r="F111" s="78">
        <v>0</v>
      </c>
      <c r="G111" s="79">
        <v>0</v>
      </c>
      <c r="H111" s="78">
        <v>0</v>
      </c>
      <c r="I111" s="78">
        <v>0</v>
      </c>
      <c r="J111" s="78"/>
    </row>
    <row r="112" spans="1:10" x14ac:dyDescent="0.25">
      <c r="A112" s="78">
        <v>2530130</v>
      </c>
      <c r="B112" s="78" t="s">
        <v>291</v>
      </c>
      <c r="C112" s="78" t="s">
        <v>35</v>
      </c>
      <c r="D112" s="78">
        <v>0</v>
      </c>
      <c r="E112" s="78">
        <v>0</v>
      </c>
      <c r="F112" s="78">
        <v>0</v>
      </c>
      <c r="G112" s="79">
        <v>0</v>
      </c>
      <c r="H112" s="78">
        <v>0</v>
      </c>
      <c r="I112" s="78">
        <v>0</v>
      </c>
      <c r="J112" s="78"/>
    </row>
    <row r="113" spans="1:10" x14ac:dyDescent="0.25">
      <c r="A113" s="78">
        <v>2530312</v>
      </c>
      <c r="B113" s="78" t="s">
        <v>328</v>
      </c>
      <c r="C113" s="78" t="s">
        <v>35</v>
      </c>
      <c r="D113" s="78">
        <v>0</v>
      </c>
      <c r="E113" s="78">
        <v>0</v>
      </c>
      <c r="F113" s="78">
        <v>0</v>
      </c>
      <c r="G113" s="79">
        <v>0</v>
      </c>
      <c r="H113" s="78">
        <v>0</v>
      </c>
      <c r="I113" s="78">
        <v>0</v>
      </c>
      <c r="J113" s="78"/>
    </row>
    <row r="114" spans="1:10" x14ac:dyDescent="0.25">
      <c r="A114" s="78">
        <v>2530313</v>
      </c>
      <c r="B114" s="78" t="s">
        <v>55</v>
      </c>
      <c r="C114" s="78" t="s">
        <v>35</v>
      </c>
      <c r="D114" s="78">
        <v>0</v>
      </c>
      <c r="E114" s="78">
        <v>0</v>
      </c>
      <c r="F114" s="78">
        <v>0</v>
      </c>
      <c r="G114" s="79">
        <v>0</v>
      </c>
      <c r="H114" s="78">
        <v>0</v>
      </c>
      <c r="I114" s="78">
        <v>0</v>
      </c>
      <c r="J114" s="78"/>
    </row>
    <row r="115" spans="1:10" x14ac:dyDescent="0.25">
      <c r="A115" s="78">
        <v>2530432</v>
      </c>
      <c r="B115" s="78" t="s">
        <v>330</v>
      </c>
      <c r="C115" s="78" t="s">
        <v>35</v>
      </c>
      <c r="D115" s="78">
        <v>0</v>
      </c>
      <c r="E115" s="78">
        <v>0</v>
      </c>
      <c r="F115" s="78">
        <v>0</v>
      </c>
      <c r="G115" s="79">
        <v>0</v>
      </c>
      <c r="H115" s="78">
        <v>0</v>
      </c>
      <c r="I115" s="78">
        <v>0</v>
      </c>
      <c r="J115" s="78"/>
    </row>
    <row r="116" spans="1:10" x14ac:dyDescent="0.25">
      <c r="A116" s="78">
        <v>2530981</v>
      </c>
      <c r="B116" s="78" t="s">
        <v>332</v>
      </c>
      <c r="C116" s="78" t="s">
        <v>333</v>
      </c>
      <c r="D116" s="78">
        <v>0</v>
      </c>
      <c r="E116" s="78">
        <v>0</v>
      </c>
      <c r="F116" s="78">
        <v>0</v>
      </c>
      <c r="G116" s="79">
        <v>0</v>
      </c>
      <c r="H116" s="78">
        <v>0</v>
      </c>
      <c r="I116" s="78">
        <v>0</v>
      </c>
      <c r="J116" s="78"/>
    </row>
    <row r="117" spans="1:10" x14ac:dyDescent="0.25">
      <c r="A117" s="78">
        <v>2540020</v>
      </c>
      <c r="B117" s="78" t="s">
        <v>335</v>
      </c>
      <c r="C117" s="78" t="s">
        <v>35</v>
      </c>
      <c r="D117" s="78">
        <v>0</v>
      </c>
      <c r="E117" s="78">
        <v>0</v>
      </c>
      <c r="F117" s="78">
        <v>0</v>
      </c>
      <c r="G117" s="79">
        <v>0</v>
      </c>
      <c r="H117" s="78">
        <v>0</v>
      </c>
      <c r="I117" s="78">
        <v>0</v>
      </c>
      <c r="J117" s="78"/>
    </row>
    <row r="118" spans="1:10" x14ac:dyDescent="0.25">
      <c r="A118" s="78">
        <v>2540030</v>
      </c>
      <c r="B118" s="78" t="s">
        <v>338</v>
      </c>
      <c r="C118" s="78" t="s">
        <v>35</v>
      </c>
      <c r="D118" s="78">
        <v>0</v>
      </c>
      <c r="E118" s="78">
        <v>0</v>
      </c>
      <c r="F118" s="78">
        <v>0</v>
      </c>
      <c r="G118" s="79">
        <v>0</v>
      </c>
      <c r="H118" s="78">
        <v>0</v>
      </c>
      <c r="I118" s="78">
        <v>0</v>
      </c>
      <c r="J118" s="78"/>
    </row>
    <row r="119" spans="1:10" x14ac:dyDescent="0.25">
      <c r="A119" s="78">
        <v>25400385</v>
      </c>
      <c r="B119" s="78" t="s">
        <v>340</v>
      </c>
      <c r="C119" s="78" t="s">
        <v>314</v>
      </c>
      <c r="D119" s="78">
        <v>0</v>
      </c>
      <c r="E119" s="78">
        <v>0</v>
      </c>
      <c r="F119" s="78">
        <v>0</v>
      </c>
      <c r="G119" s="79">
        <v>0</v>
      </c>
      <c r="H119" s="78">
        <v>0</v>
      </c>
      <c r="I119" s="78">
        <v>0</v>
      </c>
      <c r="J119" s="78"/>
    </row>
    <row r="120" spans="1:10" x14ac:dyDescent="0.25">
      <c r="A120" s="78">
        <v>2540050</v>
      </c>
      <c r="B120" s="78" t="s">
        <v>342</v>
      </c>
      <c r="C120" s="78" t="s">
        <v>35</v>
      </c>
      <c r="D120" s="78">
        <v>0</v>
      </c>
      <c r="E120" s="78">
        <v>0</v>
      </c>
      <c r="F120" s="78">
        <v>0</v>
      </c>
      <c r="G120" s="79">
        <v>0</v>
      </c>
      <c r="H120" s="78">
        <v>0</v>
      </c>
      <c r="I120" s="78">
        <v>0</v>
      </c>
      <c r="J120" s="78"/>
    </row>
    <row r="121" spans="1:10" x14ac:dyDescent="0.25">
      <c r="A121" s="78">
        <v>2540055</v>
      </c>
      <c r="B121" s="78" t="s">
        <v>344</v>
      </c>
      <c r="C121" s="78" t="s">
        <v>35</v>
      </c>
      <c r="D121" s="78">
        <v>0</v>
      </c>
      <c r="E121" s="78">
        <v>0</v>
      </c>
      <c r="F121" s="78">
        <v>0</v>
      </c>
      <c r="G121" s="79">
        <v>0</v>
      </c>
      <c r="H121" s="78">
        <v>0</v>
      </c>
      <c r="I121" s="78">
        <v>0</v>
      </c>
      <c r="J121" s="78"/>
    </row>
    <row r="122" spans="1:10" x14ac:dyDescent="0.25">
      <c r="A122" s="78">
        <v>2540090</v>
      </c>
      <c r="B122" s="78" t="s">
        <v>346</v>
      </c>
      <c r="C122" s="78" t="s">
        <v>35</v>
      </c>
      <c r="D122" s="78">
        <v>0</v>
      </c>
      <c r="E122" s="78">
        <v>0</v>
      </c>
      <c r="F122" s="78">
        <v>0</v>
      </c>
      <c r="G122" s="79">
        <v>0</v>
      </c>
      <c r="H122" s="78">
        <v>0</v>
      </c>
      <c r="I122" s="78">
        <v>0</v>
      </c>
      <c r="J122" s="78"/>
    </row>
    <row r="123" spans="1:10" x14ac:dyDescent="0.25">
      <c r="A123" s="78">
        <v>2540100</v>
      </c>
      <c r="B123" s="78" t="s">
        <v>348</v>
      </c>
      <c r="C123" s="78" t="s">
        <v>35</v>
      </c>
      <c r="D123" s="78">
        <v>0</v>
      </c>
      <c r="E123" s="78">
        <v>0</v>
      </c>
      <c r="F123" s="78">
        <v>0</v>
      </c>
      <c r="G123" s="79">
        <v>0</v>
      </c>
      <c r="H123" s="78">
        <v>0</v>
      </c>
      <c r="I123" s="78">
        <v>0</v>
      </c>
      <c r="J123" s="78"/>
    </row>
    <row r="124" spans="1:10" x14ac:dyDescent="0.25">
      <c r="A124" s="78">
        <v>2550120</v>
      </c>
      <c r="B124" s="78" t="s">
        <v>350</v>
      </c>
      <c r="C124" s="78" t="s">
        <v>352</v>
      </c>
      <c r="D124" s="78">
        <v>0</v>
      </c>
      <c r="E124" s="78">
        <v>0</v>
      </c>
      <c r="F124" s="78">
        <v>0</v>
      </c>
      <c r="G124" s="79">
        <v>0</v>
      </c>
      <c r="H124" s="78">
        <v>0</v>
      </c>
      <c r="I124" s="78">
        <v>0</v>
      </c>
      <c r="J124" s="78"/>
    </row>
    <row r="125" spans="1:10" x14ac:dyDescent="0.25">
      <c r="A125" s="78">
        <v>2550190</v>
      </c>
      <c r="B125" s="78" t="s">
        <v>354</v>
      </c>
      <c r="C125" s="78" t="s">
        <v>355</v>
      </c>
      <c r="D125" s="78">
        <v>0</v>
      </c>
      <c r="E125" s="78">
        <v>0</v>
      </c>
      <c r="F125" s="78">
        <v>0</v>
      </c>
      <c r="G125" s="79">
        <v>0</v>
      </c>
      <c r="H125" s="78">
        <v>0</v>
      </c>
      <c r="I125" s="78">
        <v>0</v>
      </c>
      <c r="J125" s="78"/>
    </row>
    <row r="126" spans="1:10" x14ac:dyDescent="0.25">
      <c r="A126" s="78">
        <v>2550453</v>
      </c>
      <c r="B126" s="78" t="s">
        <v>357</v>
      </c>
      <c r="C126" s="78" t="s">
        <v>355</v>
      </c>
      <c r="D126" s="78">
        <v>0</v>
      </c>
      <c r="E126" s="78">
        <v>0</v>
      </c>
      <c r="F126" s="78">
        <v>0</v>
      </c>
      <c r="G126" s="79">
        <v>0</v>
      </c>
      <c r="H126" s="78">
        <v>0</v>
      </c>
      <c r="I126" s="78">
        <v>0</v>
      </c>
      <c r="J126" s="78"/>
    </row>
    <row r="127" spans="1:10" x14ac:dyDescent="0.25">
      <c r="A127" s="78">
        <v>2550476</v>
      </c>
      <c r="B127" s="78" t="s">
        <v>350</v>
      </c>
      <c r="C127" s="78" t="s">
        <v>359</v>
      </c>
      <c r="D127" s="78">
        <v>0</v>
      </c>
      <c r="E127" s="78">
        <v>0</v>
      </c>
      <c r="F127" s="78">
        <v>0</v>
      </c>
      <c r="G127" s="79">
        <v>0</v>
      </c>
      <c r="H127" s="78">
        <v>0</v>
      </c>
      <c r="I127" s="78">
        <v>0</v>
      </c>
      <c r="J127" s="78"/>
    </row>
    <row r="128" spans="1:10" x14ac:dyDescent="0.25">
      <c r="A128" s="78">
        <v>2550512</v>
      </c>
      <c r="B128" s="78" t="s">
        <v>354</v>
      </c>
      <c r="C128" s="78" t="s">
        <v>361</v>
      </c>
      <c r="D128" s="78">
        <v>0</v>
      </c>
      <c r="E128" s="78">
        <v>0</v>
      </c>
      <c r="F128" s="78">
        <v>0</v>
      </c>
      <c r="G128" s="79">
        <v>0</v>
      </c>
      <c r="H128" s="78">
        <v>0</v>
      </c>
      <c r="I128" s="78">
        <v>0</v>
      </c>
      <c r="J128" s="78"/>
    </row>
    <row r="129" spans="1:10" x14ac:dyDescent="0.25">
      <c r="A129" s="78">
        <v>3010015</v>
      </c>
      <c r="B129" s="78" t="s">
        <v>363</v>
      </c>
      <c r="C129" s="78" t="s">
        <v>35</v>
      </c>
      <c r="D129" s="78">
        <v>0</v>
      </c>
      <c r="E129" s="78">
        <v>0</v>
      </c>
      <c r="F129" s="78">
        <v>0</v>
      </c>
      <c r="G129" s="79">
        <v>0</v>
      </c>
      <c r="H129" s="78">
        <v>0</v>
      </c>
      <c r="I129" s="78">
        <v>0</v>
      </c>
      <c r="J129" s="78"/>
    </row>
    <row r="130" spans="1:10" x14ac:dyDescent="0.25">
      <c r="A130" s="78">
        <v>3010020</v>
      </c>
      <c r="B130" s="78" t="s">
        <v>366</v>
      </c>
      <c r="C130" s="78" t="s">
        <v>35</v>
      </c>
      <c r="D130" s="78">
        <v>0</v>
      </c>
      <c r="E130" s="78">
        <v>0</v>
      </c>
      <c r="F130" s="78">
        <v>0</v>
      </c>
      <c r="G130" s="79">
        <v>0</v>
      </c>
      <c r="H130" s="78">
        <v>0</v>
      </c>
      <c r="I130" s="78">
        <v>0</v>
      </c>
      <c r="J130" s="78"/>
    </row>
    <row r="131" spans="1:10" x14ac:dyDescent="0.25">
      <c r="A131" s="78">
        <v>3010050</v>
      </c>
      <c r="B131" s="78" t="s">
        <v>368</v>
      </c>
      <c r="C131" s="78" t="s">
        <v>35</v>
      </c>
      <c r="D131" s="78">
        <v>0</v>
      </c>
      <c r="E131" s="78">
        <v>0</v>
      </c>
      <c r="F131" s="78">
        <v>0</v>
      </c>
      <c r="G131" s="79">
        <v>0</v>
      </c>
      <c r="H131" s="78">
        <v>0</v>
      </c>
      <c r="I131" s="78">
        <v>0</v>
      </c>
      <c r="J131" s="78"/>
    </row>
    <row r="132" spans="1:10" x14ac:dyDescent="0.25">
      <c r="A132" s="78">
        <v>3010100</v>
      </c>
      <c r="B132" s="78" t="s">
        <v>370</v>
      </c>
      <c r="C132" s="78" t="s">
        <v>35</v>
      </c>
      <c r="D132" s="78">
        <v>0</v>
      </c>
      <c r="E132" s="78">
        <v>0</v>
      </c>
      <c r="F132" s="78">
        <v>0</v>
      </c>
      <c r="G132" s="79">
        <v>0</v>
      </c>
      <c r="H132" s="78">
        <v>0</v>
      </c>
      <c r="I132" s="78">
        <v>0</v>
      </c>
      <c r="J132" s="78"/>
    </row>
    <row r="133" spans="1:10" x14ac:dyDescent="0.25">
      <c r="A133" s="78">
        <v>3010120</v>
      </c>
      <c r="B133" s="78" t="s">
        <v>372</v>
      </c>
      <c r="C133" s="78" t="s">
        <v>35</v>
      </c>
      <c r="D133" s="78">
        <v>0</v>
      </c>
      <c r="E133" s="78">
        <v>0</v>
      </c>
      <c r="F133" s="78">
        <v>0</v>
      </c>
      <c r="G133" s="79">
        <v>0</v>
      </c>
      <c r="H133" s="78">
        <v>0</v>
      </c>
      <c r="I133" s="78">
        <v>0</v>
      </c>
      <c r="J133" s="78"/>
    </row>
    <row r="134" spans="1:10" x14ac:dyDescent="0.25">
      <c r="A134" s="78">
        <v>3010130</v>
      </c>
      <c r="B134" s="78" t="s">
        <v>374</v>
      </c>
      <c r="C134" s="78" t="s">
        <v>35</v>
      </c>
      <c r="D134" s="78">
        <v>0</v>
      </c>
      <c r="E134" s="78">
        <v>0</v>
      </c>
      <c r="F134" s="78">
        <v>0</v>
      </c>
      <c r="G134" s="79">
        <v>0</v>
      </c>
      <c r="H134" s="78">
        <v>0</v>
      </c>
      <c r="I134" s="78">
        <v>0</v>
      </c>
      <c r="J134" s="78"/>
    </row>
    <row r="135" spans="1:10" x14ac:dyDescent="0.25">
      <c r="A135" s="78">
        <v>3010140</v>
      </c>
      <c r="B135" s="78" t="s">
        <v>376</v>
      </c>
      <c r="C135" s="78" t="s">
        <v>35</v>
      </c>
      <c r="D135" s="78">
        <v>0</v>
      </c>
      <c r="E135" s="78">
        <v>0</v>
      </c>
      <c r="F135" s="78">
        <v>0</v>
      </c>
      <c r="G135" s="79">
        <v>0</v>
      </c>
      <c r="H135" s="78">
        <v>0</v>
      </c>
      <c r="I135" s="78">
        <v>0</v>
      </c>
      <c r="J135" s="78"/>
    </row>
    <row r="136" spans="1:10" x14ac:dyDescent="0.25">
      <c r="A136" s="78">
        <v>3010141</v>
      </c>
      <c r="B136" s="78" t="s">
        <v>378</v>
      </c>
      <c r="C136" s="78" t="s">
        <v>35</v>
      </c>
      <c r="D136" s="78">
        <v>0</v>
      </c>
      <c r="E136" s="78">
        <v>0</v>
      </c>
      <c r="F136" s="78">
        <v>0</v>
      </c>
      <c r="G136" s="79">
        <v>0</v>
      </c>
      <c r="H136" s="78">
        <v>0</v>
      </c>
      <c r="I136" s="78">
        <v>0</v>
      </c>
      <c r="J136" s="78"/>
    </row>
    <row r="137" spans="1:10" x14ac:dyDescent="0.25">
      <c r="A137" s="78">
        <v>3010160</v>
      </c>
      <c r="B137" s="78" t="s">
        <v>380</v>
      </c>
      <c r="C137" s="78" t="s">
        <v>35</v>
      </c>
      <c r="D137" s="78">
        <v>0</v>
      </c>
      <c r="E137" s="78">
        <v>0</v>
      </c>
      <c r="F137" s="78">
        <v>0</v>
      </c>
      <c r="G137" s="79">
        <v>0</v>
      </c>
      <c r="H137" s="78">
        <v>0</v>
      </c>
      <c r="I137" s="78">
        <v>0</v>
      </c>
      <c r="J137" s="78"/>
    </row>
    <row r="138" spans="1:10" x14ac:dyDescent="0.25">
      <c r="A138" s="78">
        <v>3010180</v>
      </c>
      <c r="B138" s="78" t="s">
        <v>382</v>
      </c>
      <c r="C138" s="78" t="s">
        <v>35</v>
      </c>
      <c r="D138" s="78">
        <v>0</v>
      </c>
      <c r="E138" s="78">
        <v>0</v>
      </c>
      <c r="F138" s="78">
        <v>0</v>
      </c>
      <c r="G138" s="79">
        <v>0</v>
      </c>
      <c r="H138" s="78">
        <v>0</v>
      </c>
      <c r="I138" s="78">
        <v>0</v>
      </c>
      <c r="J138" s="78"/>
    </row>
    <row r="139" spans="1:10" x14ac:dyDescent="0.25">
      <c r="A139" s="78">
        <v>3010200</v>
      </c>
      <c r="B139" s="78" t="s">
        <v>384</v>
      </c>
      <c r="C139" s="78" t="s">
        <v>35</v>
      </c>
      <c r="D139" s="78">
        <v>0</v>
      </c>
      <c r="E139" s="78">
        <v>0</v>
      </c>
      <c r="F139" s="78">
        <v>0</v>
      </c>
      <c r="G139" s="79">
        <v>0</v>
      </c>
      <c r="H139" s="78">
        <v>0</v>
      </c>
      <c r="I139" s="78">
        <v>0</v>
      </c>
      <c r="J139" s="78"/>
    </row>
    <row r="140" spans="1:10" x14ac:dyDescent="0.25">
      <c r="A140" s="78">
        <v>3010250</v>
      </c>
      <c r="B140" s="78" t="s">
        <v>386</v>
      </c>
      <c r="C140" s="78" t="s">
        <v>35</v>
      </c>
      <c r="D140" s="78">
        <v>0</v>
      </c>
      <c r="E140" s="78">
        <v>0</v>
      </c>
      <c r="F140" s="78">
        <v>0</v>
      </c>
      <c r="G140" s="79">
        <v>0</v>
      </c>
      <c r="H140" s="78">
        <v>0</v>
      </c>
      <c r="I140" s="78">
        <v>0</v>
      </c>
      <c r="J140" s="78"/>
    </row>
    <row r="141" spans="1:10" x14ac:dyDescent="0.25">
      <c r="A141" s="78">
        <v>3020040</v>
      </c>
      <c r="B141" s="78" t="s">
        <v>45</v>
      </c>
      <c r="C141" s="78" t="s">
        <v>35</v>
      </c>
      <c r="D141" s="78">
        <v>0</v>
      </c>
      <c r="E141" s="78">
        <v>0</v>
      </c>
      <c r="F141" s="78">
        <v>0</v>
      </c>
      <c r="G141" s="79">
        <v>0</v>
      </c>
      <c r="H141" s="78">
        <v>0</v>
      </c>
      <c r="I141" s="78">
        <v>0</v>
      </c>
      <c r="J141" s="78"/>
    </row>
    <row r="142" spans="1:10" x14ac:dyDescent="0.25">
      <c r="A142" s="78">
        <v>3020060</v>
      </c>
      <c r="B142" s="78" t="s">
        <v>390</v>
      </c>
      <c r="C142" s="78" t="s">
        <v>35</v>
      </c>
      <c r="D142" s="78">
        <v>0</v>
      </c>
      <c r="E142" s="78">
        <v>0</v>
      </c>
      <c r="F142" s="78">
        <v>0</v>
      </c>
      <c r="G142" s="79">
        <v>0</v>
      </c>
      <c r="H142" s="78">
        <v>0</v>
      </c>
      <c r="I142" s="78">
        <v>0</v>
      </c>
      <c r="J142" s="78"/>
    </row>
    <row r="143" spans="1:10" x14ac:dyDescent="0.25">
      <c r="A143" s="78">
        <v>3020100</v>
      </c>
      <c r="B143" s="78" t="s">
        <v>392</v>
      </c>
      <c r="C143" s="78" t="s">
        <v>35</v>
      </c>
      <c r="D143" s="78">
        <v>0</v>
      </c>
      <c r="E143" s="78">
        <v>0</v>
      </c>
      <c r="F143" s="78">
        <v>0</v>
      </c>
      <c r="G143" s="79">
        <v>0</v>
      </c>
      <c r="H143" s="78">
        <v>0</v>
      </c>
      <c r="I143" s="78">
        <v>0</v>
      </c>
      <c r="J143" s="78"/>
    </row>
    <row r="144" spans="1:10" x14ac:dyDescent="0.25">
      <c r="A144" s="78">
        <v>3020140</v>
      </c>
      <c r="B144" s="78" t="s">
        <v>394</v>
      </c>
      <c r="C144" s="78" t="s">
        <v>35</v>
      </c>
      <c r="D144" s="78">
        <v>0</v>
      </c>
      <c r="E144" s="78">
        <v>0</v>
      </c>
      <c r="F144" s="78">
        <v>0</v>
      </c>
      <c r="G144" s="79">
        <v>0</v>
      </c>
      <c r="H144" s="78">
        <v>0</v>
      </c>
      <c r="I144" s="78">
        <v>0</v>
      </c>
      <c r="J144" s="78"/>
    </row>
    <row r="145" spans="1:10" x14ac:dyDescent="0.25">
      <c r="A145" s="78">
        <v>3020401</v>
      </c>
      <c r="B145" s="78" t="s">
        <v>45</v>
      </c>
      <c r="C145" s="78" t="s">
        <v>46</v>
      </c>
      <c r="D145" s="78">
        <v>0</v>
      </c>
      <c r="E145" s="78">
        <v>0</v>
      </c>
      <c r="F145" s="78">
        <v>0</v>
      </c>
      <c r="G145" s="79">
        <v>0</v>
      </c>
      <c r="H145" s="78">
        <v>0</v>
      </c>
      <c r="I145" s="78">
        <v>0</v>
      </c>
      <c r="J145" s="78"/>
    </row>
    <row r="146" spans="1:10" x14ac:dyDescent="0.25">
      <c r="A146" s="78">
        <v>3020456</v>
      </c>
      <c r="B146" s="78" t="s">
        <v>390</v>
      </c>
      <c r="C146" s="78" t="s">
        <v>46</v>
      </c>
      <c r="D146" s="78">
        <v>0</v>
      </c>
      <c r="E146" s="78">
        <v>0</v>
      </c>
      <c r="F146" s="78">
        <v>0</v>
      </c>
      <c r="G146" s="79">
        <v>0</v>
      </c>
      <c r="H146" s="78">
        <v>0</v>
      </c>
      <c r="I146" s="78">
        <v>0</v>
      </c>
      <c r="J146" s="78"/>
    </row>
    <row r="147" spans="1:10" x14ac:dyDescent="0.25">
      <c r="A147" s="78">
        <v>3030030</v>
      </c>
      <c r="B147" s="78" t="s">
        <v>397</v>
      </c>
      <c r="C147" s="78" t="s">
        <v>352</v>
      </c>
      <c r="D147" s="78">
        <v>0</v>
      </c>
      <c r="E147" s="78">
        <v>0</v>
      </c>
      <c r="F147" s="78">
        <v>0</v>
      </c>
      <c r="G147" s="79">
        <v>0</v>
      </c>
      <c r="H147" s="78">
        <v>0</v>
      </c>
      <c r="I147" s="78">
        <v>0</v>
      </c>
      <c r="J147" s="78"/>
    </row>
    <row r="148" spans="1:10" x14ac:dyDescent="0.25">
      <c r="A148" s="78">
        <v>3030060</v>
      </c>
      <c r="B148" s="78" t="s">
        <v>400</v>
      </c>
      <c r="C148" s="78" t="s">
        <v>401</v>
      </c>
      <c r="D148" s="78">
        <v>0</v>
      </c>
      <c r="E148" s="78">
        <v>0</v>
      </c>
      <c r="F148" s="78">
        <v>0</v>
      </c>
      <c r="G148" s="79">
        <v>0</v>
      </c>
      <c r="H148" s="78">
        <v>0</v>
      </c>
      <c r="I148" s="78">
        <v>0</v>
      </c>
      <c r="J148" s="78"/>
    </row>
    <row r="149" spans="1:10" x14ac:dyDescent="0.25">
      <c r="A149" s="78">
        <v>3030143</v>
      </c>
      <c r="B149" s="78" t="s">
        <v>397</v>
      </c>
      <c r="C149" s="78" t="s">
        <v>355</v>
      </c>
      <c r="D149" s="78">
        <v>0</v>
      </c>
      <c r="E149" s="78">
        <v>0</v>
      </c>
      <c r="F149" s="78">
        <v>0</v>
      </c>
      <c r="G149" s="79">
        <v>0</v>
      </c>
      <c r="H149" s="78">
        <v>0</v>
      </c>
      <c r="I149" s="78">
        <v>0</v>
      </c>
      <c r="J149" s="78"/>
    </row>
    <row r="150" spans="1:10" x14ac:dyDescent="0.25">
      <c r="A150" s="78">
        <v>3030157</v>
      </c>
      <c r="B150" s="78" t="s">
        <v>397</v>
      </c>
      <c r="C150" s="78" t="s">
        <v>401</v>
      </c>
      <c r="D150" s="78">
        <v>0</v>
      </c>
      <c r="E150" s="78">
        <v>0</v>
      </c>
      <c r="F150" s="78">
        <v>0</v>
      </c>
      <c r="G150" s="79">
        <v>0</v>
      </c>
      <c r="H150" s="78">
        <v>0</v>
      </c>
      <c r="I150" s="78">
        <v>0</v>
      </c>
      <c r="J150" s="78"/>
    </row>
    <row r="151" spans="1:10" x14ac:dyDescent="0.25">
      <c r="A151" s="78">
        <v>3030167</v>
      </c>
      <c r="B151" s="78" t="s">
        <v>382</v>
      </c>
      <c r="C151" s="78" t="s">
        <v>352</v>
      </c>
      <c r="D151" s="78">
        <v>0</v>
      </c>
      <c r="E151" s="78">
        <v>0</v>
      </c>
      <c r="F151" s="78">
        <v>0</v>
      </c>
      <c r="G151" s="79">
        <v>0</v>
      </c>
      <c r="H151" s="78">
        <v>0</v>
      </c>
      <c r="I151" s="78">
        <v>0</v>
      </c>
      <c r="J151" s="78"/>
    </row>
    <row r="152" spans="1:10" x14ac:dyDescent="0.25">
      <c r="A152" s="78">
        <v>3030211</v>
      </c>
      <c r="B152" s="78" t="s">
        <v>397</v>
      </c>
      <c r="C152" s="78" t="s">
        <v>361</v>
      </c>
      <c r="D152" s="78">
        <v>0</v>
      </c>
      <c r="E152" s="78">
        <v>0</v>
      </c>
      <c r="F152" s="78">
        <v>0</v>
      </c>
      <c r="G152" s="79">
        <v>0</v>
      </c>
      <c r="H152" s="78">
        <v>0</v>
      </c>
      <c r="I152" s="78">
        <v>0</v>
      </c>
      <c r="J152" s="78"/>
    </row>
    <row r="153" spans="1:10" x14ac:dyDescent="0.25">
      <c r="A153" s="78">
        <v>3510010</v>
      </c>
      <c r="B153" s="78" t="s">
        <v>407</v>
      </c>
      <c r="C153" s="78" t="s">
        <v>35</v>
      </c>
      <c r="D153" s="78">
        <v>0</v>
      </c>
      <c r="E153" s="78">
        <v>0</v>
      </c>
      <c r="F153" s="78">
        <v>0</v>
      </c>
      <c r="G153" s="79">
        <v>0</v>
      </c>
      <c r="H153" s="78">
        <v>0</v>
      </c>
      <c r="I153" s="78">
        <v>0</v>
      </c>
      <c r="J153" s="78"/>
    </row>
    <row r="154" spans="1:10" x14ac:dyDescent="0.25">
      <c r="A154" s="78">
        <v>3510020</v>
      </c>
      <c r="B154" s="78" t="s">
        <v>410</v>
      </c>
      <c r="C154" s="78" t="s">
        <v>35</v>
      </c>
      <c r="D154" s="78">
        <v>0</v>
      </c>
      <c r="E154" s="78">
        <v>0</v>
      </c>
      <c r="F154" s="78">
        <v>0</v>
      </c>
      <c r="G154" s="79">
        <v>0</v>
      </c>
      <c r="H154" s="78">
        <v>0</v>
      </c>
      <c r="I154" s="78">
        <v>0</v>
      </c>
      <c r="J154" s="78"/>
    </row>
    <row r="155" spans="1:10" x14ac:dyDescent="0.25">
      <c r="A155" s="78">
        <v>3510035</v>
      </c>
      <c r="B155" s="78" t="s">
        <v>412</v>
      </c>
      <c r="C155" s="78" t="s">
        <v>35</v>
      </c>
      <c r="D155" s="78">
        <v>0</v>
      </c>
      <c r="E155" s="78">
        <v>0</v>
      </c>
      <c r="F155" s="78">
        <v>0</v>
      </c>
      <c r="G155" s="79">
        <v>0</v>
      </c>
      <c r="H155" s="78">
        <v>0</v>
      </c>
      <c r="I155" s="78">
        <v>0</v>
      </c>
      <c r="J155" s="78"/>
    </row>
    <row r="156" spans="1:10" x14ac:dyDescent="0.25">
      <c r="A156" s="78">
        <v>3510060</v>
      </c>
      <c r="B156" s="78" t="s">
        <v>414</v>
      </c>
      <c r="C156" s="78" t="s">
        <v>415</v>
      </c>
      <c r="D156" s="78">
        <v>0</v>
      </c>
      <c r="E156" s="78">
        <v>0</v>
      </c>
      <c r="F156" s="78">
        <v>0</v>
      </c>
      <c r="G156" s="79">
        <v>0</v>
      </c>
      <c r="H156" s="78">
        <v>0</v>
      </c>
      <c r="I156" s="78">
        <v>0</v>
      </c>
      <c r="J156" s="78"/>
    </row>
    <row r="157" spans="1:10" x14ac:dyDescent="0.25">
      <c r="A157" s="78">
        <v>3510070</v>
      </c>
      <c r="B157" s="78" t="s">
        <v>417</v>
      </c>
      <c r="C157" s="78" t="s">
        <v>415</v>
      </c>
      <c r="D157" s="78">
        <v>0</v>
      </c>
      <c r="E157" s="78">
        <v>0</v>
      </c>
      <c r="F157" s="78">
        <v>0</v>
      </c>
      <c r="G157" s="79">
        <v>0</v>
      </c>
      <c r="H157" s="78">
        <v>0</v>
      </c>
      <c r="I157" s="78">
        <v>0</v>
      </c>
      <c r="J157" s="78"/>
    </row>
    <row r="158" spans="1:10" x14ac:dyDescent="0.25">
      <c r="A158" s="78">
        <v>3510086</v>
      </c>
      <c r="B158" s="78" t="s">
        <v>419</v>
      </c>
      <c r="C158" s="78" t="s">
        <v>35</v>
      </c>
      <c r="D158" s="78">
        <v>0</v>
      </c>
      <c r="E158" s="78">
        <v>0</v>
      </c>
      <c r="F158" s="78">
        <v>0</v>
      </c>
      <c r="G158" s="79">
        <v>0</v>
      </c>
      <c r="H158" s="78">
        <v>0</v>
      </c>
      <c r="I158" s="78">
        <v>0</v>
      </c>
      <c r="J158" s="78"/>
    </row>
    <row r="159" spans="1:10" x14ac:dyDescent="0.25">
      <c r="A159" s="78">
        <v>35101510</v>
      </c>
      <c r="B159" s="78" t="s">
        <v>421</v>
      </c>
      <c r="C159" s="78" t="s">
        <v>314</v>
      </c>
      <c r="D159" s="78">
        <v>0</v>
      </c>
      <c r="E159" s="78">
        <v>0</v>
      </c>
      <c r="F159" s="78">
        <v>0</v>
      </c>
      <c r="G159" s="79">
        <v>0</v>
      </c>
      <c r="H159" s="78">
        <v>0</v>
      </c>
      <c r="I159" s="78">
        <v>0</v>
      </c>
      <c r="J159" s="78"/>
    </row>
    <row r="160" spans="1:10" x14ac:dyDescent="0.25">
      <c r="A160" s="78">
        <v>3520020</v>
      </c>
      <c r="B160" s="78" t="s">
        <v>423</v>
      </c>
      <c r="C160" s="78" t="s">
        <v>35</v>
      </c>
      <c r="D160" s="78">
        <v>0</v>
      </c>
      <c r="E160" s="78">
        <v>0</v>
      </c>
      <c r="F160" s="78">
        <v>0</v>
      </c>
      <c r="G160" s="79">
        <v>0</v>
      </c>
      <c r="H160" s="78">
        <v>0</v>
      </c>
      <c r="I160" s="78">
        <v>0</v>
      </c>
      <c r="J160" s="78"/>
    </row>
    <row r="161" spans="1:10" x14ac:dyDescent="0.25">
      <c r="A161" s="78">
        <v>3520060</v>
      </c>
      <c r="B161" s="78" t="s">
        <v>426</v>
      </c>
      <c r="C161" s="78" t="s">
        <v>35</v>
      </c>
      <c r="D161" s="78">
        <v>0</v>
      </c>
      <c r="E161" s="78">
        <v>0</v>
      </c>
      <c r="F161" s="78">
        <v>0</v>
      </c>
      <c r="G161" s="79">
        <v>0</v>
      </c>
      <c r="H161" s="78">
        <v>0</v>
      </c>
      <c r="I161" s="78">
        <v>0</v>
      </c>
      <c r="J161" s="78"/>
    </row>
    <row r="162" spans="1:10" x14ac:dyDescent="0.25">
      <c r="A162" s="78">
        <v>3520080</v>
      </c>
      <c r="B162" s="78" t="s">
        <v>428</v>
      </c>
      <c r="C162" s="78" t="s">
        <v>35</v>
      </c>
      <c r="D162" s="78">
        <v>0</v>
      </c>
      <c r="E162" s="78">
        <v>0</v>
      </c>
      <c r="F162" s="78">
        <v>0</v>
      </c>
      <c r="G162" s="79">
        <v>0</v>
      </c>
      <c r="H162" s="78">
        <v>0</v>
      </c>
      <c r="I162" s="78">
        <v>0</v>
      </c>
      <c r="J162" s="78"/>
    </row>
    <row r="163" spans="1:10" x14ac:dyDescent="0.25">
      <c r="A163" s="78">
        <v>3530010</v>
      </c>
      <c r="B163" s="78" t="s">
        <v>430</v>
      </c>
      <c r="C163" s="78" t="s">
        <v>35</v>
      </c>
      <c r="D163" s="78">
        <v>0</v>
      </c>
      <c r="E163" s="78">
        <v>0</v>
      </c>
      <c r="F163" s="78">
        <v>0</v>
      </c>
      <c r="G163" s="79">
        <v>0</v>
      </c>
      <c r="H163" s="78">
        <v>0</v>
      </c>
      <c r="I163" s="78">
        <v>0</v>
      </c>
      <c r="J163" s="78"/>
    </row>
    <row r="164" spans="1:10" x14ac:dyDescent="0.25">
      <c r="A164" s="78">
        <v>3530040</v>
      </c>
      <c r="B164" s="78" t="s">
        <v>433</v>
      </c>
      <c r="C164" s="78" t="s">
        <v>415</v>
      </c>
      <c r="D164" s="78">
        <v>0</v>
      </c>
      <c r="E164" s="78">
        <v>0</v>
      </c>
      <c r="F164" s="78">
        <v>0</v>
      </c>
      <c r="G164" s="79">
        <v>0</v>
      </c>
      <c r="H164" s="78">
        <v>0</v>
      </c>
      <c r="I164" s="78">
        <v>0</v>
      </c>
      <c r="J164" s="78"/>
    </row>
    <row r="165" spans="1:10" x14ac:dyDescent="0.25">
      <c r="A165" s="78">
        <v>3530080</v>
      </c>
      <c r="B165" s="78" t="s">
        <v>435</v>
      </c>
      <c r="C165" s="78" t="s">
        <v>35</v>
      </c>
      <c r="D165" s="78">
        <v>0</v>
      </c>
      <c r="E165" s="78">
        <v>0</v>
      </c>
      <c r="F165" s="78">
        <v>0</v>
      </c>
      <c r="G165" s="79">
        <v>0</v>
      </c>
      <c r="H165" s="78">
        <v>0</v>
      </c>
      <c r="I165" s="78">
        <v>0</v>
      </c>
      <c r="J165" s="78"/>
    </row>
    <row r="166" spans="1:10" x14ac:dyDescent="0.25">
      <c r="A166" s="78">
        <v>3540035</v>
      </c>
      <c r="B166" s="78" t="s">
        <v>437</v>
      </c>
      <c r="C166" s="78" t="s">
        <v>35</v>
      </c>
      <c r="D166" s="78">
        <v>0</v>
      </c>
      <c r="E166" s="78">
        <v>0</v>
      </c>
      <c r="F166" s="78">
        <v>0</v>
      </c>
      <c r="G166" s="79">
        <v>0</v>
      </c>
      <c r="H166" s="78">
        <v>0</v>
      </c>
      <c r="I166" s="78">
        <v>0</v>
      </c>
      <c r="J166" s="78"/>
    </row>
    <row r="167" spans="1:10" x14ac:dyDescent="0.25">
      <c r="A167" s="78">
        <v>35401152</v>
      </c>
      <c r="B167" s="78" t="s">
        <v>440</v>
      </c>
      <c r="C167" s="78" t="s">
        <v>441</v>
      </c>
      <c r="D167" s="78">
        <v>0</v>
      </c>
      <c r="E167" s="78">
        <v>0</v>
      </c>
      <c r="F167" s="78">
        <v>0</v>
      </c>
      <c r="G167" s="79">
        <v>0</v>
      </c>
      <c r="H167" s="78">
        <v>0</v>
      </c>
      <c r="I167" s="78">
        <v>0</v>
      </c>
      <c r="J167" s="78"/>
    </row>
    <row r="168" spans="1:10" x14ac:dyDescent="0.25">
      <c r="A168" s="78">
        <v>3540150</v>
      </c>
      <c r="B168" s="78" t="s">
        <v>57</v>
      </c>
      <c r="C168" s="78" t="s">
        <v>58</v>
      </c>
      <c r="D168" s="78">
        <v>0</v>
      </c>
      <c r="E168" s="78">
        <v>0</v>
      </c>
      <c r="F168" s="78">
        <v>0</v>
      </c>
      <c r="G168" s="79">
        <v>0</v>
      </c>
      <c r="H168" s="78">
        <v>0</v>
      </c>
      <c r="I168" s="78">
        <v>0</v>
      </c>
      <c r="J168" s="78"/>
    </row>
    <row r="169" spans="1:10" x14ac:dyDescent="0.25">
      <c r="A169" s="78">
        <v>3540167</v>
      </c>
      <c r="B169" s="78" t="s">
        <v>443</v>
      </c>
      <c r="C169" s="78" t="s">
        <v>415</v>
      </c>
      <c r="D169" s="78">
        <v>0</v>
      </c>
      <c r="E169" s="78">
        <v>0</v>
      </c>
      <c r="F169" s="78">
        <v>0</v>
      </c>
      <c r="G169" s="79">
        <v>0</v>
      </c>
      <c r="H169" s="78">
        <v>0</v>
      </c>
      <c r="I169" s="78">
        <v>0</v>
      </c>
      <c r="J169" s="78"/>
    </row>
    <row r="170" spans="1:10" x14ac:dyDescent="0.25">
      <c r="A170" s="78">
        <v>35403934</v>
      </c>
      <c r="B170" s="78" t="s">
        <v>445</v>
      </c>
      <c r="C170" s="78" t="s">
        <v>446</v>
      </c>
      <c r="D170" s="78">
        <v>0</v>
      </c>
      <c r="E170" s="78">
        <v>0</v>
      </c>
      <c r="F170" s="78">
        <v>0</v>
      </c>
      <c r="G170" s="79">
        <v>0</v>
      </c>
      <c r="H170" s="78">
        <v>0</v>
      </c>
      <c r="I170" s="78">
        <v>0</v>
      </c>
      <c r="J170" s="78"/>
    </row>
    <row r="171" spans="1:10" x14ac:dyDescent="0.25">
      <c r="A171" s="78">
        <v>3540704</v>
      </c>
      <c r="B171" s="78" t="s">
        <v>448</v>
      </c>
      <c r="C171" s="78" t="s">
        <v>314</v>
      </c>
      <c r="D171" s="78">
        <v>0</v>
      </c>
      <c r="E171" s="78">
        <v>0</v>
      </c>
      <c r="F171" s="78">
        <v>0</v>
      </c>
      <c r="G171" s="79">
        <v>0</v>
      </c>
      <c r="H171" s="78">
        <v>0</v>
      </c>
      <c r="I171" s="78">
        <v>0</v>
      </c>
      <c r="J171" s="78"/>
    </row>
    <row r="172" spans="1:10" x14ac:dyDescent="0.25">
      <c r="A172" s="78">
        <v>3541020</v>
      </c>
      <c r="B172" s="78" t="s">
        <v>450</v>
      </c>
      <c r="C172" s="78" t="s">
        <v>441</v>
      </c>
      <c r="D172" s="78">
        <v>0</v>
      </c>
      <c r="E172" s="78">
        <v>0</v>
      </c>
      <c r="F172" s="78">
        <v>0</v>
      </c>
      <c r="G172" s="79">
        <v>0</v>
      </c>
      <c r="H172" s="78">
        <v>0</v>
      </c>
      <c r="I172" s="78">
        <v>0</v>
      </c>
      <c r="J172" s="78"/>
    </row>
    <row r="173" spans="1:10" x14ac:dyDescent="0.25">
      <c r="A173" s="78">
        <v>3550030</v>
      </c>
      <c r="B173" s="78" t="s">
        <v>452</v>
      </c>
      <c r="C173" s="78" t="s">
        <v>415</v>
      </c>
      <c r="D173" s="78">
        <v>0</v>
      </c>
      <c r="E173" s="78">
        <v>0</v>
      </c>
      <c r="F173" s="78">
        <v>0</v>
      </c>
      <c r="G173" s="79">
        <v>0</v>
      </c>
      <c r="H173" s="78">
        <v>0</v>
      </c>
      <c r="I173" s="78">
        <v>0</v>
      </c>
      <c r="J173" s="78"/>
    </row>
    <row r="174" spans="1:10" x14ac:dyDescent="0.25">
      <c r="A174" s="78">
        <v>3550172</v>
      </c>
      <c r="B174" s="78" t="s">
        <v>455</v>
      </c>
      <c r="C174" s="78" t="s">
        <v>314</v>
      </c>
      <c r="D174" s="78">
        <v>0</v>
      </c>
      <c r="E174" s="78">
        <v>0</v>
      </c>
      <c r="F174" s="78">
        <v>0</v>
      </c>
      <c r="G174" s="79">
        <v>0</v>
      </c>
      <c r="H174" s="78">
        <v>0</v>
      </c>
      <c r="I174" s="78">
        <v>0</v>
      </c>
      <c r="J174" s="78"/>
    </row>
    <row r="175" spans="1:10" x14ac:dyDescent="0.25">
      <c r="A175" s="78">
        <v>3550241</v>
      </c>
      <c r="B175" s="78" t="s">
        <v>457</v>
      </c>
      <c r="C175" s="78" t="s">
        <v>458</v>
      </c>
      <c r="D175" s="78">
        <v>0</v>
      </c>
      <c r="E175" s="78">
        <v>0</v>
      </c>
      <c r="F175" s="78">
        <v>0</v>
      </c>
      <c r="G175" s="79">
        <v>0</v>
      </c>
      <c r="H175" s="78">
        <v>0</v>
      </c>
      <c r="I175" s="78">
        <v>0</v>
      </c>
      <c r="J175" s="78"/>
    </row>
    <row r="176" spans="1:10" x14ac:dyDescent="0.25">
      <c r="A176" s="78">
        <v>3550355</v>
      </c>
      <c r="B176" s="78" t="s">
        <v>460</v>
      </c>
      <c r="C176" s="78" t="s">
        <v>314</v>
      </c>
      <c r="D176" s="78">
        <v>0</v>
      </c>
      <c r="E176" s="78">
        <v>0</v>
      </c>
      <c r="F176" s="78">
        <v>0</v>
      </c>
      <c r="G176" s="79">
        <v>0</v>
      </c>
      <c r="H176" s="78">
        <v>0</v>
      </c>
      <c r="I176" s="78">
        <v>0</v>
      </c>
      <c r="J176" s="78"/>
    </row>
    <row r="177" spans="1:10" x14ac:dyDescent="0.25">
      <c r="A177" s="78">
        <v>3560036</v>
      </c>
      <c r="B177" s="78" t="s">
        <v>462</v>
      </c>
      <c r="C177" s="78" t="s">
        <v>464</v>
      </c>
      <c r="D177" s="78">
        <v>0</v>
      </c>
      <c r="E177" s="78">
        <v>0</v>
      </c>
      <c r="F177" s="78">
        <v>0</v>
      </c>
      <c r="G177" s="79">
        <v>0</v>
      </c>
      <c r="H177" s="78">
        <v>0</v>
      </c>
      <c r="I177" s="78">
        <v>0</v>
      </c>
      <c r="J177" s="78"/>
    </row>
    <row r="178" spans="1:10" x14ac:dyDescent="0.25">
      <c r="A178" s="78">
        <v>3560051</v>
      </c>
      <c r="B178" s="78" t="s">
        <v>466</v>
      </c>
      <c r="C178" s="78" t="s">
        <v>464</v>
      </c>
      <c r="D178" s="78">
        <v>0</v>
      </c>
      <c r="E178" s="78">
        <v>0</v>
      </c>
      <c r="F178" s="78">
        <v>0</v>
      </c>
      <c r="G178" s="79">
        <v>0</v>
      </c>
      <c r="H178" s="78">
        <v>0</v>
      </c>
      <c r="I178" s="78">
        <v>0</v>
      </c>
      <c r="J178" s="78"/>
    </row>
    <row r="179" spans="1:10" x14ac:dyDescent="0.25">
      <c r="A179" s="78">
        <v>3560060</v>
      </c>
      <c r="B179" s="78" t="s">
        <v>468</v>
      </c>
      <c r="C179" s="78" t="s">
        <v>46</v>
      </c>
      <c r="D179" s="78">
        <v>0</v>
      </c>
      <c r="E179" s="78">
        <v>0</v>
      </c>
      <c r="F179" s="78">
        <v>0</v>
      </c>
      <c r="G179" s="79">
        <v>0</v>
      </c>
      <c r="H179" s="78">
        <v>0</v>
      </c>
      <c r="I179" s="78">
        <v>0</v>
      </c>
      <c r="J179" s="78"/>
    </row>
    <row r="180" spans="1:10" x14ac:dyDescent="0.25">
      <c r="A180" s="78">
        <v>35602721</v>
      </c>
      <c r="B180" s="78" t="s">
        <v>470</v>
      </c>
      <c r="C180" s="78" t="s">
        <v>471</v>
      </c>
      <c r="D180" s="78">
        <v>0</v>
      </c>
      <c r="E180" s="78">
        <v>0</v>
      </c>
      <c r="F180" s="78">
        <v>0</v>
      </c>
      <c r="G180" s="79">
        <v>0</v>
      </c>
      <c r="H180" s="78">
        <v>0</v>
      </c>
      <c r="I180" s="78">
        <v>0</v>
      </c>
      <c r="J180" s="78"/>
    </row>
    <row r="181" spans="1:10" x14ac:dyDescent="0.25">
      <c r="A181" s="78">
        <v>3560478</v>
      </c>
      <c r="B181" s="78" t="s">
        <v>473</v>
      </c>
      <c r="C181" s="78" t="s">
        <v>474</v>
      </c>
      <c r="D181" s="78">
        <v>0</v>
      </c>
      <c r="E181" s="78">
        <v>0</v>
      </c>
      <c r="F181" s="78">
        <v>0</v>
      </c>
      <c r="G181" s="79">
        <v>0</v>
      </c>
      <c r="H181" s="78">
        <v>0</v>
      </c>
      <c r="I181" s="78">
        <v>0</v>
      </c>
      <c r="J181" s="78"/>
    </row>
    <row r="182" spans="1:10" x14ac:dyDescent="0.25">
      <c r="A182" s="78">
        <v>3560491</v>
      </c>
      <c r="B182" s="78" t="s">
        <v>476</v>
      </c>
      <c r="C182" s="78" t="s">
        <v>458</v>
      </c>
      <c r="D182" s="78">
        <v>0</v>
      </c>
      <c r="E182" s="78">
        <v>0</v>
      </c>
      <c r="F182" s="78">
        <v>0</v>
      </c>
      <c r="G182" s="79">
        <v>0</v>
      </c>
      <c r="H182" s="78">
        <v>0</v>
      </c>
      <c r="I182" s="78">
        <v>0</v>
      </c>
      <c r="J182" s="78"/>
    </row>
    <row r="183" spans="1:10" x14ac:dyDescent="0.25">
      <c r="A183" s="78">
        <v>3560492</v>
      </c>
      <c r="B183" s="78" t="s">
        <v>478</v>
      </c>
      <c r="C183" s="78" t="s">
        <v>479</v>
      </c>
      <c r="D183" s="78">
        <v>0</v>
      </c>
      <c r="E183" s="78">
        <v>0</v>
      </c>
      <c r="F183" s="78">
        <v>0</v>
      </c>
      <c r="G183" s="79">
        <v>0</v>
      </c>
      <c r="H183" s="78">
        <v>0</v>
      </c>
      <c r="I183" s="78">
        <v>0</v>
      </c>
      <c r="J183" s="78"/>
    </row>
    <row r="184" spans="1:10" x14ac:dyDescent="0.25">
      <c r="A184" s="78">
        <v>3560493</v>
      </c>
      <c r="B184" s="78" t="s">
        <v>470</v>
      </c>
      <c r="C184" s="78" t="s">
        <v>464</v>
      </c>
      <c r="D184" s="78">
        <v>0</v>
      </c>
      <c r="E184" s="78">
        <v>0</v>
      </c>
      <c r="F184" s="78">
        <v>0</v>
      </c>
      <c r="G184" s="79">
        <v>0</v>
      </c>
      <c r="H184" s="78">
        <v>0</v>
      </c>
      <c r="I184" s="78">
        <v>0</v>
      </c>
      <c r="J184" s="78"/>
    </row>
    <row r="185" spans="1:10" x14ac:dyDescent="0.25">
      <c r="A185" s="78">
        <v>3560505</v>
      </c>
      <c r="B185" s="78" t="s">
        <v>478</v>
      </c>
      <c r="C185" s="78" t="s">
        <v>464</v>
      </c>
      <c r="D185" s="78">
        <v>0</v>
      </c>
      <c r="E185" s="78">
        <v>0</v>
      </c>
      <c r="F185" s="78">
        <v>0</v>
      </c>
      <c r="G185" s="79">
        <v>0</v>
      </c>
      <c r="H185" s="78">
        <v>0</v>
      </c>
      <c r="I185" s="78">
        <v>0</v>
      </c>
      <c r="J185" s="78"/>
    </row>
    <row r="186" spans="1:10" x14ac:dyDescent="0.25">
      <c r="A186" s="78">
        <v>3560555</v>
      </c>
      <c r="B186" s="78" t="s">
        <v>483</v>
      </c>
      <c r="C186" s="78" t="s">
        <v>479</v>
      </c>
      <c r="D186" s="78">
        <v>0</v>
      </c>
      <c r="E186" s="78">
        <v>0</v>
      </c>
      <c r="F186" s="78">
        <v>0</v>
      </c>
      <c r="G186" s="79">
        <v>0</v>
      </c>
      <c r="H186" s="78">
        <v>0</v>
      </c>
      <c r="I186" s="78">
        <v>0</v>
      </c>
      <c r="J186" s="78"/>
    </row>
    <row r="187" spans="1:10" x14ac:dyDescent="0.25">
      <c r="A187" s="78">
        <v>3560599</v>
      </c>
      <c r="B187" s="78" t="s">
        <v>485</v>
      </c>
      <c r="C187" s="78" t="s">
        <v>46</v>
      </c>
      <c r="D187" s="78">
        <v>0</v>
      </c>
      <c r="E187" s="78">
        <v>0</v>
      </c>
      <c r="F187" s="78">
        <v>0</v>
      </c>
      <c r="G187" s="79">
        <v>0</v>
      </c>
      <c r="H187" s="78">
        <v>0</v>
      </c>
      <c r="I187" s="78">
        <v>0</v>
      </c>
      <c r="J187" s="78"/>
    </row>
    <row r="188" spans="1:10" x14ac:dyDescent="0.25">
      <c r="A188" s="78">
        <v>3560674</v>
      </c>
      <c r="B188" s="78" t="s">
        <v>468</v>
      </c>
      <c r="C188" s="78" t="s">
        <v>474</v>
      </c>
      <c r="D188" s="78">
        <v>0</v>
      </c>
      <c r="E188" s="78">
        <v>0</v>
      </c>
      <c r="F188" s="78">
        <v>0</v>
      </c>
      <c r="G188" s="79">
        <v>0</v>
      </c>
      <c r="H188" s="78">
        <v>0</v>
      </c>
      <c r="I188" s="78">
        <v>0</v>
      </c>
      <c r="J188" s="78"/>
    </row>
    <row r="189" spans="1:10" x14ac:dyDescent="0.25">
      <c r="A189" s="78">
        <v>3570010</v>
      </c>
      <c r="B189" s="78" t="s">
        <v>488</v>
      </c>
      <c r="C189" s="78" t="s">
        <v>490</v>
      </c>
      <c r="D189" s="78">
        <v>0</v>
      </c>
      <c r="E189" s="78">
        <v>0</v>
      </c>
      <c r="F189" s="78">
        <v>0</v>
      </c>
      <c r="G189" s="79">
        <v>0</v>
      </c>
      <c r="H189" s="78">
        <v>0</v>
      </c>
      <c r="I189" s="78">
        <v>0</v>
      </c>
      <c r="J189" s="78"/>
    </row>
    <row r="190" spans="1:10" x14ac:dyDescent="0.25">
      <c r="A190" s="78">
        <v>3570020</v>
      </c>
      <c r="B190" s="78" t="s">
        <v>492</v>
      </c>
      <c r="C190" s="78" t="s">
        <v>493</v>
      </c>
      <c r="D190" s="78">
        <v>0</v>
      </c>
      <c r="E190" s="78">
        <v>0</v>
      </c>
      <c r="F190" s="78">
        <v>0</v>
      </c>
      <c r="G190" s="79">
        <v>0</v>
      </c>
      <c r="H190" s="78">
        <v>0</v>
      </c>
      <c r="I190" s="78">
        <v>0</v>
      </c>
      <c r="J190" s="78"/>
    </row>
    <row r="191" spans="1:10" x14ac:dyDescent="0.25">
      <c r="A191" s="78">
        <v>3570035</v>
      </c>
      <c r="B191" s="78" t="s">
        <v>495</v>
      </c>
      <c r="C191" s="78" t="s">
        <v>194</v>
      </c>
      <c r="D191" s="78">
        <v>0</v>
      </c>
      <c r="E191" s="78">
        <v>0</v>
      </c>
      <c r="F191" s="78">
        <v>0</v>
      </c>
      <c r="G191" s="79">
        <v>0</v>
      </c>
      <c r="H191" s="78">
        <v>0</v>
      </c>
      <c r="I191" s="78">
        <v>0</v>
      </c>
      <c r="J191" s="78"/>
    </row>
    <row r="192" spans="1:10" x14ac:dyDescent="0.25">
      <c r="A192" s="78">
        <v>3570050</v>
      </c>
      <c r="B192" s="78" t="s">
        <v>497</v>
      </c>
      <c r="C192" s="78" t="s">
        <v>490</v>
      </c>
      <c r="D192" s="78">
        <v>0</v>
      </c>
      <c r="E192" s="78">
        <v>0</v>
      </c>
      <c r="F192" s="78">
        <v>0</v>
      </c>
      <c r="G192" s="79">
        <v>0</v>
      </c>
      <c r="H192" s="78">
        <v>0</v>
      </c>
      <c r="I192" s="78">
        <v>0</v>
      </c>
      <c r="J192" s="78"/>
    </row>
    <row r="193" spans="1:10" x14ac:dyDescent="0.25">
      <c r="A193" s="78">
        <v>3570070</v>
      </c>
      <c r="B193" s="78" t="s">
        <v>499</v>
      </c>
      <c r="C193" s="78" t="s">
        <v>194</v>
      </c>
      <c r="D193" s="78">
        <v>0</v>
      </c>
      <c r="E193" s="78">
        <v>0</v>
      </c>
      <c r="F193" s="78">
        <v>0</v>
      </c>
      <c r="G193" s="79">
        <v>0</v>
      </c>
      <c r="H193" s="78">
        <v>0</v>
      </c>
      <c r="I193" s="78">
        <v>0</v>
      </c>
      <c r="J193" s="78"/>
    </row>
    <row r="194" spans="1:10" x14ac:dyDescent="0.25">
      <c r="A194" s="78">
        <v>3570103</v>
      </c>
      <c r="B194" s="78" t="s">
        <v>501</v>
      </c>
      <c r="C194" s="78" t="s">
        <v>314</v>
      </c>
      <c r="D194" s="78">
        <v>0</v>
      </c>
      <c r="E194" s="78">
        <v>0</v>
      </c>
      <c r="F194" s="78">
        <v>0</v>
      </c>
      <c r="G194" s="79">
        <v>0</v>
      </c>
      <c r="H194" s="78">
        <v>0</v>
      </c>
      <c r="I194" s="78">
        <v>0</v>
      </c>
      <c r="J194" s="78"/>
    </row>
    <row r="195" spans="1:10" x14ac:dyDescent="0.25">
      <c r="A195" s="78">
        <v>3570106</v>
      </c>
      <c r="B195" s="78" t="s">
        <v>501</v>
      </c>
      <c r="C195" s="78" t="s">
        <v>415</v>
      </c>
      <c r="D195" s="78">
        <v>0</v>
      </c>
      <c r="E195" s="78">
        <v>0</v>
      </c>
      <c r="F195" s="78">
        <v>0</v>
      </c>
      <c r="G195" s="79">
        <v>0</v>
      </c>
      <c r="H195" s="78">
        <v>0</v>
      </c>
      <c r="I195" s="78">
        <v>0</v>
      </c>
      <c r="J195" s="78"/>
    </row>
    <row r="196" spans="1:10" x14ac:dyDescent="0.25">
      <c r="A196" s="78">
        <v>35701060</v>
      </c>
      <c r="B196" s="78" t="s">
        <v>504</v>
      </c>
      <c r="C196" s="78" t="s">
        <v>505</v>
      </c>
      <c r="D196" s="78">
        <v>0</v>
      </c>
      <c r="E196" s="78">
        <v>0</v>
      </c>
      <c r="F196" s="78">
        <v>0</v>
      </c>
      <c r="G196" s="79">
        <v>0</v>
      </c>
      <c r="H196" s="78">
        <v>0</v>
      </c>
      <c r="I196" s="78">
        <v>0</v>
      </c>
      <c r="J196" s="78"/>
    </row>
    <row r="197" spans="1:10" x14ac:dyDescent="0.25">
      <c r="A197" s="78">
        <v>35701918</v>
      </c>
      <c r="B197" s="78" t="s">
        <v>499</v>
      </c>
      <c r="C197" s="78" t="s">
        <v>507</v>
      </c>
      <c r="D197" s="78">
        <v>0</v>
      </c>
      <c r="E197" s="78">
        <v>0</v>
      </c>
      <c r="F197" s="78">
        <v>0</v>
      </c>
      <c r="G197" s="79">
        <v>0</v>
      </c>
      <c r="H197" s="78">
        <v>0</v>
      </c>
      <c r="I197" s="78">
        <v>0</v>
      </c>
      <c r="J197" s="78"/>
    </row>
    <row r="198" spans="1:10" x14ac:dyDescent="0.25">
      <c r="A198" s="78">
        <v>35702285</v>
      </c>
      <c r="B198" s="78" t="s">
        <v>509</v>
      </c>
      <c r="C198" s="78" t="s">
        <v>510</v>
      </c>
      <c r="D198" s="78">
        <v>0</v>
      </c>
      <c r="E198" s="78">
        <v>0</v>
      </c>
      <c r="F198" s="78">
        <v>0</v>
      </c>
      <c r="G198" s="79">
        <v>0</v>
      </c>
      <c r="H198" s="78">
        <v>0</v>
      </c>
      <c r="I198" s="78">
        <v>0</v>
      </c>
      <c r="J198" s="78"/>
    </row>
    <row r="199" spans="1:10" x14ac:dyDescent="0.25">
      <c r="A199" s="78">
        <v>3570289</v>
      </c>
      <c r="B199" s="78" t="s">
        <v>492</v>
      </c>
      <c r="C199" s="78" t="s">
        <v>512</v>
      </c>
      <c r="D199" s="78">
        <v>0</v>
      </c>
      <c r="E199" s="78">
        <v>0</v>
      </c>
      <c r="F199" s="78">
        <v>0</v>
      </c>
      <c r="G199" s="79">
        <v>0</v>
      </c>
      <c r="H199" s="78">
        <v>0</v>
      </c>
      <c r="I199" s="78">
        <v>0</v>
      </c>
      <c r="J199" s="78"/>
    </row>
    <row r="200" spans="1:10" x14ac:dyDescent="0.25">
      <c r="A200" s="78">
        <v>3570305</v>
      </c>
      <c r="B200" s="78" t="s">
        <v>488</v>
      </c>
      <c r="C200" s="78" t="s">
        <v>514</v>
      </c>
      <c r="D200" s="78">
        <v>0</v>
      </c>
      <c r="E200" s="78">
        <v>0</v>
      </c>
      <c r="F200" s="78">
        <v>0</v>
      </c>
      <c r="G200" s="79">
        <v>0</v>
      </c>
      <c r="H200" s="78">
        <v>0</v>
      </c>
      <c r="I200" s="78">
        <v>0</v>
      </c>
      <c r="J200" s="78"/>
    </row>
    <row r="201" spans="1:10" x14ac:dyDescent="0.25">
      <c r="A201" s="78">
        <v>3570308</v>
      </c>
      <c r="B201" s="78" t="s">
        <v>497</v>
      </c>
      <c r="C201" s="78" t="s">
        <v>514</v>
      </c>
      <c r="D201" s="78">
        <v>0</v>
      </c>
      <c r="E201" s="78">
        <v>0</v>
      </c>
      <c r="F201" s="78">
        <v>0</v>
      </c>
      <c r="G201" s="79">
        <v>0</v>
      </c>
      <c r="H201" s="78">
        <v>0</v>
      </c>
      <c r="I201" s="78">
        <v>0</v>
      </c>
      <c r="J201" s="78"/>
    </row>
    <row r="202" spans="1:10" x14ac:dyDescent="0.25">
      <c r="A202" s="78">
        <v>3570324</v>
      </c>
      <c r="B202" s="78" t="s">
        <v>517</v>
      </c>
      <c r="C202" s="78" t="s">
        <v>518</v>
      </c>
      <c r="D202" s="78">
        <v>0</v>
      </c>
      <c r="E202" s="78">
        <v>0</v>
      </c>
      <c r="F202" s="78">
        <v>0</v>
      </c>
      <c r="G202" s="79">
        <v>0</v>
      </c>
      <c r="H202" s="78">
        <v>0</v>
      </c>
      <c r="I202" s="78">
        <v>0</v>
      </c>
      <c r="J202" s="78"/>
    </row>
    <row r="203" spans="1:10" x14ac:dyDescent="0.25">
      <c r="A203" s="78">
        <v>3570343</v>
      </c>
      <c r="B203" s="78" t="s">
        <v>492</v>
      </c>
      <c r="C203" s="78" t="s">
        <v>520</v>
      </c>
      <c r="D203" s="78">
        <v>0</v>
      </c>
      <c r="E203" s="78">
        <v>0</v>
      </c>
      <c r="F203" s="78">
        <v>0</v>
      </c>
      <c r="G203" s="79">
        <v>0</v>
      </c>
      <c r="H203" s="78">
        <v>0</v>
      </c>
      <c r="I203" s="78">
        <v>0</v>
      </c>
      <c r="J203" s="78"/>
    </row>
    <row r="204" spans="1:10" x14ac:dyDescent="0.25">
      <c r="A204" s="78">
        <v>3570593</v>
      </c>
      <c r="B204" s="78" t="s">
        <v>509</v>
      </c>
      <c r="C204" s="78" t="s">
        <v>194</v>
      </c>
      <c r="D204" s="78">
        <v>0</v>
      </c>
      <c r="E204" s="78">
        <v>0</v>
      </c>
      <c r="F204" s="78">
        <v>0</v>
      </c>
      <c r="G204" s="79">
        <v>0</v>
      </c>
      <c r="H204" s="78">
        <v>0</v>
      </c>
      <c r="I204" s="78">
        <v>0</v>
      </c>
      <c r="J204" s="78"/>
    </row>
    <row r="205" spans="1:10" x14ac:dyDescent="0.25">
      <c r="A205" s="78">
        <v>4010010</v>
      </c>
      <c r="B205" s="78" t="s">
        <v>523</v>
      </c>
      <c r="C205" s="78" t="s">
        <v>525</v>
      </c>
      <c r="D205" s="78">
        <v>0</v>
      </c>
      <c r="E205" s="78">
        <v>0</v>
      </c>
      <c r="F205" s="78">
        <v>0</v>
      </c>
      <c r="G205" s="79">
        <v>0</v>
      </c>
      <c r="H205" s="78">
        <v>0</v>
      </c>
      <c r="I205" s="78">
        <v>0</v>
      </c>
      <c r="J205" s="78"/>
    </row>
    <row r="206" spans="1:10" x14ac:dyDescent="0.25">
      <c r="A206" s="78">
        <v>4010208</v>
      </c>
      <c r="B206" s="78" t="s">
        <v>527</v>
      </c>
      <c r="C206" s="78" t="s">
        <v>190</v>
      </c>
      <c r="D206" s="78">
        <v>0</v>
      </c>
      <c r="E206" s="78">
        <v>0</v>
      </c>
      <c r="F206" s="78">
        <v>0</v>
      </c>
      <c r="G206" s="79">
        <v>0</v>
      </c>
      <c r="H206" s="78">
        <v>0</v>
      </c>
      <c r="I206" s="78">
        <v>0</v>
      </c>
      <c r="J206" s="78"/>
    </row>
    <row r="207" spans="1:10" x14ac:dyDescent="0.25">
      <c r="A207" s="78">
        <v>4020050</v>
      </c>
      <c r="B207" s="78" t="s">
        <v>529</v>
      </c>
      <c r="C207" s="78" t="s">
        <v>531</v>
      </c>
      <c r="D207" s="78">
        <v>0</v>
      </c>
      <c r="E207" s="78">
        <v>0</v>
      </c>
      <c r="F207" s="78">
        <v>0</v>
      </c>
      <c r="G207" s="79">
        <v>0</v>
      </c>
      <c r="H207" s="78">
        <v>0</v>
      </c>
      <c r="I207" s="78">
        <v>0</v>
      </c>
      <c r="J207" s="78"/>
    </row>
    <row r="208" spans="1:10" x14ac:dyDescent="0.25">
      <c r="A208" s="78">
        <v>4030010</v>
      </c>
      <c r="B208" s="78" t="s">
        <v>533</v>
      </c>
      <c r="C208" s="78" t="s">
        <v>531</v>
      </c>
      <c r="D208" s="78">
        <v>0</v>
      </c>
      <c r="E208" s="78">
        <v>0</v>
      </c>
      <c r="F208" s="78">
        <v>0</v>
      </c>
      <c r="G208" s="79">
        <v>0</v>
      </c>
      <c r="H208" s="78">
        <v>0</v>
      </c>
      <c r="I208" s="78">
        <v>0</v>
      </c>
      <c r="J208" s="78"/>
    </row>
    <row r="209" spans="1:10" x14ac:dyDescent="0.25">
      <c r="A209" s="78">
        <v>4030020</v>
      </c>
      <c r="B209" s="78" t="s">
        <v>536</v>
      </c>
      <c r="C209" s="78" t="s">
        <v>531</v>
      </c>
      <c r="D209" s="78">
        <v>0</v>
      </c>
      <c r="E209" s="78">
        <v>0</v>
      </c>
      <c r="F209" s="78">
        <v>0</v>
      </c>
      <c r="G209" s="79">
        <v>0</v>
      </c>
      <c r="H209" s="78">
        <v>0</v>
      </c>
      <c r="I209" s="78">
        <v>0</v>
      </c>
      <c r="J209" s="78"/>
    </row>
    <row r="210" spans="1:10" x14ac:dyDescent="0.25">
      <c r="A210" s="78">
        <v>4030025</v>
      </c>
      <c r="B210" s="78" t="s">
        <v>538</v>
      </c>
      <c r="C210" s="78" t="s">
        <v>531</v>
      </c>
      <c r="D210" s="78">
        <v>0</v>
      </c>
      <c r="E210" s="78">
        <v>0</v>
      </c>
      <c r="F210" s="78">
        <v>0</v>
      </c>
      <c r="G210" s="79">
        <v>0</v>
      </c>
      <c r="H210" s="78">
        <v>0</v>
      </c>
      <c r="I210" s="78">
        <v>0</v>
      </c>
      <c r="J210" s="78"/>
    </row>
    <row r="211" spans="1:10" x14ac:dyDescent="0.25">
      <c r="A211" s="78">
        <v>4040010</v>
      </c>
      <c r="B211" s="78" t="s">
        <v>540</v>
      </c>
      <c r="C211" s="78" t="s">
        <v>542</v>
      </c>
      <c r="D211" s="78">
        <v>0</v>
      </c>
      <c r="E211" s="78">
        <v>0</v>
      </c>
      <c r="F211" s="78">
        <v>0</v>
      </c>
      <c r="G211" s="79">
        <v>0</v>
      </c>
      <c r="H211" s="78">
        <v>0</v>
      </c>
      <c r="I211" s="78">
        <v>0</v>
      </c>
      <c r="J211" s="78"/>
    </row>
    <row r="212" spans="1:10" x14ac:dyDescent="0.25">
      <c r="A212" s="78">
        <v>4040030</v>
      </c>
      <c r="B212" s="78" t="s">
        <v>544</v>
      </c>
      <c r="C212" s="78" t="s">
        <v>542</v>
      </c>
      <c r="D212" s="78">
        <v>0</v>
      </c>
      <c r="E212" s="78">
        <v>0</v>
      </c>
      <c r="F212" s="78">
        <v>0</v>
      </c>
      <c r="G212" s="79">
        <v>0</v>
      </c>
      <c r="H212" s="78">
        <v>0</v>
      </c>
      <c r="I212" s="78">
        <v>0</v>
      </c>
      <c r="J212" s="78"/>
    </row>
    <row r="213" spans="1:10" x14ac:dyDescent="0.25">
      <c r="A213" s="78">
        <v>4050100</v>
      </c>
      <c r="B213" s="78" t="s">
        <v>546</v>
      </c>
      <c r="C213" s="78" t="s">
        <v>35</v>
      </c>
      <c r="D213" s="78">
        <v>0</v>
      </c>
      <c r="E213" s="78">
        <v>0</v>
      </c>
      <c r="F213" s="78">
        <v>0</v>
      </c>
      <c r="G213" s="79">
        <v>0</v>
      </c>
      <c r="H213" s="78">
        <v>0</v>
      </c>
      <c r="I213" s="78">
        <v>0</v>
      </c>
      <c r="J213" s="78"/>
    </row>
    <row r="214" spans="1:10" x14ac:dyDescent="0.25">
      <c r="A214" s="78">
        <v>4050150</v>
      </c>
      <c r="B214" s="78" t="s">
        <v>549</v>
      </c>
      <c r="C214" s="78" t="s">
        <v>35</v>
      </c>
      <c r="D214" s="78">
        <v>0</v>
      </c>
      <c r="E214" s="78">
        <v>0</v>
      </c>
      <c r="F214" s="78">
        <v>0</v>
      </c>
      <c r="G214" s="79">
        <v>0</v>
      </c>
      <c r="H214" s="78">
        <v>0</v>
      </c>
      <c r="I214" s="78">
        <v>0</v>
      </c>
      <c r="J214" s="78"/>
    </row>
    <row r="215" spans="1:10" x14ac:dyDescent="0.25">
      <c r="A215" s="78">
        <v>4050180</v>
      </c>
      <c r="B215" s="78" t="s">
        <v>551</v>
      </c>
      <c r="C215" s="78" t="s">
        <v>35</v>
      </c>
      <c r="D215" s="78">
        <v>0</v>
      </c>
      <c r="E215" s="78">
        <v>0</v>
      </c>
      <c r="F215" s="78">
        <v>0</v>
      </c>
      <c r="G215" s="79">
        <v>0</v>
      </c>
      <c r="H215" s="78">
        <v>0</v>
      </c>
      <c r="I215" s="78">
        <v>0</v>
      </c>
      <c r="J215" s="78"/>
    </row>
    <row r="216" spans="1:10" x14ac:dyDescent="0.25">
      <c r="A216" s="78">
        <v>4050230</v>
      </c>
      <c r="B216" s="78" t="s">
        <v>553</v>
      </c>
      <c r="C216" s="78" t="s">
        <v>35</v>
      </c>
      <c r="D216" s="78">
        <v>0</v>
      </c>
      <c r="E216" s="78">
        <v>0</v>
      </c>
      <c r="F216" s="78">
        <v>0</v>
      </c>
      <c r="G216" s="79">
        <v>0</v>
      </c>
      <c r="H216" s="78">
        <v>0</v>
      </c>
      <c r="I216" s="78">
        <v>0</v>
      </c>
      <c r="J216" s="78"/>
    </row>
    <row r="217" spans="1:10" x14ac:dyDescent="0.25">
      <c r="A217" s="78">
        <v>4050470</v>
      </c>
      <c r="B217" s="78" t="s">
        <v>60</v>
      </c>
      <c r="C217" s="78" t="s">
        <v>61</v>
      </c>
      <c r="D217" s="78">
        <v>0</v>
      </c>
      <c r="E217" s="78">
        <v>0</v>
      </c>
      <c r="F217" s="78">
        <v>0</v>
      </c>
      <c r="G217" s="79">
        <v>0</v>
      </c>
      <c r="H217" s="78">
        <v>0</v>
      </c>
      <c r="I217" s="78">
        <v>0</v>
      </c>
      <c r="J217" s="78"/>
    </row>
    <row r="218" spans="1:10" x14ac:dyDescent="0.25">
      <c r="A218" s="78">
        <v>4050827</v>
      </c>
      <c r="B218" s="78" t="s">
        <v>555</v>
      </c>
      <c r="C218" s="78" t="s">
        <v>464</v>
      </c>
      <c r="D218" s="78">
        <v>0</v>
      </c>
      <c r="E218" s="78">
        <v>0</v>
      </c>
      <c r="F218" s="78">
        <v>0</v>
      </c>
      <c r="G218" s="79">
        <v>0</v>
      </c>
      <c r="H218" s="78">
        <v>0</v>
      </c>
      <c r="I218" s="78">
        <v>0</v>
      </c>
      <c r="J218" s="78"/>
    </row>
    <row r="219" spans="1:10" x14ac:dyDescent="0.25">
      <c r="A219" s="78">
        <v>4050848</v>
      </c>
      <c r="B219" s="78" t="s">
        <v>553</v>
      </c>
      <c r="C219" s="78" t="s">
        <v>61</v>
      </c>
      <c r="D219" s="78">
        <v>0</v>
      </c>
      <c r="E219" s="78">
        <v>0</v>
      </c>
      <c r="F219" s="78">
        <v>0</v>
      </c>
      <c r="G219" s="79">
        <v>0</v>
      </c>
      <c r="H219" s="78">
        <v>0</v>
      </c>
      <c r="I219" s="78">
        <v>0</v>
      </c>
      <c r="J219" s="78"/>
    </row>
    <row r="220" spans="1:10" x14ac:dyDescent="0.25">
      <c r="A220" s="78">
        <v>4060030</v>
      </c>
      <c r="B220" s="78" t="s">
        <v>558</v>
      </c>
      <c r="C220" s="78" t="s">
        <v>531</v>
      </c>
      <c r="D220" s="78">
        <v>0</v>
      </c>
      <c r="E220" s="78">
        <v>0</v>
      </c>
      <c r="F220" s="78">
        <v>0</v>
      </c>
      <c r="G220" s="79">
        <v>0</v>
      </c>
      <c r="H220" s="78">
        <v>0</v>
      </c>
      <c r="I220" s="78">
        <v>0</v>
      </c>
      <c r="J220" s="78"/>
    </row>
    <row r="221" spans="1:10" x14ac:dyDescent="0.25">
      <c r="A221" s="78">
        <v>4060040</v>
      </c>
      <c r="B221" s="78" t="s">
        <v>561</v>
      </c>
      <c r="C221" s="78" t="s">
        <v>531</v>
      </c>
      <c r="D221" s="78">
        <v>0</v>
      </c>
      <c r="E221" s="78">
        <v>0</v>
      </c>
      <c r="F221" s="78">
        <v>0</v>
      </c>
      <c r="G221" s="79">
        <v>0</v>
      </c>
      <c r="H221" s="78">
        <v>0</v>
      </c>
      <c r="I221" s="78">
        <v>0</v>
      </c>
      <c r="J221" s="78"/>
    </row>
    <row r="222" spans="1:10" x14ac:dyDescent="0.25">
      <c r="A222" s="78">
        <v>4060050</v>
      </c>
      <c r="B222" s="78" t="s">
        <v>563</v>
      </c>
      <c r="C222" s="78" t="s">
        <v>531</v>
      </c>
      <c r="D222" s="78">
        <v>0</v>
      </c>
      <c r="E222" s="78">
        <v>0</v>
      </c>
      <c r="F222" s="78">
        <v>0</v>
      </c>
      <c r="G222" s="79">
        <v>0</v>
      </c>
      <c r="H222" s="78">
        <v>0</v>
      </c>
      <c r="I222" s="78">
        <v>0</v>
      </c>
      <c r="J222" s="78"/>
    </row>
    <row r="223" spans="1:10" x14ac:dyDescent="0.25">
      <c r="A223" s="78">
        <v>40601941</v>
      </c>
      <c r="B223" s="78" t="s">
        <v>558</v>
      </c>
      <c r="C223" s="78" t="s">
        <v>565</v>
      </c>
      <c r="D223" s="78">
        <v>0</v>
      </c>
      <c r="E223" s="78">
        <v>0</v>
      </c>
      <c r="F223" s="78">
        <v>0</v>
      </c>
      <c r="G223" s="79">
        <v>0</v>
      </c>
      <c r="H223" s="78">
        <v>0</v>
      </c>
      <c r="I223" s="78">
        <v>0</v>
      </c>
      <c r="J223" s="78"/>
    </row>
    <row r="224" spans="1:10" x14ac:dyDescent="0.25">
      <c r="A224" s="78">
        <v>40701322</v>
      </c>
      <c r="B224" s="78" t="s">
        <v>567</v>
      </c>
      <c r="C224" s="78" t="s">
        <v>569</v>
      </c>
      <c r="D224" s="78">
        <v>0</v>
      </c>
      <c r="E224" s="78">
        <v>0</v>
      </c>
      <c r="F224" s="78">
        <v>0</v>
      </c>
      <c r="G224" s="79">
        <v>0</v>
      </c>
      <c r="H224" s="78">
        <v>0</v>
      </c>
      <c r="I224" s="78">
        <v>0</v>
      </c>
      <c r="J224" s="78"/>
    </row>
    <row r="225" spans="1:10" x14ac:dyDescent="0.25">
      <c r="A225" s="78">
        <v>40702200</v>
      </c>
      <c r="B225" s="78" t="s">
        <v>571</v>
      </c>
      <c r="C225" s="78" t="s">
        <v>572</v>
      </c>
      <c r="D225" s="78">
        <v>0</v>
      </c>
      <c r="E225" s="78">
        <v>0</v>
      </c>
      <c r="F225" s="78">
        <v>0</v>
      </c>
      <c r="G225" s="79">
        <v>0</v>
      </c>
      <c r="H225" s="78">
        <v>0</v>
      </c>
      <c r="I225" s="78">
        <v>0</v>
      </c>
      <c r="J225" s="78"/>
    </row>
    <row r="226" spans="1:10" x14ac:dyDescent="0.25">
      <c r="A226" s="78">
        <v>4080030</v>
      </c>
      <c r="B226" s="78" t="s">
        <v>574</v>
      </c>
      <c r="C226" s="78" t="s">
        <v>58</v>
      </c>
      <c r="D226" s="78">
        <v>0</v>
      </c>
      <c r="E226" s="78">
        <v>0</v>
      </c>
      <c r="F226" s="78">
        <v>0</v>
      </c>
      <c r="G226" s="79">
        <v>0</v>
      </c>
      <c r="H226" s="78">
        <v>0</v>
      </c>
      <c r="I226" s="78">
        <v>0</v>
      </c>
      <c r="J226" s="78"/>
    </row>
    <row r="227" spans="1:10" x14ac:dyDescent="0.25">
      <c r="A227" s="78">
        <v>4080040</v>
      </c>
      <c r="B227" s="78" t="s">
        <v>577</v>
      </c>
      <c r="C227" s="78" t="s">
        <v>58</v>
      </c>
      <c r="D227" s="78">
        <v>0</v>
      </c>
      <c r="E227" s="78">
        <v>0</v>
      </c>
      <c r="F227" s="78">
        <v>0</v>
      </c>
      <c r="G227" s="79">
        <v>0</v>
      </c>
      <c r="H227" s="78">
        <v>0</v>
      </c>
      <c r="I227" s="78">
        <v>0</v>
      </c>
      <c r="J227" s="78"/>
    </row>
    <row r="228" spans="1:10" x14ac:dyDescent="0.25">
      <c r="A228" s="78">
        <v>4080117</v>
      </c>
      <c r="B228" s="78" t="s">
        <v>544</v>
      </c>
      <c r="C228" s="78" t="s">
        <v>579</v>
      </c>
      <c r="D228" s="78">
        <v>0</v>
      </c>
      <c r="E228" s="78">
        <v>0</v>
      </c>
      <c r="F228" s="78">
        <v>0</v>
      </c>
      <c r="G228" s="79">
        <v>0</v>
      </c>
      <c r="H228" s="78">
        <v>0</v>
      </c>
      <c r="I228" s="78">
        <v>0</v>
      </c>
      <c r="J228" s="78"/>
    </row>
    <row r="229" spans="1:10" x14ac:dyDescent="0.25">
      <c r="A229" s="78">
        <v>4080121</v>
      </c>
      <c r="B229" s="78" t="s">
        <v>540</v>
      </c>
      <c r="C229" s="78" t="s">
        <v>579</v>
      </c>
      <c r="D229" s="78">
        <v>0</v>
      </c>
      <c r="E229" s="78">
        <v>0</v>
      </c>
      <c r="F229" s="78">
        <v>0</v>
      </c>
      <c r="G229" s="79">
        <v>0</v>
      </c>
      <c r="H229" s="78">
        <v>0</v>
      </c>
      <c r="I229" s="78">
        <v>0</v>
      </c>
      <c r="J229" s="78"/>
    </row>
    <row r="230" spans="1:10" x14ac:dyDescent="0.25">
      <c r="A230" s="78">
        <v>4090010</v>
      </c>
      <c r="B230" s="78" t="s">
        <v>582</v>
      </c>
      <c r="C230" s="78" t="s">
        <v>531</v>
      </c>
      <c r="D230" s="78">
        <v>0</v>
      </c>
      <c r="E230" s="78">
        <v>0</v>
      </c>
      <c r="F230" s="78">
        <v>0</v>
      </c>
      <c r="G230" s="79">
        <v>0</v>
      </c>
      <c r="H230" s="78">
        <v>0</v>
      </c>
      <c r="I230" s="78">
        <v>0</v>
      </c>
      <c r="J230" s="78"/>
    </row>
    <row r="231" spans="1:10" x14ac:dyDescent="0.25">
      <c r="A231" s="78">
        <v>4090040</v>
      </c>
      <c r="B231" s="78" t="s">
        <v>585</v>
      </c>
      <c r="C231" s="78" t="s">
        <v>531</v>
      </c>
      <c r="D231" s="78">
        <v>0</v>
      </c>
      <c r="E231" s="78">
        <v>0</v>
      </c>
      <c r="F231" s="78">
        <v>0</v>
      </c>
      <c r="G231" s="79">
        <v>0</v>
      </c>
      <c r="H231" s="78">
        <v>0</v>
      </c>
      <c r="I231" s="78">
        <v>0</v>
      </c>
      <c r="J231" s="78"/>
    </row>
    <row r="232" spans="1:10" x14ac:dyDescent="0.25">
      <c r="A232" s="78">
        <v>4090080</v>
      </c>
      <c r="B232" s="78" t="s">
        <v>587</v>
      </c>
      <c r="C232" s="78" t="s">
        <v>531</v>
      </c>
      <c r="D232" s="78">
        <v>0</v>
      </c>
      <c r="E232" s="78">
        <v>0</v>
      </c>
      <c r="F232" s="78">
        <v>0</v>
      </c>
      <c r="G232" s="79">
        <v>0</v>
      </c>
      <c r="H232" s="78">
        <v>0</v>
      </c>
      <c r="I232" s="78">
        <v>0</v>
      </c>
      <c r="J232" s="78"/>
    </row>
    <row r="233" spans="1:10" x14ac:dyDescent="0.25">
      <c r="A233" s="78">
        <v>4090138</v>
      </c>
      <c r="B233" s="78" t="s">
        <v>589</v>
      </c>
      <c r="C233" s="78" t="s">
        <v>590</v>
      </c>
      <c r="D233" s="78">
        <v>0</v>
      </c>
      <c r="E233" s="78">
        <v>0</v>
      </c>
      <c r="F233" s="78">
        <v>0</v>
      </c>
      <c r="G233" s="79">
        <v>0</v>
      </c>
      <c r="H233" s="78">
        <v>0</v>
      </c>
      <c r="I233" s="78">
        <v>0</v>
      </c>
      <c r="J233" s="78"/>
    </row>
    <row r="234" spans="1:10" x14ac:dyDescent="0.25">
      <c r="A234" s="78">
        <v>4090234</v>
      </c>
      <c r="B234" s="78" t="s">
        <v>589</v>
      </c>
      <c r="C234" s="78" t="s">
        <v>592</v>
      </c>
      <c r="D234" s="78">
        <v>0</v>
      </c>
      <c r="E234" s="78">
        <v>0</v>
      </c>
      <c r="F234" s="78">
        <v>0</v>
      </c>
      <c r="G234" s="79">
        <v>0</v>
      </c>
      <c r="H234" s="78">
        <v>0</v>
      </c>
      <c r="I234" s="78">
        <v>0</v>
      </c>
      <c r="J234" s="78"/>
    </row>
    <row r="235" spans="1:10" x14ac:dyDescent="0.25">
      <c r="A235" s="78">
        <v>4510050</v>
      </c>
      <c r="B235" s="78" t="s">
        <v>594</v>
      </c>
      <c r="C235" s="78" t="s">
        <v>596</v>
      </c>
      <c r="D235" s="78">
        <v>0</v>
      </c>
      <c r="E235" s="78">
        <v>0</v>
      </c>
      <c r="F235" s="78">
        <v>0</v>
      </c>
      <c r="G235" s="79">
        <v>0</v>
      </c>
      <c r="H235" s="78">
        <v>0</v>
      </c>
      <c r="I235" s="78">
        <v>0</v>
      </c>
      <c r="J235" s="78"/>
    </row>
    <row r="236" spans="1:10" x14ac:dyDescent="0.25">
      <c r="A236" s="78">
        <v>45101665</v>
      </c>
      <c r="B236" s="78" t="s">
        <v>598</v>
      </c>
      <c r="C236" s="78" t="s">
        <v>599</v>
      </c>
      <c r="D236" s="78">
        <v>0</v>
      </c>
      <c r="E236" s="78">
        <v>0</v>
      </c>
      <c r="F236" s="78">
        <v>0</v>
      </c>
      <c r="G236" s="79">
        <v>0</v>
      </c>
      <c r="H236" s="78">
        <v>0</v>
      </c>
      <c r="I236" s="78">
        <v>0</v>
      </c>
      <c r="J236" s="78"/>
    </row>
    <row r="237" spans="1:10" x14ac:dyDescent="0.25">
      <c r="A237" s="78">
        <v>45102410</v>
      </c>
      <c r="B237" s="78" t="s">
        <v>601</v>
      </c>
      <c r="C237" s="78" t="s">
        <v>602</v>
      </c>
      <c r="D237" s="78">
        <v>0</v>
      </c>
      <c r="E237" s="78">
        <v>0</v>
      </c>
      <c r="F237" s="78">
        <v>0</v>
      </c>
      <c r="G237" s="79">
        <v>0</v>
      </c>
      <c r="H237" s="78">
        <v>0</v>
      </c>
      <c r="I237" s="78">
        <v>0</v>
      </c>
      <c r="J237" s="78"/>
    </row>
    <row r="238" spans="1:10" x14ac:dyDescent="0.25">
      <c r="A238" s="78">
        <v>4520010</v>
      </c>
      <c r="B238" s="78" t="s">
        <v>604</v>
      </c>
      <c r="C238" s="78" t="s">
        <v>606</v>
      </c>
      <c r="D238" s="78">
        <v>0</v>
      </c>
      <c r="E238" s="78">
        <v>0</v>
      </c>
      <c r="F238" s="78">
        <v>0</v>
      </c>
      <c r="G238" s="79">
        <v>0</v>
      </c>
      <c r="H238" s="78">
        <v>0</v>
      </c>
      <c r="I238" s="78">
        <v>0</v>
      </c>
      <c r="J238" s="78"/>
    </row>
    <row r="239" spans="1:10" x14ac:dyDescent="0.25">
      <c r="A239" s="78">
        <v>4520030</v>
      </c>
      <c r="B239" s="78" t="s">
        <v>608</v>
      </c>
      <c r="C239" s="78" t="s">
        <v>609</v>
      </c>
      <c r="D239" s="78">
        <v>0</v>
      </c>
      <c r="E239" s="78">
        <v>0</v>
      </c>
      <c r="F239" s="78">
        <v>0</v>
      </c>
      <c r="G239" s="79">
        <v>0</v>
      </c>
      <c r="H239" s="78">
        <v>0</v>
      </c>
      <c r="I239" s="78">
        <v>0</v>
      </c>
      <c r="J239" s="78"/>
    </row>
    <row r="240" spans="1:10" x14ac:dyDescent="0.25">
      <c r="A240" s="78">
        <v>4520042</v>
      </c>
      <c r="B240" s="78" t="s">
        <v>611</v>
      </c>
      <c r="C240" s="78" t="s">
        <v>609</v>
      </c>
      <c r="D240" s="78">
        <v>0</v>
      </c>
      <c r="E240" s="78">
        <v>0</v>
      </c>
      <c r="F240" s="78">
        <v>0</v>
      </c>
      <c r="G240" s="79">
        <v>0</v>
      </c>
      <c r="H240" s="78">
        <v>0</v>
      </c>
      <c r="I240" s="78">
        <v>0</v>
      </c>
      <c r="J240" s="78"/>
    </row>
    <row r="241" spans="1:10" x14ac:dyDescent="0.25">
      <c r="A241" s="78">
        <v>45201079</v>
      </c>
      <c r="B241" s="78" t="s">
        <v>613</v>
      </c>
      <c r="C241" s="78" t="s">
        <v>67</v>
      </c>
      <c r="D241" s="78">
        <v>0</v>
      </c>
      <c r="E241" s="78">
        <v>0</v>
      </c>
      <c r="F241" s="78">
        <v>0</v>
      </c>
      <c r="G241" s="79">
        <v>0</v>
      </c>
      <c r="H241" s="78">
        <v>0</v>
      </c>
      <c r="I241" s="78">
        <v>0</v>
      </c>
      <c r="J241" s="78"/>
    </row>
    <row r="242" spans="1:10" x14ac:dyDescent="0.25">
      <c r="A242" s="78">
        <v>4520128</v>
      </c>
      <c r="B242" s="78" t="s">
        <v>594</v>
      </c>
      <c r="C242" s="78" t="s">
        <v>615</v>
      </c>
      <c r="D242" s="78">
        <v>0</v>
      </c>
      <c r="E242" s="78">
        <v>0</v>
      </c>
      <c r="F242" s="78">
        <v>0</v>
      </c>
      <c r="G242" s="79">
        <v>0</v>
      </c>
      <c r="H242" s="78">
        <v>0</v>
      </c>
      <c r="I242" s="78">
        <v>0</v>
      </c>
      <c r="J242" s="78"/>
    </row>
    <row r="243" spans="1:10" x14ac:dyDescent="0.25">
      <c r="A243" s="78">
        <v>4520186</v>
      </c>
      <c r="B243" s="78" t="s">
        <v>617</v>
      </c>
      <c r="C243" s="78" t="s">
        <v>618</v>
      </c>
      <c r="D243" s="78">
        <v>0</v>
      </c>
      <c r="E243" s="78">
        <v>0</v>
      </c>
      <c r="F243" s="78">
        <v>0</v>
      </c>
      <c r="G243" s="79">
        <v>0</v>
      </c>
      <c r="H243" s="78">
        <v>0</v>
      </c>
      <c r="I243" s="78">
        <v>0</v>
      </c>
      <c r="J243" s="78"/>
    </row>
    <row r="244" spans="1:10" x14ac:dyDescent="0.25">
      <c r="A244" s="78">
        <v>4520252</v>
      </c>
      <c r="B244" s="78" t="s">
        <v>620</v>
      </c>
      <c r="C244" s="78" t="s">
        <v>621</v>
      </c>
      <c r="D244" s="78">
        <v>0</v>
      </c>
      <c r="E244" s="78">
        <v>0</v>
      </c>
      <c r="F244" s="78">
        <v>0</v>
      </c>
      <c r="G244" s="79">
        <v>0</v>
      </c>
      <c r="H244" s="78">
        <v>0</v>
      </c>
      <c r="I244" s="78">
        <v>0</v>
      </c>
      <c r="J244" s="78"/>
    </row>
    <row r="245" spans="1:10" x14ac:dyDescent="0.25">
      <c r="A245" s="78">
        <v>4520511</v>
      </c>
      <c r="B245" s="78" t="s">
        <v>620</v>
      </c>
      <c r="C245" s="78" t="s">
        <v>623</v>
      </c>
      <c r="D245" s="78">
        <v>0</v>
      </c>
      <c r="E245" s="78">
        <v>0</v>
      </c>
      <c r="F245" s="78">
        <v>0</v>
      </c>
      <c r="G245" s="79">
        <v>0</v>
      </c>
      <c r="H245" s="78">
        <v>0</v>
      </c>
      <c r="I245" s="78">
        <v>0</v>
      </c>
      <c r="J245" s="78"/>
    </row>
    <row r="246" spans="1:10" x14ac:dyDescent="0.25">
      <c r="A246" s="78">
        <v>4520705</v>
      </c>
      <c r="B246" s="78" t="s">
        <v>598</v>
      </c>
      <c r="C246" s="78" t="s">
        <v>625</v>
      </c>
      <c r="D246" s="78">
        <v>0</v>
      </c>
      <c r="E246" s="78">
        <v>0</v>
      </c>
      <c r="F246" s="78">
        <v>0</v>
      </c>
      <c r="G246" s="79">
        <v>0</v>
      </c>
      <c r="H246" s="78">
        <v>0</v>
      </c>
      <c r="I246" s="78">
        <v>0</v>
      </c>
      <c r="J246" s="78"/>
    </row>
    <row r="247" spans="1:10" x14ac:dyDescent="0.25">
      <c r="A247" s="78">
        <v>5010010</v>
      </c>
      <c r="B247" s="78" t="s">
        <v>627</v>
      </c>
      <c r="C247" s="78" t="s">
        <v>629</v>
      </c>
      <c r="D247" s="78">
        <v>0</v>
      </c>
      <c r="E247" s="78">
        <v>0</v>
      </c>
      <c r="F247" s="78">
        <v>0</v>
      </c>
      <c r="G247" s="79">
        <v>0</v>
      </c>
      <c r="H247" s="78">
        <v>0</v>
      </c>
      <c r="I247" s="78">
        <v>0</v>
      </c>
      <c r="J247" s="78"/>
    </row>
    <row r="248" spans="1:10" x14ac:dyDescent="0.25">
      <c r="A248" s="78">
        <v>5010020</v>
      </c>
      <c r="B248" s="78" t="s">
        <v>631</v>
      </c>
      <c r="C248" s="78" t="s">
        <v>632</v>
      </c>
      <c r="D248" s="78">
        <v>0</v>
      </c>
      <c r="E248" s="78">
        <v>0</v>
      </c>
      <c r="F248" s="78">
        <v>0</v>
      </c>
      <c r="G248" s="79">
        <v>0</v>
      </c>
      <c r="H248" s="78">
        <v>0</v>
      </c>
      <c r="I248" s="78">
        <v>0</v>
      </c>
      <c r="J248" s="78"/>
    </row>
    <row r="249" spans="1:10" x14ac:dyDescent="0.25">
      <c r="A249" s="78">
        <v>5010061</v>
      </c>
      <c r="B249" s="78" t="s">
        <v>627</v>
      </c>
      <c r="C249" s="78" t="s">
        <v>632</v>
      </c>
      <c r="D249" s="78">
        <v>0</v>
      </c>
      <c r="E249" s="78">
        <v>0</v>
      </c>
      <c r="F249" s="78">
        <v>0</v>
      </c>
      <c r="G249" s="79">
        <v>0</v>
      </c>
      <c r="H249" s="78">
        <v>0</v>
      </c>
      <c r="I249" s="78">
        <v>0</v>
      </c>
      <c r="J249" s="78"/>
    </row>
    <row r="250" spans="1:10" x14ac:dyDescent="0.25">
      <c r="A250" s="78">
        <v>5020030</v>
      </c>
      <c r="B250" s="78" t="s">
        <v>635</v>
      </c>
      <c r="C250" s="78" t="s">
        <v>637</v>
      </c>
      <c r="D250" s="78">
        <v>0</v>
      </c>
      <c r="E250" s="78">
        <v>0</v>
      </c>
      <c r="F250" s="78">
        <v>0</v>
      </c>
      <c r="G250" s="79">
        <v>0</v>
      </c>
      <c r="H250" s="78">
        <v>0</v>
      </c>
      <c r="I250" s="78">
        <v>0</v>
      </c>
      <c r="J250" s="78"/>
    </row>
    <row r="251" spans="1:10" x14ac:dyDescent="0.25">
      <c r="A251" s="78">
        <v>5020070</v>
      </c>
      <c r="B251" s="78" t="s">
        <v>63</v>
      </c>
      <c r="C251" s="78" t="s">
        <v>64</v>
      </c>
      <c r="D251" s="78">
        <v>0</v>
      </c>
      <c r="E251" s="78">
        <v>0</v>
      </c>
      <c r="F251" s="78">
        <v>0</v>
      </c>
      <c r="G251" s="79">
        <v>0</v>
      </c>
      <c r="H251" s="78">
        <v>0</v>
      </c>
      <c r="I251" s="78">
        <v>0</v>
      </c>
      <c r="J251" s="78"/>
    </row>
    <row r="252" spans="1:10" x14ac:dyDescent="0.25">
      <c r="A252" s="78">
        <v>5020091</v>
      </c>
      <c r="B252" s="78" t="s">
        <v>639</v>
      </c>
      <c r="C252" s="78" t="s">
        <v>64</v>
      </c>
      <c r="D252" s="78">
        <v>0</v>
      </c>
      <c r="E252" s="78">
        <v>0</v>
      </c>
      <c r="F252" s="78">
        <v>0</v>
      </c>
      <c r="G252" s="79">
        <v>0</v>
      </c>
      <c r="H252" s="78">
        <v>0</v>
      </c>
      <c r="I252" s="78">
        <v>0</v>
      </c>
      <c r="J252" s="78"/>
    </row>
    <row r="253" spans="1:10" x14ac:dyDescent="0.25">
      <c r="A253" s="78">
        <v>5020100</v>
      </c>
      <c r="B253" s="78" t="s">
        <v>641</v>
      </c>
      <c r="C253" s="78" t="s">
        <v>642</v>
      </c>
      <c r="D253" s="78">
        <v>0</v>
      </c>
      <c r="E253" s="78">
        <v>0</v>
      </c>
      <c r="F253" s="78">
        <v>0</v>
      </c>
      <c r="G253" s="79">
        <v>0</v>
      </c>
      <c r="H253" s="78">
        <v>0</v>
      </c>
      <c r="I253" s="78">
        <v>0</v>
      </c>
      <c r="J253" s="78"/>
    </row>
    <row r="254" spans="1:10" x14ac:dyDescent="0.25">
      <c r="A254" s="78">
        <v>502010859</v>
      </c>
      <c r="B254" s="78" t="s">
        <v>644</v>
      </c>
      <c r="C254" s="78" t="s">
        <v>645</v>
      </c>
      <c r="D254" s="78">
        <v>0</v>
      </c>
      <c r="E254" s="78">
        <v>0</v>
      </c>
      <c r="F254" s="78">
        <v>0</v>
      </c>
      <c r="G254" s="79">
        <v>0</v>
      </c>
      <c r="H254" s="78">
        <v>0</v>
      </c>
      <c r="I254" s="78">
        <v>0</v>
      </c>
      <c r="J254" s="78"/>
    </row>
    <row r="255" spans="1:10" x14ac:dyDescent="0.25">
      <c r="A255" s="78">
        <v>5020125</v>
      </c>
      <c r="B255" s="78" t="s">
        <v>647</v>
      </c>
      <c r="C255" s="78" t="s">
        <v>637</v>
      </c>
      <c r="D255" s="78">
        <v>0</v>
      </c>
      <c r="E255" s="78">
        <v>0</v>
      </c>
      <c r="F255" s="78">
        <v>0</v>
      </c>
      <c r="G255" s="79">
        <v>0</v>
      </c>
      <c r="H255" s="78">
        <v>0</v>
      </c>
      <c r="I255" s="78">
        <v>0</v>
      </c>
      <c r="J255" s="78"/>
    </row>
    <row r="256" spans="1:10" x14ac:dyDescent="0.25">
      <c r="A256" s="78">
        <v>5020150</v>
      </c>
      <c r="B256" s="78" t="s">
        <v>649</v>
      </c>
      <c r="C256" s="78" t="s">
        <v>609</v>
      </c>
      <c r="D256" s="78">
        <v>0</v>
      </c>
      <c r="E256" s="78">
        <v>0</v>
      </c>
      <c r="F256" s="78">
        <v>0</v>
      </c>
      <c r="G256" s="79">
        <v>0</v>
      </c>
      <c r="H256" s="78">
        <v>0</v>
      </c>
      <c r="I256" s="78">
        <v>0</v>
      </c>
      <c r="J256" s="78"/>
    </row>
    <row r="257" spans="1:10" x14ac:dyDescent="0.25">
      <c r="A257" s="78">
        <v>5020240</v>
      </c>
      <c r="B257" s="78" t="s">
        <v>651</v>
      </c>
      <c r="C257" s="78" t="s">
        <v>652</v>
      </c>
      <c r="D257" s="78">
        <v>0</v>
      </c>
      <c r="E257" s="78">
        <v>0</v>
      </c>
      <c r="F257" s="78">
        <v>0</v>
      </c>
      <c r="G257" s="79">
        <v>0</v>
      </c>
      <c r="H257" s="78">
        <v>0</v>
      </c>
      <c r="I257" s="78">
        <v>0</v>
      </c>
      <c r="J257" s="78"/>
    </row>
    <row r="258" spans="1:10" x14ac:dyDescent="0.25">
      <c r="A258" s="78">
        <v>50203416</v>
      </c>
      <c r="B258" s="78" t="s">
        <v>654</v>
      </c>
      <c r="C258" s="78" t="s">
        <v>655</v>
      </c>
      <c r="D258" s="78">
        <v>0</v>
      </c>
      <c r="E258" s="78">
        <v>0</v>
      </c>
      <c r="F258" s="78">
        <v>0</v>
      </c>
      <c r="G258" s="79">
        <v>0</v>
      </c>
      <c r="H258" s="78">
        <v>0</v>
      </c>
      <c r="I258" s="78">
        <v>0</v>
      </c>
      <c r="J258" s="78"/>
    </row>
    <row r="259" spans="1:10" x14ac:dyDescent="0.25">
      <c r="A259" s="78">
        <v>50203931</v>
      </c>
      <c r="B259" s="78" t="s">
        <v>657</v>
      </c>
      <c r="C259" s="78" t="s">
        <v>415</v>
      </c>
      <c r="D259" s="78">
        <v>0</v>
      </c>
      <c r="E259" s="78">
        <v>0</v>
      </c>
      <c r="F259" s="78">
        <v>0</v>
      </c>
      <c r="G259" s="79">
        <v>0</v>
      </c>
      <c r="H259" s="78">
        <v>0</v>
      </c>
      <c r="I259" s="78">
        <v>0</v>
      </c>
      <c r="J259" s="78"/>
    </row>
    <row r="260" spans="1:10" x14ac:dyDescent="0.25">
      <c r="A260" s="78">
        <v>50205931</v>
      </c>
      <c r="B260" s="78" t="s">
        <v>66</v>
      </c>
      <c r="C260" s="78" t="s">
        <v>67</v>
      </c>
      <c r="D260" s="78">
        <v>0</v>
      </c>
      <c r="E260" s="78">
        <v>0</v>
      </c>
      <c r="F260" s="78">
        <v>0</v>
      </c>
      <c r="G260" s="79">
        <v>0</v>
      </c>
      <c r="H260" s="78">
        <v>0</v>
      </c>
      <c r="I260" s="78">
        <v>0</v>
      </c>
      <c r="J260" s="78"/>
    </row>
    <row r="261" spans="1:10" x14ac:dyDescent="0.25">
      <c r="A261" s="78">
        <v>5020700</v>
      </c>
      <c r="B261" s="78" t="s">
        <v>659</v>
      </c>
      <c r="C261" s="78" t="s">
        <v>660</v>
      </c>
      <c r="D261" s="78">
        <v>0</v>
      </c>
      <c r="E261" s="78">
        <v>0</v>
      </c>
      <c r="F261" s="78">
        <v>0</v>
      </c>
      <c r="G261" s="79">
        <v>0</v>
      </c>
      <c r="H261" s="78">
        <v>0</v>
      </c>
      <c r="I261" s="78">
        <v>0</v>
      </c>
      <c r="J261" s="78"/>
    </row>
    <row r="262" spans="1:10" x14ac:dyDescent="0.25">
      <c r="A262" s="78">
        <v>5020702</v>
      </c>
      <c r="B262" s="78" t="s">
        <v>662</v>
      </c>
      <c r="C262" s="78" t="s">
        <v>632</v>
      </c>
      <c r="D262" s="78">
        <v>0</v>
      </c>
      <c r="E262" s="78">
        <v>0</v>
      </c>
      <c r="F262" s="78">
        <v>0</v>
      </c>
      <c r="G262" s="79">
        <v>0</v>
      </c>
      <c r="H262" s="78">
        <v>0</v>
      </c>
      <c r="I262" s="78">
        <v>0</v>
      </c>
      <c r="J262" s="78"/>
    </row>
    <row r="263" spans="1:10" x14ac:dyDescent="0.25">
      <c r="A263" s="78">
        <v>5020717</v>
      </c>
      <c r="B263" s="78" t="s">
        <v>664</v>
      </c>
      <c r="C263" s="78" t="s">
        <v>665</v>
      </c>
      <c r="D263" s="78">
        <v>0</v>
      </c>
      <c r="E263" s="78">
        <v>0</v>
      </c>
      <c r="F263" s="78">
        <v>0</v>
      </c>
      <c r="G263" s="79">
        <v>0</v>
      </c>
      <c r="H263" s="78">
        <v>0</v>
      </c>
      <c r="I263" s="78">
        <v>0</v>
      </c>
      <c r="J263" s="78"/>
    </row>
    <row r="264" spans="1:10" x14ac:dyDescent="0.25">
      <c r="A264" s="78">
        <v>5020740</v>
      </c>
      <c r="B264" s="78" t="s">
        <v>667</v>
      </c>
      <c r="C264" s="78" t="s">
        <v>668</v>
      </c>
      <c r="D264" s="78">
        <v>0</v>
      </c>
      <c r="E264" s="78">
        <v>0</v>
      </c>
      <c r="F264" s="78">
        <v>0</v>
      </c>
      <c r="G264" s="79">
        <v>0</v>
      </c>
      <c r="H264" s="78">
        <v>0</v>
      </c>
      <c r="I264" s="78">
        <v>0</v>
      </c>
      <c r="J264" s="78"/>
    </row>
    <row r="265" spans="1:10" x14ac:dyDescent="0.25">
      <c r="A265" s="78">
        <v>5020765</v>
      </c>
      <c r="B265" s="78" t="s">
        <v>670</v>
      </c>
      <c r="C265" s="78" t="s">
        <v>652</v>
      </c>
      <c r="D265" s="78">
        <v>0</v>
      </c>
      <c r="E265" s="78">
        <v>0</v>
      </c>
      <c r="F265" s="78">
        <v>0</v>
      </c>
      <c r="G265" s="79">
        <v>0</v>
      </c>
      <c r="H265" s="78">
        <v>0</v>
      </c>
      <c r="I265" s="78">
        <v>0</v>
      </c>
      <c r="J265" s="78"/>
    </row>
    <row r="266" spans="1:10" x14ac:dyDescent="0.25">
      <c r="A266" s="78">
        <v>5020783</v>
      </c>
      <c r="B266" s="78" t="s">
        <v>670</v>
      </c>
      <c r="C266" s="78" t="s">
        <v>609</v>
      </c>
      <c r="D266" s="78">
        <v>0</v>
      </c>
      <c r="E266" s="78">
        <v>0</v>
      </c>
      <c r="F266" s="78">
        <v>0</v>
      </c>
      <c r="G266" s="79">
        <v>0</v>
      </c>
      <c r="H266" s="78">
        <v>0</v>
      </c>
      <c r="I266" s="78">
        <v>0</v>
      </c>
      <c r="J266" s="78"/>
    </row>
    <row r="267" spans="1:10" x14ac:dyDescent="0.25">
      <c r="A267" s="78">
        <v>5020800</v>
      </c>
      <c r="B267" s="78" t="s">
        <v>673</v>
      </c>
      <c r="C267" s="78" t="s">
        <v>674</v>
      </c>
      <c r="D267" s="78">
        <v>0</v>
      </c>
      <c r="E267" s="78">
        <v>0</v>
      </c>
      <c r="F267" s="78">
        <v>0</v>
      </c>
      <c r="G267" s="79">
        <v>0</v>
      </c>
      <c r="H267" s="78">
        <v>0</v>
      </c>
      <c r="I267" s="78">
        <v>0</v>
      </c>
      <c r="J267" s="78"/>
    </row>
    <row r="268" spans="1:10" x14ac:dyDescent="0.25">
      <c r="A268" s="78">
        <v>50208280</v>
      </c>
      <c r="B268" s="78" t="s">
        <v>676</v>
      </c>
      <c r="C268" s="78" t="s">
        <v>677</v>
      </c>
      <c r="D268" s="78">
        <v>0</v>
      </c>
      <c r="E268" s="78">
        <v>0</v>
      </c>
      <c r="F268" s="78">
        <v>0</v>
      </c>
      <c r="G268" s="79">
        <v>0</v>
      </c>
      <c r="H268" s="78">
        <v>0</v>
      </c>
      <c r="I268" s="78">
        <v>0</v>
      </c>
      <c r="J268" s="78"/>
    </row>
    <row r="269" spans="1:10" x14ac:dyDescent="0.25">
      <c r="A269" s="78">
        <v>5020833</v>
      </c>
      <c r="B269" s="78" t="s">
        <v>679</v>
      </c>
      <c r="C269" s="78" t="s">
        <v>680</v>
      </c>
      <c r="D269" s="78">
        <v>0</v>
      </c>
      <c r="E269" s="78">
        <v>0</v>
      </c>
      <c r="F269" s="78">
        <v>0</v>
      </c>
      <c r="G269" s="79">
        <v>0</v>
      </c>
      <c r="H269" s="78">
        <v>0</v>
      </c>
      <c r="I269" s="78">
        <v>0</v>
      </c>
      <c r="J269" s="78"/>
    </row>
    <row r="270" spans="1:10" x14ac:dyDescent="0.25">
      <c r="A270" s="78">
        <v>5020924</v>
      </c>
      <c r="B270" s="78" t="s">
        <v>682</v>
      </c>
      <c r="C270" s="78" t="s">
        <v>683</v>
      </c>
      <c r="D270" s="78">
        <v>0</v>
      </c>
      <c r="E270" s="78">
        <v>0</v>
      </c>
      <c r="F270" s="78">
        <v>0</v>
      </c>
      <c r="G270" s="79">
        <v>0</v>
      </c>
      <c r="H270" s="78">
        <v>0</v>
      </c>
      <c r="I270" s="78">
        <v>0</v>
      </c>
      <c r="J270" s="78"/>
    </row>
    <row r="271" spans="1:10" x14ac:dyDescent="0.25">
      <c r="A271" s="78">
        <v>50209892</v>
      </c>
      <c r="B271" s="78" t="s">
        <v>685</v>
      </c>
      <c r="C271" s="78" t="s">
        <v>686</v>
      </c>
      <c r="D271" s="78">
        <v>0</v>
      </c>
      <c r="E271" s="78">
        <v>0</v>
      </c>
      <c r="F271" s="78">
        <v>0</v>
      </c>
      <c r="G271" s="79">
        <v>0</v>
      </c>
      <c r="H271" s="78">
        <v>0</v>
      </c>
      <c r="I271" s="78">
        <v>0</v>
      </c>
      <c r="J271" s="78"/>
    </row>
    <row r="272" spans="1:10" x14ac:dyDescent="0.25">
      <c r="A272" s="78">
        <v>5021004</v>
      </c>
      <c r="B272" s="78" t="s">
        <v>635</v>
      </c>
      <c r="C272" s="78" t="s">
        <v>645</v>
      </c>
      <c r="D272" s="78">
        <v>0</v>
      </c>
      <c r="E272" s="78">
        <v>0</v>
      </c>
      <c r="F272" s="78">
        <v>0</v>
      </c>
      <c r="G272" s="79">
        <v>0</v>
      </c>
      <c r="H272" s="78">
        <v>0</v>
      </c>
      <c r="I272" s="78">
        <v>0</v>
      </c>
      <c r="J272" s="78"/>
    </row>
    <row r="273" spans="1:10" x14ac:dyDescent="0.25">
      <c r="A273" s="78">
        <v>5021721</v>
      </c>
      <c r="B273" s="78" t="s">
        <v>689</v>
      </c>
      <c r="C273" s="78" t="s">
        <v>690</v>
      </c>
      <c r="D273" s="78">
        <v>0</v>
      </c>
      <c r="E273" s="78">
        <v>0</v>
      </c>
      <c r="F273" s="78">
        <v>0</v>
      </c>
      <c r="G273" s="79">
        <v>0</v>
      </c>
      <c r="H273" s="78">
        <v>0</v>
      </c>
      <c r="I273" s="78">
        <v>0</v>
      </c>
      <c r="J273" s="78"/>
    </row>
    <row r="274" spans="1:10" x14ac:dyDescent="0.25">
      <c r="A274" s="78">
        <v>5021864</v>
      </c>
      <c r="B274" s="78" t="s">
        <v>635</v>
      </c>
      <c r="C274" s="78" t="s">
        <v>692</v>
      </c>
      <c r="D274" s="78">
        <v>0</v>
      </c>
      <c r="E274" s="78">
        <v>0</v>
      </c>
      <c r="F274" s="78">
        <v>0</v>
      </c>
      <c r="G274" s="79">
        <v>0</v>
      </c>
      <c r="H274" s="78">
        <v>0</v>
      </c>
      <c r="I274" s="78">
        <v>0</v>
      </c>
      <c r="J274" s="78"/>
    </row>
    <row r="275" spans="1:10" x14ac:dyDescent="0.25">
      <c r="A275" s="78">
        <v>5030010</v>
      </c>
      <c r="B275" s="78" t="s">
        <v>694</v>
      </c>
      <c r="C275" s="78" t="s">
        <v>479</v>
      </c>
      <c r="D275" s="78">
        <v>0</v>
      </c>
      <c r="E275" s="78">
        <v>0</v>
      </c>
      <c r="F275" s="78">
        <v>0</v>
      </c>
      <c r="G275" s="79">
        <v>0</v>
      </c>
      <c r="H275" s="78">
        <v>0</v>
      </c>
      <c r="I275" s="78">
        <v>0</v>
      </c>
      <c r="J275" s="78"/>
    </row>
    <row r="276" spans="1:10" x14ac:dyDescent="0.25">
      <c r="A276" s="78">
        <v>5030020</v>
      </c>
      <c r="B276" s="78" t="s">
        <v>697</v>
      </c>
      <c r="C276" s="78" t="s">
        <v>479</v>
      </c>
      <c r="D276" s="78">
        <v>0</v>
      </c>
      <c r="E276" s="78">
        <v>0</v>
      </c>
      <c r="F276" s="78">
        <v>0</v>
      </c>
      <c r="G276" s="79">
        <v>0</v>
      </c>
      <c r="H276" s="78">
        <v>0</v>
      </c>
      <c r="I276" s="78">
        <v>0</v>
      </c>
      <c r="J276" s="78"/>
    </row>
    <row r="277" spans="1:10" x14ac:dyDescent="0.25">
      <c r="A277" s="78">
        <v>5030122</v>
      </c>
      <c r="B277" s="78" t="s">
        <v>694</v>
      </c>
      <c r="C277" s="78" t="s">
        <v>333</v>
      </c>
      <c r="D277" s="78">
        <v>0</v>
      </c>
      <c r="E277" s="78">
        <v>0</v>
      </c>
      <c r="F277" s="78">
        <v>0</v>
      </c>
      <c r="G277" s="79">
        <v>0</v>
      </c>
      <c r="H277" s="78">
        <v>0</v>
      </c>
      <c r="I277" s="78">
        <v>0</v>
      </c>
      <c r="J277" s="78"/>
    </row>
    <row r="278" spans="1:10" x14ac:dyDescent="0.25">
      <c r="A278" s="78">
        <v>5031232</v>
      </c>
      <c r="B278" s="78" t="s">
        <v>697</v>
      </c>
      <c r="C278" s="78" t="s">
        <v>700</v>
      </c>
      <c r="D278" s="78">
        <v>0</v>
      </c>
      <c r="E278" s="78">
        <v>0</v>
      </c>
      <c r="F278" s="78">
        <v>0</v>
      </c>
      <c r="G278" s="79">
        <v>0</v>
      </c>
      <c r="H278" s="78">
        <v>0</v>
      </c>
      <c r="I278" s="78">
        <v>0</v>
      </c>
      <c r="J278" s="78"/>
    </row>
    <row r="279" spans="1:10" x14ac:dyDescent="0.25">
      <c r="A279" s="78">
        <v>5040067</v>
      </c>
      <c r="B279" s="78" t="s">
        <v>702</v>
      </c>
      <c r="C279" s="78" t="s">
        <v>314</v>
      </c>
      <c r="D279" s="78">
        <v>0</v>
      </c>
      <c r="E279" s="78">
        <v>0</v>
      </c>
      <c r="F279" s="78">
        <v>0</v>
      </c>
      <c r="G279" s="79">
        <v>0</v>
      </c>
      <c r="H279" s="78">
        <v>0</v>
      </c>
      <c r="I279" s="78">
        <v>0</v>
      </c>
      <c r="J279" s="78"/>
    </row>
    <row r="280" spans="1:10" x14ac:dyDescent="0.25">
      <c r="A280" s="78">
        <v>5040082</v>
      </c>
      <c r="B280" s="78" t="s">
        <v>705</v>
      </c>
      <c r="C280" s="78" t="s">
        <v>314</v>
      </c>
      <c r="D280" s="78">
        <v>0</v>
      </c>
      <c r="E280" s="78">
        <v>0</v>
      </c>
      <c r="F280" s="78">
        <v>0</v>
      </c>
      <c r="G280" s="79">
        <v>0</v>
      </c>
      <c r="H280" s="78">
        <v>0</v>
      </c>
      <c r="I280" s="78">
        <v>0</v>
      </c>
      <c r="J280" s="78"/>
    </row>
    <row r="281" spans="1:10" x14ac:dyDescent="0.25">
      <c r="A281" s="78">
        <v>5040102</v>
      </c>
      <c r="B281" s="78" t="s">
        <v>707</v>
      </c>
      <c r="C281" s="78" t="s">
        <v>708</v>
      </c>
      <c r="D281" s="78">
        <v>0</v>
      </c>
      <c r="E281" s="78">
        <v>0</v>
      </c>
      <c r="F281" s="78">
        <v>0</v>
      </c>
      <c r="G281" s="79">
        <v>0</v>
      </c>
      <c r="H281" s="78">
        <v>0</v>
      </c>
      <c r="I281" s="78">
        <v>0</v>
      </c>
      <c r="J281" s="78"/>
    </row>
    <row r="282" spans="1:10" x14ac:dyDescent="0.25">
      <c r="A282" s="78">
        <v>5510030</v>
      </c>
      <c r="B282" s="78" t="s">
        <v>710</v>
      </c>
      <c r="C282" s="78" t="s">
        <v>479</v>
      </c>
      <c r="D282" s="78">
        <v>0</v>
      </c>
      <c r="E282" s="78">
        <v>0</v>
      </c>
      <c r="F282" s="78">
        <v>0</v>
      </c>
      <c r="G282" s="79">
        <v>0</v>
      </c>
      <c r="H282" s="78">
        <v>0</v>
      </c>
      <c r="I282" s="78">
        <v>0</v>
      </c>
      <c r="J282" s="78"/>
    </row>
    <row r="283" spans="1:10" x14ac:dyDescent="0.25">
      <c r="A283" s="78">
        <v>551011013</v>
      </c>
      <c r="B283" s="78" t="s">
        <v>713</v>
      </c>
      <c r="C283" s="78" t="s">
        <v>333</v>
      </c>
      <c r="D283" s="78">
        <v>0</v>
      </c>
      <c r="E283" s="78">
        <v>0</v>
      </c>
      <c r="F283" s="78">
        <v>0</v>
      </c>
      <c r="G283" s="79">
        <v>0</v>
      </c>
      <c r="H283" s="78">
        <v>0</v>
      </c>
      <c r="I283" s="78">
        <v>0</v>
      </c>
      <c r="J283" s="78"/>
    </row>
    <row r="284" spans="1:10" x14ac:dyDescent="0.25">
      <c r="A284" s="78">
        <v>551011806</v>
      </c>
      <c r="B284" s="78" t="s">
        <v>715</v>
      </c>
      <c r="C284" s="78" t="s">
        <v>716</v>
      </c>
      <c r="D284" s="78">
        <v>0</v>
      </c>
      <c r="E284" s="78">
        <v>0</v>
      </c>
      <c r="F284" s="78">
        <v>0</v>
      </c>
      <c r="G284" s="79">
        <v>0</v>
      </c>
      <c r="H284" s="78">
        <v>0</v>
      </c>
      <c r="I284" s="78">
        <v>0</v>
      </c>
      <c r="J284" s="78"/>
    </row>
    <row r="285" spans="1:10" x14ac:dyDescent="0.25">
      <c r="A285" s="78">
        <v>551011807</v>
      </c>
      <c r="B285" s="78" t="s">
        <v>718</v>
      </c>
      <c r="C285" s="78" t="s">
        <v>719</v>
      </c>
      <c r="D285" s="78">
        <v>0</v>
      </c>
      <c r="E285" s="78">
        <v>0</v>
      </c>
      <c r="F285" s="78">
        <v>0</v>
      </c>
      <c r="G285" s="79">
        <v>0</v>
      </c>
      <c r="H285" s="78">
        <v>0</v>
      </c>
      <c r="I285" s="78">
        <v>0</v>
      </c>
      <c r="J285" s="78"/>
    </row>
    <row r="286" spans="1:10" x14ac:dyDescent="0.25">
      <c r="A286" s="78">
        <v>551011928</v>
      </c>
      <c r="B286" s="78" t="s">
        <v>721</v>
      </c>
      <c r="C286" s="78" t="s">
        <v>722</v>
      </c>
      <c r="D286" s="78">
        <v>0</v>
      </c>
      <c r="E286" s="78">
        <v>0</v>
      </c>
      <c r="F286" s="78">
        <v>0</v>
      </c>
      <c r="G286" s="79">
        <v>0</v>
      </c>
      <c r="H286" s="78">
        <v>0</v>
      </c>
      <c r="I286" s="78">
        <v>0</v>
      </c>
      <c r="J286" s="78"/>
    </row>
    <row r="287" spans="1:10" x14ac:dyDescent="0.25">
      <c r="A287" s="78">
        <v>551011963</v>
      </c>
      <c r="B287" s="78" t="s">
        <v>724</v>
      </c>
      <c r="C287" s="78" t="s">
        <v>725</v>
      </c>
      <c r="D287" s="78">
        <v>0</v>
      </c>
      <c r="E287" s="78">
        <v>0</v>
      </c>
      <c r="F287" s="78">
        <v>0</v>
      </c>
      <c r="G287" s="79">
        <v>0</v>
      </c>
      <c r="H287" s="78">
        <v>0</v>
      </c>
      <c r="I287" s="78">
        <v>0</v>
      </c>
      <c r="J287" s="78"/>
    </row>
    <row r="288" spans="1:10" x14ac:dyDescent="0.25">
      <c r="A288" s="78">
        <v>551012017</v>
      </c>
      <c r="B288" s="78" t="s">
        <v>727</v>
      </c>
      <c r="C288" s="78" t="s">
        <v>61</v>
      </c>
      <c r="D288" s="78">
        <v>0</v>
      </c>
      <c r="E288" s="78">
        <v>0</v>
      </c>
      <c r="F288" s="78">
        <v>0</v>
      </c>
      <c r="G288" s="79">
        <v>0</v>
      </c>
      <c r="H288" s="78">
        <v>0</v>
      </c>
      <c r="I288" s="78">
        <v>0</v>
      </c>
      <c r="J288" s="78"/>
    </row>
    <row r="289" spans="1:10" x14ac:dyDescent="0.25">
      <c r="A289" s="78">
        <v>551012603</v>
      </c>
      <c r="B289" s="78" t="s">
        <v>710</v>
      </c>
      <c r="C289" s="78" t="s">
        <v>722</v>
      </c>
      <c r="D289" s="78">
        <v>0</v>
      </c>
      <c r="E289" s="78">
        <v>0</v>
      </c>
      <c r="F289" s="78">
        <v>0</v>
      </c>
      <c r="G289" s="79">
        <v>0</v>
      </c>
      <c r="H289" s="78">
        <v>0</v>
      </c>
      <c r="I289" s="78">
        <v>0</v>
      </c>
      <c r="J289" s="78"/>
    </row>
    <row r="290" spans="1:10" x14ac:dyDescent="0.25">
      <c r="A290" s="78">
        <v>5510240</v>
      </c>
      <c r="B290" s="78" t="s">
        <v>730</v>
      </c>
      <c r="C290" s="78" t="s">
        <v>415</v>
      </c>
      <c r="D290" s="78">
        <v>0</v>
      </c>
      <c r="E290" s="78">
        <v>0</v>
      </c>
      <c r="F290" s="78">
        <v>0</v>
      </c>
      <c r="G290" s="79">
        <v>0</v>
      </c>
      <c r="H290" s="78">
        <v>0</v>
      </c>
      <c r="I290" s="78">
        <v>0</v>
      </c>
      <c r="J290" s="78"/>
    </row>
    <row r="291" spans="1:10" x14ac:dyDescent="0.25">
      <c r="A291" s="78">
        <v>5510270</v>
      </c>
      <c r="B291" s="78" t="s">
        <v>727</v>
      </c>
      <c r="C291" s="78" t="s">
        <v>35</v>
      </c>
      <c r="D291" s="78">
        <v>0</v>
      </c>
      <c r="E291" s="78">
        <v>0</v>
      </c>
      <c r="F291" s="78">
        <v>0</v>
      </c>
      <c r="G291" s="79">
        <v>0</v>
      </c>
      <c r="H291" s="78">
        <v>0</v>
      </c>
      <c r="I291" s="78">
        <v>0</v>
      </c>
      <c r="J291" s="78"/>
    </row>
    <row r="292" spans="1:10" x14ac:dyDescent="0.25">
      <c r="A292" s="78">
        <v>55109645</v>
      </c>
      <c r="B292" s="78" t="s">
        <v>715</v>
      </c>
      <c r="C292" s="78" t="s">
        <v>733</v>
      </c>
      <c r="D292" s="78">
        <v>0</v>
      </c>
      <c r="E292" s="78">
        <v>0</v>
      </c>
      <c r="F292" s="78">
        <v>0</v>
      </c>
      <c r="G292" s="79">
        <v>0</v>
      </c>
      <c r="H292" s="78">
        <v>0</v>
      </c>
      <c r="I292" s="78">
        <v>0</v>
      </c>
      <c r="J292" s="78"/>
    </row>
    <row r="293" spans="1:10" x14ac:dyDescent="0.25">
      <c r="A293" s="78">
        <v>55109692</v>
      </c>
      <c r="B293" s="78" t="s">
        <v>735</v>
      </c>
      <c r="C293" s="78" t="s">
        <v>458</v>
      </c>
      <c r="D293" s="78">
        <v>0</v>
      </c>
      <c r="E293" s="78">
        <v>0</v>
      </c>
      <c r="F293" s="78">
        <v>0</v>
      </c>
      <c r="G293" s="79">
        <v>0</v>
      </c>
      <c r="H293" s="78">
        <v>0</v>
      </c>
      <c r="I293" s="78">
        <v>0</v>
      </c>
      <c r="J293" s="78"/>
    </row>
    <row r="294" spans="1:10" x14ac:dyDescent="0.25">
      <c r="A294" s="78">
        <v>5520313</v>
      </c>
      <c r="B294" s="78" t="s">
        <v>737</v>
      </c>
      <c r="C294" s="78" t="s">
        <v>35</v>
      </c>
      <c r="D294" s="78">
        <v>0</v>
      </c>
      <c r="E294" s="78">
        <v>0</v>
      </c>
      <c r="F294" s="78">
        <v>0</v>
      </c>
      <c r="G294" s="79">
        <v>0</v>
      </c>
      <c r="H294" s="78">
        <v>0</v>
      </c>
      <c r="I294" s="78">
        <v>0</v>
      </c>
      <c r="J294" s="78"/>
    </row>
    <row r="295" spans="1:10" x14ac:dyDescent="0.25">
      <c r="A295" s="78">
        <v>6010010</v>
      </c>
      <c r="B295" s="78" t="s">
        <v>740</v>
      </c>
      <c r="C295" s="78" t="s">
        <v>415</v>
      </c>
      <c r="D295" s="78">
        <v>0</v>
      </c>
      <c r="E295" s="78">
        <v>0</v>
      </c>
      <c r="F295" s="78">
        <v>0</v>
      </c>
      <c r="G295" s="79">
        <v>0</v>
      </c>
      <c r="H295" s="78">
        <v>0</v>
      </c>
      <c r="I295" s="78">
        <v>0</v>
      </c>
      <c r="J295" s="78"/>
    </row>
    <row r="296" spans="1:10" x14ac:dyDescent="0.25">
      <c r="A296" s="78">
        <v>6010049</v>
      </c>
      <c r="B296" s="78" t="s">
        <v>743</v>
      </c>
      <c r="C296" s="78" t="s">
        <v>415</v>
      </c>
      <c r="D296" s="78">
        <v>0</v>
      </c>
      <c r="E296" s="78">
        <v>0</v>
      </c>
      <c r="F296" s="78">
        <v>0</v>
      </c>
      <c r="G296" s="79">
        <v>0</v>
      </c>
      <c r="H296" s="78">
        <v>0</v>
      </c>
      <c r="I296" s="78">
        <v>0</v>
      </c>
      <c r="J296" s="78"/>
    </row>
    <row r="297" spans="1:10" x14ac:dyDescent="0.25">
      <c r="A297" s="78">
        <v>60100917</v>
      </c>
      <c r="B297" s="78" t="s">
        <v>745</v>
      </c>
      <c r="C297" s="78" t="s">
        <v>680</v>
      </c>
      <c r="D297" s="78">
        <v>0</v>
      </c>
      <c r="E297" s="78">
        <v>0</v>
      </c>
      <c r="F297" s="78">
        <v>0</v>
      </c>
      <c r="G297" s="79">
        <v>0</v>
      </c>
      <c r="H297" s="78">
        <v>0</v>
      </c>
      <c r="I297" s="78">
        <v>0</v>
      </c>
      <c r="J297" s="78"/>
    </row>
    <row r="298" spans="1:10" x14ac:dyDescent="0.25">
      <c r="A298" s="78">
        <v>60101053</v>
      </c>
      <c r="B298" s="78" t="s">
        <v>747</v>
      </c>
      <c r="C298" s="78" t="s">
        <v>314</v>
      </c>
      <c r="D298" s="78">
        <v>0</v>
      </c>
      <c r="E298" s="78">
        <v>0</v>
      </c>
      <c r="F298" s="78">
        <v>0</v>
      </c>
      <c r="G298" s="79">
        <v>0</v>
      </c>
      <c r="H298" s="78">
        <v>0</v>
      </c>
      <c r="I298" s="78">
        <v>0</v>
      </c>
      <c r="J298" s="78"/>
    </row>
    <row r="299" spans="1:10" x14ac:dyDescent="0.25">
      <c r="A299" s="78">
        <v>6010230</v>
      </c>
      <c r="B299" s="78" t="s">
        <v>749</v>
      </c>
      <c r="C299" s="78" t="s">
        <v>35</v>
      </c>
      <c r="D299" s="78">
        <v>0</v>
      </c>
      <c r="E299" s="78">
        <v>0</v>
      </c>
      <c r="F299" s="78">
        <v>0</v>
      </c>
      <c r="G299" s="79">
        <v>0</v>
      </c>
      <c r="H299" s="78">
        <v>0</v>
      </c>
      <c r="I299" s="78">
        <v>0</v>
      </c>
      <c r="J299" s="78"/>
    </row>
    <row r="300" spans="1:10" x14ac:dyDescent="0.25">
      <c r="A300" s="78">
        <v>6010270</v>
      </c>
      <c r="B300" s="78" t="s">
        <v>751</v>
      </c>
      <c r="C300" s="78" t="s">
        <v>415</v>
      </c>
      <c r="D300" s="78">
        <v>0</v>
      </c>
      <c r="E300" s="78">
        <v>0</v>
      </c>
      <c r="F300" s="78">
        <v>0</v>
      </c>
      <c r="G300" s="79">
        <v>0</v>
      </c>
      <c r="H300" s="78">
        <v>0</v>
      </c>
      <c r="I300" s="78">
        <v>0</v>
      </c>
      <c r="J300" s="78"/>
    </row>
    <row r="301" spans="1:10" x14ac:dyDescent="0.25">
      <c r="A301" s="78">
        <v>601043075</v>
      </c>
      <c r="B301" s="78" t="s">
        <v>753</v>
      </c>
      <c r="C301" s="78" t="s">
        <v>754</v>
      </c>
      <c r="D301" s="78">
        <v>0</v>
      </c>
      <c r="E301" s="78">
        <v>0</v>
      </c>
      <c r="F301" s="78">
        <v>0</v>
      </c>
      <c r="G301" s="79">
        <v>0</v>
      </c>
      <c r="H301" s="78">
        <v>0</v>
      </c>
      <c r="I301" s="78">
        <v>0</v>
      </c>
      <c r="J301" s="78"/>
    </row>
    <row r="302" spans="1:10" x14ac:dyDescent="0.25">
      <c r="A302" s="78">
        <v>6011029</v>
      </c>
      <c r="B302" s="78" t="s">
        <v>753</v>
      </c>
      <c r="C302" s="78" t="s">
        <v>464</v>
      </c>
      <c r="D302" s="78">
        <v>0</v>
      </c>
      <c r="E302" s="78">
        <v>0</v>
      </c>
      <c r="F302" s="78">
        <v>0</v>
      </c>
      <c r="G302" s="79">
        <v>0</v>
      </c>
      <c r="H302" s="78">
        <v>0</v>
      </c>
      <c r="I302" s="78">
        <v>0</v>
      </c>
      <c r="J302" s="78"/>
    </row>
    <row r="303" spans="1:10" x14ac:dyDescent="0.25">
      <c r="A303" s="78">
        <v>6011114</v>
      </c>
      <c r="B303" s="78" t="s">
        <v>757</v>
      </c>
      <c r="C303" s="78" t="s">
        <v>314</v>
      </c>
      <c r="D303" s="78">
        <v>0</v>
      </c>
      <c r="E303" s="78">
        <v>0</v>
      </c>
      <c r="F303" s="78">
        <v>0</v>
      </c>
      <c r="G303" s="79">
        <v>0</v>
      </c>
      <c r="H303" s="78">
        <v>0</v>
      </c>
      <c r="I303" s="78">
        <v>0</v>
      </c>
      <c r="J303" s="78"/>
    </row>
    <row r="304" spans="1:10" x14ac:dyDescent="0.25">
      <c r="A304" s="78">
        <v>6011427</v>
      </c>
      <c r="B304" s="78" t="s">
        <v>759</v>
      </c>
      <c r="C304" s="78" t="s">
        <v>314</v>
      </c>
      <c r="D304" s="78">
        <v>0</v>
      </c>
      <c r="E304" s="78">
        <v>0</v>
      </c>
      <c r="F304" s="78">
        <v>0</v>
      </c>
      <c r="G304" s="79">
        <v>0</v>
      </c>
      <c r="H304" s="78">
        <v>0</v>
      </c>
      <c r="I304" s="78">
        <v>0</v>
      </c>
      <c r="J304" s="78"/>
    </row>
    <row r="305" spans="1:10" x14ac:dyDescent="0.25">
      <c r="A305" s="78">
        <v>6011557</v>
      </c>
      <c r="B305" s="78" t="s">
        <v>740</v>
      </c>
      <c r="C305" s="78" t="s">
        <v>761</v>
      </c>
      <c r="D305" s="78">
        <v>0</v>
      </c>
      <c r="E305" s="78">
        <v>0</v>
      </c>
      <c r="F305" s="78">
        <v>0</v>
      </c>
      <c r="G305" s="79">
        <v>0</v>
      </c>
      <c r="H305" s="78">
        <v>0</v>
      </c>
      <c r="I305" s="78">
        <v>0</v>
      </c>
      <c r="J305" s="78"/>
    </row>
    <row r="306" spans="1:10" x14ac:dyDescent="0.25">
      <c r="A306" s="78">
        <v>6020010</v>
      </c>
      <c r="B306" s="78" t="s">
        <v>763</v>
      </c>
      <c r="C306" s="78" t="s">
        <v>70</v>
      </c>
      <c r="D306" s="78">
        <v>0</v>
      </c>
      <c r="E306" s="78">
        <v>0</v>
      </c>
      <c r="F306" s="78">
        <v>0</v>
      </c>
      <c r="G306" s="79">
        <v>0</v>
      </c>
      <c r="H306" s="78">
        <v>0</v>
      </c>
      <c r="I306" s="78">
        <v>0</v>
      </c>
      <c r="J306" s="78"/>
    </row>
    <row r="307" spans="1:10" x14ac:dyDescent="0.25">
      <c r="A307" s="78">
        <v>6020021</v>
      </c>
      <c r="B307" s="78" t="s">
        <v>766</v>
      </c>
      <c r="C307" s="78" t="s">
        <v>767</v>
      </c>
      <c r="D307" s="78">
        <v>0</v>
      </c>
      <c r="E307" s="78">
        <v>0</v>
      </c>
      <c r="F307" s="78">
        <v>0</v>
      </c>
      <c r="G307" s="79">
        <v>0</v>
      </c>
      <c r="H307" s="78">
        <v>0</v>
      </c>
      <c r="I307" s="78">
        <v>0</v>
      </c>
      <c r="J307" s="78"/>
    </row>
    <row r="308" spans="1:10" x14ac:dyDescent="0.25">
      <c r="A308" s="78">
        <v>6020024</v>
      </c>
      <c r="B308" s="78" t="s">
        <v>769</v>
      </c>
      <c r="C308" s="78" t="s">
        <v>767</v>
      </c>
      <c r="D308" s="78">
        <v>0</v>
      </c>
      <c r="E308" s="78">
        <v>0</v>
      </c>
      <c r="F308" s="78">
        <v>0</v>
      </c>
      <c r="G308" s="79">
        <v>0</v>
      </c>
      <c r="H308" s="78">
        <v>0</v>
      </c>
      <c r="I308" s="78">
        <v>0</v>
      </c>
      <c r="J308" s="78"/>
    </row>
    <row r="309" spans="1:10" x14ac:dyDescent="0.25">
      <c r="A309" s="78">
        <v>6020030</v>
      </c>
      <c r="B309" s="78" t="s">
        <v>771</v>
      </c>
      <c r="C309" s="78" t="s">
        <v>767</v>
      </c>
      <c r="D309" s="78">
        <v>0</v>
      </c>
      <c r="E309" s="78">
        <v>0</v>
      </c>
      <c r="F309" s="78">
        <v>0</v>
      </c>
      <c r="G309" s="79">
        <v>0</v>
      </c>
      <c r="H309" s="78">
        <v>0</v>
      </c>
      <c r="I309" s="78">
        <v>0</v>
      </c>
      <c r="J309" s="78"/>
    </row>
    <row r="310" spans="1:10" x14ac:dyDescent="0.25">
      <c r="A310" s="78">
        <v>60201071</v>
      </c>
      <c r="B310" s="78" t="s">
        <v>769</v>
      </c>
      <c r="C310" s="78" t="s">
        <v>773</v>
      </c>
      <c r="D310" s="78">
        <v>0</v>
      </c>
      <c r="E310" s="78">
        <v>0</v>
      </c>
      <c r="F310" s="78">
        <v>0</v>
      </c>
      <c r="G310" s="79">
        <v>0</v>
      </c>
      <c r="H310" s="78">
        <v>0</v>
      </c>
      <c r="I310" s="78">
        <v>0</v>
      </c>
      <c r="J310" s="78"/>
    </row>
    <row r="311" spans="1:10" x14ac:dyDescent="0.25">
      <c r="A311" s="78">
        <v>60201119</v>
      </c>
      <c r="B311" s="78" t="s">
        <v>775</v>
      </c>
      <c r="C311" s="78" t="s">
        <v>623</v>
      </c>
      <c r="D311" s="78">
        <v>0</v>
      </c>
      <c r="E311" s="78">
        <v>0</v>
      </c>
      <c r="F311" s="78">
        <v>0</v>
      </c>
      <c r="G311" s="79">
        <v>0</v>
      </c>
      <c r="H311" s="78">
        <v>0</v>
      </c>
      <c r="I311" s="78">
        <v>0</v>
      </c>
      <c r="J311" s="78"/>
    </row>
    <row r="312" spans="1:10" x14ac:dyDescent="0.25">
      <c r="A312" s="78">
        <v>60201573</v>
      </c>
      <c r="B312" s="78" t="s">
        <v>763</v>
      </c>
      <c r="C312" s="78" t="s">
        <v>777</v>
      </c>
      <c r="D312" s="78">
        <v>0</v>
      </c>
      <c r="E312" s="78">
        <v>0</v>
      </c>
      <c r="F312" s="78">
        <v>0</v>
      </c>
      <c r="G312" s="79">
        <v>0</v>
      </c>
      <c r="H312" s="78">
        <v>0</v>
      </c>
      <c r="I312" s="78">
        <v>0</v>
      </c>
      <c r="J312" s="78"/>
    </row>
    <row r="313" spans="1:10" x14ac:dyDescent="0.25">
      <c r="A313" s="78">
        <v>6020232</v>
      </c>
      <c r="B313" s="78" t="s">
        <v>779</v>
      </c>
      <c r="C313" s="78" t="s">
        <v>780</v>
      </c>
      <c r="D313" s="78">
        <v>0</v>
      </c>
      <c r="E313" s="78">
        <v>0</v>
      </c>
      <c r="F313" s="78">
        <v>0</v>
      </c>
      <c r="G313" s="79">
        <v>0</v>
      </c>
      <c r="H313" s="78">
        <v>0</v>
      </c>
      <c r="I313" s="78">
        <v>0</v>
      </c>
      <c r="J313" s="78"/>
    </row>
    <row r="314" spans="1:10" x14ac:dyDescent="0.25">
      <c r="A314" s="78">
        <v>6020235</v>
      </c>
      <c r="B314" s="78" t="s">
        <v>69</v>
      </c>
      <c r="C314" s="78" t="s">
        <v>70</v>
      </c>
      <c r="D314" s="78">
        <v>0</v>
      </c>
      <c r="E314" s="78">
        <v>0</v>
      </c>
      <c r="F314" s="78">
        <v>0</v>
      </c>
      <c r="G314" s="79">
        <v>0</v>
      </c>
      <c r="H314" s="78">
        <v>0</v>
      </c>
      <c r="I314" s="78">
        <v>0</v>
      </c>
      <c r="J314" s="78"/>
    </row>
    <row r="315" spans="1:10" x14ac:dyDescent="0.25">
      <c r="A315" s="78">
        <v>6020249</v>
      </c>
      <c r="B315" s="78" t="s">
        <v>782</v>
      </c>
      <c r="C315" s="78" t="s">
        <v>780</v>
      </c>
      <c r="D315" s="78">
        <v>0</v>
      </c>
      <c r="E315" s="78">
        <v>0</v>
      </c>
      <c r="F315" s="78">
        <v>0</v>
      </c>
      <c r="G315" s="79">
        <v>0</v>
      </c>
      <c r="H315" s="78">
        <v>0</v>
      </c>
      <c r="I315" s="78">
        <v>0</v>
      </c>
      <c r="J315" s="78"/>
    </row>
    <row r="316" spans="1:10" x14ac:dyDescent="0.25">
      <c r="A316" s="78">
        <v>60202495</v>
      </c>
      <c r="B316" s="78" t="s">
        <v>779</v>
      </c>
      <c r="C316" s="78" t="s">
        <v>623</v>
      </c>
      <c r="D316" s="78">
        <v>0</v>
      </c>
      <c r="E316" s="78">
        <v>0</v>
      </c>
      <c r="F316" s="78">
        <v>0</v>
      </c>
      <c r="G316" s="79">
        <v>0</v>
      </c>
      <c r="H316" s="78">
        <v>0</v>
      </c>
      <c r="I316" s="78">
        <v>0</v>
      </c>
      <c r="J316" s="78"/>
    </row>
    <row r="317" spans="1:10" x14ac:dyDescent="0.25">
      <c r="A317" s="78">
        <v>6020276</v>
      </c>
      <c r="B317" s="78" t="s">
        <v>69</v>
      </c>
      <c r="C317" s="78" t="s">
        <v>785</v>
      </c>
      <c r="D317" s="78">
        <v>0</v>
      </c>
      <c r="E317" s="78">
        <v>0</v>
      </c>
      <c r="F317" s="78">
        <v>0</v>
      </c>
      <c r="G317" s="79">
        <v>0</v>
      </c>
      <c r="H317" s="78">
        <v>0</v>
      </c>
      <c r="I317" s="78">
        <v>0</v>
      </c>
      <c r="J317" s="78"/>
    </row>
    <row r="318" spans="1:10" x14ac:dyDescent="0.25">
      <c r="A318" s="78">
        <v>6020658</v>
      </c>
      <c r="B318" s="78" t="s">
        <v>782</v>
      </c>
      <c r="C318" s="78" t="s">
        <v>787</v>
      </c>
      <c r="D318" s="78">
        <v>0</v>
      </c>
      <c r="E318" s="78">
        <v>0</v>
      </c>
      <c r="F318" s="78">
        <v>0</v>
      </c>
      <c r="G318" s="79">
        <v>0</v>
      </c>
      <c r="H318" s="78">
        <v>0</v>
      </c>
      <c r="I318" s="78">
        <v>0</v>
      </c>
      <c r="J318" s="78"/>
    </row>
    <row r="319" spans="1:10" x14ac:dyDescent="0.25">
      <c r="A319" s="78">
        <v>6030012</v>
      </c>
      <c r="B319" s="78" t="s">
        <v>789</v>
      </c>
      <c r="C319" s="78" t="s">
        <v>35</v>
      </c>
      <c r="D319" s="78">
        <v>0</v>
      </c>
      <c r="E319" s="78">
        <v>0</v>
      </c>
      <c r="F319" s="78">
        <v>0</v>
      </c>
      <c r="G319" s="79">
        <v>0</v>
      </c>
      <c r="H319" s="78">
        <v>0</v>
      </c>
      <c r="I319" s="78">
        <v>0</v>
      </c>
      <c r="J319" s="78"/>
    </row>
    <row r="320" spans="1:10" x14ac:dyDescent="0.25">
      <c r="A320" s="78">
        <v>6030020</v>
      </c>
      <c r="B320" s="78" t="s">
        <v>792</v>
      </c>
      <c r="C320" s="78" t="s">
        <v>35</v>
      </c>
      <c r="D320" s="78">
        <v>0</v>
      </c>
      <c r="E320" s="78">
        <v>0</v>
      </c>
      <c r="F320" s="78">
        <v>0</v>
      </c>
      <c r="G320" s="79">
        <v>0</v>
      </c>
      <c r="H320" s="78">
        <v>0</v>
      </c>
      <c r="I320" s="78">
        <v>0</v>
      </c>
      <c r="J320" s="78"/>
    </row>
    <row r="321" spans="1:10" x14ac:dyDescent="0.25">
      <c r="A321" s="78">
        <v>6030030</v>
      </c>
      <c r="B321" s="78" t="s">
        <v>794</v>
      </c>
      <c r="C321" s="78" t="s">
        <v>35</v>
      </c>
      <c r="D321" s="78">
        <v>0</v>
      </c>
      <c r="E321" s="78">
        <v>0</v>
      </c>
      <c r="F321" s="78">
        <v>0</v>
      </c>
      <c r="G321" s="79">
        <v>0</v>
      </c>
      <c r="H321" s="78">
        <v>0</v>
      </c>
      <c r="I321" s="78">
        <v>0</v>
      </c>
      <c r="J321" s="78"/>
    </row>
    <row r="322" spans="1:10" x14ac:dyDescent="0.25">
      <c r="A322" s="78">
        <v>6040085</v>
      </c>
      <c r="B322" s="78" t="s">
        <v>796</v>
      </c>
      <c r="C322" s="78" t="s">
        <v>609</v>
      </c>
      <c r="D322" s="78">
        <v>0</v>
      </c>
      <c r="E322" s="78">
        <v>0</v>
      </c>
      <c r="F322" s="78">
        <v>0</v>
      </c>
      <c r="G322" s="79">
        <v>0</v>
      </c>
      <c r="H322" s="78">
        <v>0</v>
      </c>
      <c r="I322" s="78">
        <v>0</v>
      </c>
      <c r="J322" s="78"/>
    </row>
    <row r="323" spans="1:10" x14ac:dyDescent="0.25">
      <c r="A323" s="78">
        <v>6040088</v>
      </c>
      <c r="B323" s="78" t="s">
        <v>799</v>
      </c>
      <c r="C323" s="78" t="s">
        <v>609</v>
      </c>
      <c r="D323" s="78">
        <v>0</v>
      </c>
      <c r="E323" s="78">
        <v>0</v>
      </c>
      <c r="F323" s="78">
        <v>0</v>
      </c>
      <c r="G323" s="79">
        <v>0</v>
      </c>
      <c r="H323" s="78">
        <v>0</v>
      </c>
      <c r="I323" s="78">
        <v>0</v>
      </c>
      <c r="J323" s="78"/>
    </row>
    <row r="324" spans="1:10" x14ac:dyDescent="0.25">
      <c r="A324" s="78">
        <v>6111955</v>
      </c>
      <c r="B324" s="78" t="s">
        <v>801</v>
      </c>
      <c r="C324" s="78" t="s">
        <v>803</v>
      </c>
      <c r="D324" s="78">
        <v>0</v>
      </c>
      <c r="E324" s="78">
        <v>0</v>
      </c>
      <c r="F324" s="78">
        <v>0</v>
      </c>
      <c r="G324" s="79">
        <v>0</v>
      </c>
      <c r="H324" s="78">
        <v>0</v>
      </c>
      <c r="I324" s="78">
        <v>0</v>
      </c>
      <c r="J324" s="78"/>
    </row>
    <row r="325" spans="1:10" x14ac:dyDescent="0.25">
      <c r="A325" s="78">
        <v>6510110</v>
      </c>
      <c r="B325" s="78" t="s">
        <v>805</v>
      </c>
      <c r="C325" s="78" t="s">
        <v>531</v>
      </c>
      <c r="D325" s="78">
        <v>0</v>
      </c>
      <c r="E325" s="78">
        <v>0</v>
      </c>
      <c r="F325" s="78">
        <v>0</v>
      </c>
      <c r="G325" s="79">
        <v>0</v>
      </c>
      <c r="H325" s="78">
        <v>0</v>
      </c>
      <c r="I325" s="78">
        <v>0</v>
      </c>
      <c r="J325" s="78"/>
    </row>
    <row r="326" spans="1:10" x14ac:dyDescent="0.25">
      <c r="A326" s="78">
        <v>6510130</v>
      </c>
      <c r="B326" s="78" t="s">
        <v>808</v>
      </c>
      <c r="C326" s="78" t="s">
        <v>531</v>
      </c>
      <c r="D326" s="78">
        <v>0</v>
      </c>
      <c r="E326" s="78">
        <v>0</v>
      </c>
      <c r="F326" s="78">
        <v>0</v>
      </c>
      <c r="G326" s="79">
        <v>0</v>
      </c>
      <c r="H326" s="78">
        <v>0</v>
      </c>
      <c r="I326" s="78">
        <v>0</v>
      </c>
      <c r="J326" s="78"/>
    </row>
    <row r="327" spans="1:10" x14ac:dyDescent="0.25">
      <c r="A327" s="78">
        <v>6510140</v>
      </c>
      <c r="B327" s="78" t="s">
        <v>810</v>
      </c>
      <c r="C327" s="78" t="s">
        <v>531</v>
      </c>
      <c r="D327" s="78">
        <v>0</v>
      </c>
      <c r="E327" s="78">
        <v>0</v>
      </c>
      <c r="F327" s="78">
        <v>0</v>
      </c>
      <c r="G327" s="79">
        <v>0</v>
      </c>
      <c r="H327" s="78">
        <v>0</v>
      </c>
      <c r="I327" s="78">
        <v>0</v>
      </c>
      <c r="J327" s="78"/>
    </row>
    <row r="328" spans="1:10" x14ac:dyDescent="0.25">
      <c r="A328" s="78">
        <v>6510150</v>
      </c>
      <c r="B328" s="78" t="s">
        <v>812</v>
      </c>
      <c r="C328" s="78" t="s">
        <v>531</v>
      </c>
      <c r="D328" s="78">
        <v>0</v>
      </c>
      <c r="E328" s="78">
        <v>0</v>
      </c>
      <c r="F328" s="78">
        <v>0</v>
      </c>
      <c r="G328" s="79">
        <v>0</v>
      </c>
      <c r="H328" s="78">
        <v>0</v>
      </c>
      <c r="I328" s="78">
        <v>0</v>
      </c>
      <c r="J328" s="78"/>
    </row>
    <row r="329" spans="1:10" x14ac:dyDescent="0.25">
      <c r="A329" s="78">
        <v>6510160</v>
      </c>
      <c r="B329" s="78" t="s">
        <v>47</v>
      </c>
      <c r="C329" s="78" t="s">
        <v>531</v>
      </c>
      <c r="D329" s="78">
        <v>0</v>
      </c>
      <c r="E329" s="78">
        <v>0</v>
      </c>
      <c r="F329" s="78">
        <v>0</v>
      </c>
      <c r="G329" s="79">
        <v>0</v>
      </c>
      <c r="H329" s="78">
        <v>0</v>
      </c>
      <c r="I329" s="78">
        <v>0</v>
      </c>
      <c r="J329" s="78"/>
    </row>
    <row r="330" spans="1:10" x14ac:dyDescent="0.25">
      <c r="A330" s="78">
        <v>6510170</v>
      </c>
      <c r="B330" s="78" t="s">
        <v>815</v>
      </c>
      <c r="C330" s="78" t="s">
        <v>531</v>
      </c>
      <c r="D330" s="78">
        <v>0</v>
      </c>
      <c r="E330" s="78">
        <v>0</v>
      </c>
      <c r="F330" s="78">
        <v>0</v>
      </c>
      <c r="G330" s="79">
        <v>0</v>
      </c>
      <c r="H330" s="78">
        <v>0</v>
      </c>
      <c r="I330" s="78">
        <v>0</v>
      </c>
      <c r="J330" s="78"/>
    </row>
    <row r="331" spans="1:10" x14ac:dyDescent="0.25">
      <c r="A331" s="78">
        <v>6510200</v>
      </c>
      <c r="B331" s="78" t="s">
        <v>817</v>
      </c>
      <c r="C331" s="78" t="s">
        <v>531</v>
      </c>
      <c r="D331" s="78">
        <v>0</v>
      </c>
      <c r="E331" s="78">
        <v>0</v>
      </c>
      <c r="F331" s="78">
        <v>0</v>
      </c>
      <c r="G331" s="79">
        <v>0</v>
      </c>
      <c r="H331" s="78">
        <v>0</v>
      </c>
      <c r="I331" s="78">
        <v>0</v>
      </c>
      <c r="J331" s="78"/>
    </row>
    <row r="332" spans="1:10" x14ac:dyDescent="0.25">
      <c r="A332" s="78">
        <v>6530030</v>
      </c>
      <c r="B332" s="78" t="s">
        <v>819</v>
      </c>
      <c r="C332" s="78" t="s">
        <v>505</v>
      </c>
      <c r="D332" s="78">
        <v>0</v>
      </c>
      <c r="E332" s="78">
        <v>0</v>
      </c>
      <c r="F332" s="78">
        <v>0</v>
      </c>
      <c r="G332" s="79">
        <v>0</v>
      </c>
      <c r="H332" s="78">
        <v>0</v>
      </c>
      <c r="I332" s="78">
        <v>0</v>
      </c>
      <c r="J332" s="78"/>
    </row>
    <row r="333" spans="1:10" x14ac:dyDescent="0.25">
      <c r="A333" s="78">
        <v>6530050</v>
      </c>
      <c r="B333" s="78" t="s">
        <v>822</v>
      </c>
      <c r="C333" s="78" t="s">
        <v>505</v>
      </c>
      <c r="D333" s="78">
        <v>0</v>
      </c>
      <c r="E333" s="78">
        <v>0</v>
      </c>
      <c r="F333" s="78">
        <v>0</v>
      </c>
      <c r="G333" s="79">
        <v>0</v>
      </c>
      <c r="H333" s="78">
        <v>0</v>
      </c>
      <c r="I333" s="78">
        <v>0</v>
      </c>
      <c r="J333" s="78"/>
    </row>
    <row r="334" spans="1:10" x14ac:dyDescent="0.25">
      <c r="A334" s="78">
        <v>6530070</v>
      </c>
      <c r="B334" s="78" t="s">
        <v>824</v>
      </c>
      <c r="C334" s="78" t="s">
        <v>825</v>
      </c>
      <c r="D334" s="78">
        <v>0</v>
      </c>
      <c r="E334" s="78">
        <v>0</v>
      </c>
      <c r="F334" s="78">
        <v>0</v>
      </c>
      <c r="G334" s="79">
        <v>0</v>
      </c>
      <c r="H334" s="78">
        <v>0</v>
      </c>
      <c r="I334" s="78">
        <v>0</v>
      </c>
      <c r="J334" s="78"/>
    </row>
    <row r="335" spans="1:10" x14ac:dyDescent="0.25">
      <c r="A335" s="78">
        <v>6530236</v>
      </c>
      <c r="B335" s="78" t="s">
        <v>819</v>
      </c>
      <c r="C335" s="78" t="s">
        <v>827</v>
      </c>
      <c r="D335" s="78">
        <v>0</v>
      </c>
      <c r="E335" s="78">
        <v>0</v>
      </c>
      <c r="F335" s="78">
        <v>0</v>
      </c>
      <c r="G335" s="79">
        <v>0</v>
      </c>
      <c r="H335" s="78">
        <v>0</v>
      </c>
      <c r="I335" s="78">
        <v>0</v>
      </c>
      <c r="J335" s="78"/>
    </row>
    <row r="336" spans="1:10" x14ac:dyDescent="0.25">
      <c r="A336" s="78">
        <v>6530279</v>
      </c>
      <c r="B336" s="78" t="s">
        <v>829</v>
      </c>
      <c r="C336" s="78" t="s">
        <v>830</v>
      </c>
      <c r="D336" s="78">
        <v>0</v>
      </c>
      <c r="E336" s="78">
        <v>0</v>
      </c>
      <c r="F336" s="78">
        <v>0</v>
      </c>
      <c r="G336" s="79">
        <v>0</v>
      </c>
      <c r="H336" s="78">
        <v>0</v>
      </c>
      <c r="I336" s="78">
        <v>0</v>
      </c>
      <c r="J336" s="78"/>
    </row>
    <row r="337" spans="1:10" x14ac:dyDescent="0.25">
      <c r="A337" s="78">
        <v>6530286</v>
      </c>
      <c r="B337" s="78" t="s">
        <v>822</v>
      </c>
      <c r="C337" s="78" t="s">
        <v>827</v>
      </c>
      <c r="D337" s="78">
        <v>0</v>
      </c>
      <c r="E337" s="78">
        <v>0</v>
      </c>
      <c r="F337" s="78">
        <v>0</v>
      </c>
      <c r="G337" s="79">
        <v>0</v>
      </c>
      <c r="H337" s="78">
        <v>0</v>
      </c>
      <c r="I337" s="78">
        <v>0</v>
      </c>
      <c r="J337" s="78"/>
    </row>
    <row r="338" spans="1:10" x14ac:dyDescent="0.25">
      <c r="A338" s="78">
        <v>6540090</v>
      </c>
      <c r="B338" s="78" t="s">
        <v>833</v>
      </c>
      <c r="C338" s="78" t="s">
        <v>53</v>
      </c>
      <c r="D338" s="78">
        <v>0</v>
      </c>
      <c r="E338" s="78">
        <v>0</v>
      </c>
      <c r="F338" s="78">
        <v>0</v>
      </c>
      <c r="G338" s="79">
        <v>0</v>
      </c>
      <c r="H338" s="78">
        <v>0</v>
      </c>
      <c r="I338" s="78">
        <v>0</v>
      </c>
      <c r="J338" s="78"/>
    </row>
    <row r="339" spans="1:10" x14ac:dyDescent="0.25">
      <c r="A339" s="78">
        <v>65401475</v>
      </c>
      <c r="B339" s="78" t="s">
        <v>836</v>
      </c>
      <c r="C339" s="78" t="s">
        <v>837</v>
      </c>
      <c r="D339" s="78">
        <v>0</v>
      </c>
      <c r="E339" s="78">
        <v>0</v>
      </c>
      <c r="F339" s="78">
        <v>0</v>
      </c>
      <c r="G339" s="79">
        <v>0</v>
      </c>
      <c r="H339" s="78">
        <v>0</v>
      </c>
      <c r="I339" s="78">
        <v>0</v>
      </c>
      <c r="J339" s="78"/>
    </row>
    <row r="340" spans="1:10" x14ac:dyDescent="0.25">
      <c r="A340" s="78">
        <v>65401555</v>
      </c>
      <c r="B340" s="78" t="s">
        <v>839</v>
      </c>
      <c r="C340" s="78" t="s">
        <v>840</v>
      </c>
      <c r="D340" s="78">
        <v>0</v>
      </c>
      <c r="E340" s="78">
        <v>0</v>
      </c>
      <c r="F340" s="78">
        <v>0</v>
      </c>
      <c r="G340" s="79">
        <v>0</v>
      </c>
      <c r="H340" s="78">
        <v>0</v>
      </c>
      <c r="I340" s="78">
        <v>0</v>
      </c>
      <c r="J340" s="78"/>
    </row>
    <row r="341" spans="1:10" x14ac:dyDescent="0.25">
      <c r="A341" s="78">
        <v>65401686</v>
      </c>
      <c r="B341" s="78" t="s">
        <v>842</v>
      </c>
      <c r="C341" s="78" t="s">
        <v>415</v>
      </c>
      <c r="D341" s="78">
        <v>0</v>
      </c>
      <c r="E341" s="78">
        <v>0</v>
      </c>
      <c r="F341" s="78">
        <v>0</v>
      </c>
      <c r="G341" s="79">
        <v>0</v>
      </c>
      <c r="H341" s="78">
        <v>0</v>
      </c>
      <c r="I341" s="78">
        <v>0</v>
      </c>
      <c r="J341" s="78"/>
    </row>
    <row r="342" spans="1:10" x14ac:dyDescent="0.25">
      <c r="A342" s="78">
        <v>6540232</v>
      </c>
      <c r="B342" s="78" t="s">
        <v>844</v>
      </c>
      <c r="C342" s="78" t="s">
        <v>53</v>
      </c>
      <c r="D342" s="78">
        <v>0</v>
      </c>
      <c r="E342" s="78">
        <v>0</v>
      </c>
      <c r="F342" s="78">
        <v>0</v>
      </c>
      <c r="G342" s="79">
        <v>0</v>
      </c>
      <c r="H342" s="78">
        <v>0</v>
      </c>
      <c r="I342" s="78">
        <v>0</v>
      </c>
      <c r="J342" s="78"/>
    </row>
    <row r="343" spans="1:10" x14ac:dyDescent="0.25">
      <c r="A343" s="78">
        <v>74101428</v>
      </c>
      <c r="B343" s="78" t="s">
        <v>846</v>
      </c>
      <c r="C343" s="78" t="s">
        <v>847</v>
      </c>
      <c r="D343" s="78">
        <v>0</v>
      </c>
      <c r="E343" s="78">
        <v>0</v>
      </c>
      <c r="F343" s="78">
        <v>0</v>
      </c>
      <c r="G343" s="79">
        <v>0</v>
      </c>
      <c r="H343" s="78">
        <v>0</v>
      </c>
      <c r="I343" s="78">
        <v>0</v>
      </c>
      <c r="J343" s="78"/>
    </row>
    <row r="344" spans="1:10" x14ac:dyDescent="0.25">
      <c r="A344" s="78">
        <v>7417010</v>
      </c>
      <c r="B344" s="78" t="s">
        <v>849</v>
      </c>
      <c r="C344" s="78" t="s">
        <v>850</v>
      </c>
      <c r="D344" s="78">
        <v>0</v>
      </c>
      <c r="E344" s="78">
        <v>0</v>
      </c>
      <c r="F344" s="78">
        <v>0</v>
      </c>
      <c r="G344" s="79">
        <v>0</v>
      </c>
      <c r="H344" s="78">
        <v>0</v>
      </c>
      <c r="I344" s="78">
        <v>0</v>
      </c>
      <c r="J344" s="78"/>
    </row>
    <row r="345" spans="1:10" x14ac:dyDescent="0.25">
      <c r="A345" s="78">
        <v>7417191</v>
      </c>
      <c r="B345" s="78" t="s">
        <v>676</v>
      </c>
      <c r="C345" s="78" t="s">
        <v>660</v>
      </c>
      <c r="D345" s="78">
        <v>0</v>
      </c>
      <c r="E345" s="78">
        <v>0</v>
      </c>
      <c r="F345" s="78">
        <v>0</v>
      </c>
      <c r="G345" s="79">
        <v>0</v>
      </c>
      <c r="H345" s="78">
        <v>0</v>
      </c>
      <c r="I345" s="78">
        <v>0</v>
      </c>
      <c r="J345" s="78"/>
    </row>
    <row r="346" spans="1:10" x14ac:dyDescent="0.25">
      <c r="A346" s="78">
        <v>7417920</v>
      </c>
      <c r="B346" s="78" t="s">
        <v>853</v>
      </c>
      <c r="C346" s="78" t="s">
        <v>854</v>
      </c>
      <c r="D346" s="78">
        <v>0</v>
      </c>
      <c r="E346" s="78">
        <v>0</v>
      </c>
      <c r="F346" s="78">
        <v>0</v>
      </c>
      <c r="G346" s="79">
        <v>0</v>
      </c>
      <c r="H346" s="78">
        <v>0</v>
      </c>
      <c r="I346" s="78">
        <v>0</v>
      </c>
      <c r="J346" s="78"/>
    </row>
    <row r="347" spans="1:10" x14ac:dyDescent="0.25">
      <c r="A347" s="78">
        <v>7492966</v>
      </c>
      <c r="B347" s="78" t="s">
        <v>856</v>
      </c>
      <c r="C347" s="78" t="s">
        <v>803</v>
      </c>
      <c r="D347" s="78">
        <v>0</v>
      </c>
      <c r="E347" s="78">
        <v>0</v>
      </c>
      <c r="F347" s="78">
        <v>0</v>
      </c>
      <c r="G347" s="79">
        <v>0</v>
      </c>
      <c r="H347" s="78">
        <v>0</v>
      </c>
      <c r="I347" s="78">
        <v>0</v>
      </c>
      <c r="J347" s="78"/>
    </row>
    <row r="348" spans="1:10" x14ac:dyDescent="0.25">
      <c r="A348" s="78">
        <v>7510040</v>
      </c>
      <c r="B348" s="78" t="s">
        <v>858</v>
      </c>
      <c r="C348" s="78" t="s">
        <v>35</v>
      </c>
      <c r="D348" s="78">
        <v>0</v>
      </c>
      <c r="E348" s="78">
        <v>0</v>
      </c>
      <c r="F348" s="78">
        <v>0</v>
      </c>
      <c r="G348" s="79">
        <v>0</v>
      </c>
      <c r="H348" s="78">
        <v>0</v>
      </c>
      <c r="I348" s="78">
        <v>0</v>
      </c>
      <c r="J348" s="78"/>
    </row>
    <row r="349" spans="1:10" x14ac:dyDescent="0.25">
      <c r="A349" s="78">
        <v>7510060</v>
      </c>
      <c r="B349" s="78" t="s">
        <v>861</v>
      </c>
      <c r="C349" s="78" t="s">
        <v>35</v>
      </c>
      <c r="D349" s="78">
        <v>0</v>
      </c>
      <c r="E349" s="78">
        <v>0</v>
      </c>
      <c r="F349" s="78">
        <v>0</v>
      </c>
      <c r="G349" s="79">
        <v>0</v>
      </c>
      <c r="H349" s="78">
        <v>0</v>
      </c>
      <c r="I349" s="78">
        <v>0</v>
      </c>
      <c r="J349" s="78"/>
    </row>
    <row r="350" spans="1:10" x14ac:dyDescent="0.25">
      <c r="A350" s="78">
        <v>7520035</v>
      </c>
      <c r="B350" s="78" t="s">
        <v>863</v>
      </c>
      <c r="C350" s="78" t="s">
        <v>194</v>
      </c>
      <c r="D350" s="78">
        <v>0</v>
      </c>
      <c r="E350" s="78">
        <v>0</v>
      </c>
      <c r="F350" s="78">
        <v>0</v>
      </c>
      <c r="G350" s="79">
        <v>0</v>
      </c>
      <c r="H350" s="78">
        <v>0</v>
      </c>
      <c r="I350" s="78">
        <v>0</v>
      </c>
      <c r="J350" s="78"/>
    </row>
    <row r="351" spans="1:10" x14ac:dyDescent="0.25">
      <c r="A351" s="78">
        <v>7530114</v>
      </c>
      <c r="B351" s="78" t="s">
        <v>866</v>
      </c>
      <c r="C351" s="78" t="s">
        <v>464</v>
      </c>
      <c r="D351" s="78">
        <v>0</v>
      </c>
      <c r="E351" s="78">
        <v>0</v>
      </c>
      <c r="F351" s="78">
        <v>0</v>
      </c>
      <c r="G351" s="79">
        <v>0</v>
      </c>
      <c r="H351" s="78">
        <v>0</v>
      </c>
      <c r="I351" s="78">
        <v>0</v>
      </c>
      <c r="J351" s="78"/>
    </row>
    <row r="352" spans="1:10" x14ac:dyDescent="0.25">
      <c r="A352" s="78">
        <v>7540175</v>
      </c>
      <c r="B352" s="78" t="s">
        <v>869</v>
      </c>
      <c r="C352" s="78" t="s">
        <v>479</v>
      </c>
      <c r="D352" s="78">
        <v>0</v>
      </c>
      <c r="E352" s="78">
        <v>0</v>
      </c>
      <c r="F352" s="78">
        <v>0</v>
      </c>
      <c r="G352" s="79">
        <v>0</v>
      </c>
      <c r="H352" s="78">
        <v>0</v>
      </c>
      <c r="I352" s="78">
        <v>0</v>
      </c>
      <c r="J352" s="78"/>
    </row>
    <row r="353" spans="1:10" x14ac:dyDescent="0.25">
      <c r="A353" s="78">
        <v>7550010</v>
      </c>
      <c r="B353" s="78" t="s">
        <v>872</v>
      </c>
      <c r="C353" s="78" t="s">
        <v>780</v>
      </c>
      <c r="D353" s="78">
        <v>0</v>
      </c>
      <c r="E353" s="78">
        <v>0</v>
      </c>
      <c r="F353" s="78">
        <v>0</v>
      </c>
      <c r="G353" s="79">
        <v>0</v>
      </c>
      <c r="H353" s="78">
        <v>0</v>
      </c>
      <c r="I353" s="78">
        <v>0</v>
      </c>
      <c r="J353" s="78"/>
    </row>
    <row r="354" spans="1:10" x14ac:dyDescent="0.25">
      <c r="A354" s="78">
        <v>7550050</v>
      </c>
      <c r="B354" s="78" t="s">
        <v>875</v>
      </c>
      <c r="C354" s="78" t="s">
        <v>780</v>
      </c>
      <c r="D354" s="78">
        <v>0</v>
      </c>
      <c r="E354" s="78">
        <v>0</v>
      </c>
      <c r="F354" s="78">
        <v>0</v>
      </c>
      <c r="G354" s="79">
        <v>0</v>
      </c>
      <c r="H354" s="78">
        <v>0</v>
      </c>
      <c r="I354" s="78">
        <v>0</v>
      </c>
      <c r="J354" s="78"/>
    </row>
    <row r="355" spans="1:10" x14ac:dyDescent="0.25">
      <c r="A355" s="78">
        <v>7550137</v>
      </c>
      <c r="B355" s="78" t="s">
        <v>877</v>
      </c>
      <c r="C355" s="78" t="s">
        <v>665</v>
      </c>
      <c r="D355" s="78">
        <v>0</v>
      </c>
      <c r="E355" s="78">
        <v>0</v>
      </c>
      <c r="F355" s="78">
        <v>0</v>
      </c>
      <c r="G355" s="79">
        <v>0</v>
      </c>
      <c r="H355" s="78">
        <v>0</v>
      </c>
      <c r="I355" s="78">
        <v>0</v>
      </c>
      <c r="J355" s="78"/>
    </row>
    <row r="356" spans="1:10" x14ac:dyDescent="0.25">
      <c r="A356" s="78">
        <v>7550152</v>
      </c>
      <c r="B356" s="78" t="s">
        <v>875</v>
      </c>
      <c r="C356" s="78" t="s">
        <v>879</v>
      </c>
      <c r="D356" s="78">
        <v>0</v>
      </c>
      <c r="E356" s="78">
        <v>0</v>
      </c>
      <c r="F356" s="78">
        <v>0</v>
      </c>
      <c r="G356" s="79">
        <v>0</v>
      </c>
      <c r="H356" s="78">
        <v>0</v>
      </c>
      <c r="I356" s="78">
        <v>0</v>
      </c>
      <c r="J356" s="78"/>
    </row>
    <row r="357" spans="1:10" x14ac:dyDescent="0.25">
      <c r="A357" s="78">
        <v>7560030</v>
      </c>
      <c r="B357" s="78" t="s">
        <v>881</v>
      </c>
      <c r="C357" s="78" t="s">
        <v>35</v>
      </c>
      <c r="D357" s="78">
        <v>0</v>
      </c>
      <c r="E357" s="78">
        <v>0</v>
      </c>
      <c r="F357" s="78">
        <v>0</v>
      </c>
      <c r="G357" s="79">
        <v>0</v>
      </c>
      <c r="H357" s="78">
        <v>0</v>
      </c>
      <c r="I357" s="78">
        <v>0</v>
      </c>
      <c r="J357" s="78"/>
    </row>
    <row r="358" spans="1:10" x14ac:dyDescent="0.25">
      <c r="A358" s="78">
        <v>7560050</v>
      </c>
      <c r="B358" s="78" t="s">
        <v>884</v>
      </c>
      <c r="C358" s="78" t="s">
        <v>35</v>
      </c>
      <c r="D358" s="78">
        <v>0</v>
      </c>
      <c r="E358" s="78">
        <v>0</v>
      </c>
      <c r="F358" s="78">
        <v>0</v>
      </c>
      <c r="G358" s="79">
        <v>0</v>
      </c>
      <c r="H358" s="78">
        <v>0</v>
      </c>
      <c r="I358" s="78">
        <v>0</v>
      </c>
      <c r="J358" s="78"/>
    </row>
    <row r="359" spans="1:10" x14ac:dyDescent="0.25">
      <c r="A359" s="78">
        <v>7560221</v>
      </c>
      <c r="B359" s="78" t="s">
        <v>886</v>
      </c>
      <c r="C359" s="78" t="s">
        <v>35</v>
      </c>
      <c r="D359" s="78">
        <v>0</v>
      </c>
      <c r="E359" s="78">
        <v>0</v>
      </c>
      <c r="F359" s="78">
        <v>0</v>
      </c>
      <c r="G359" s="79">
        <v>0</v>
      </c>
      <c r="H359" s="78">
        <v>0</v>
      </c>
      <c r="I359" s="78">
        <v>0</v>
      </c>
      <c r="J359" s="78"/>
    </row>
    <row r="360" spans="1:10" x14ac:dyDescent="0.25">
      <c r="A360" s="78">
        <v>7561030</v>
      </c>
      <c r="B360" s="78" t="s">
        <v>886</v>
      </c>
      <c r="C360" s="78" t="s">
        <v>314</v>
      </c>
      <c r="D360" s="78">
        <v>0</v>
      </c>
      <c r="E360" s="78">
        <v>0</v>
      </c>
      <c r="F360" s="78">
        <v>0</v>
      </c>
      <c r="G360" s="79">
        <v>0</v>
      </c>
      <c r="H360" s="78">
        <v>0</v>
      </c>
      <c r="I360" s="78">
        <v>0</v>
      </c>
      <c r="J360" s="78"/>
    </row>
    <row r="361" spans="1:10" x14ac:dyDescent="0.25">
      <c r="A361" s="78">
        <v>7561108</v>
      </c>
      <c r="B361" s="78" t="s">
        <v>889</v>
      </c>
      <c r="C361" s="78" t="s">
        <v>733</v>
      </c>
      <c r="D361" s="78">
        <v>0</v>
      </c>
      <c r="E361" s="78">
        <v>0</v>
      </c>
      <c r="F361" s="78">
        <v>0</v>
      </c>
      <c r="G361" s="79">
        <v>0</v>
      </c>
      <c r="H361" s="78">
        <v>0</v>
      </c>
      <c r="I361" s="78">
        <v>0</v>
      </c>
      <c r="J361" s="78"/>
    </row>
    <row r="362" spans="1:10" x14ac:dyDescent="0.25">
      <c r="A362" s="78">
        <v>75701108</v>
      </c>
      <c r="B362" s="78" t="s">
        <v>891</v>
      </c>
      <c r="C362" s="78" t="s">
        <v>893</v>
      </c>
      <c r="D362" s="78">
        <v>0</v>
      </c>
      <c r="E362" s="78">
        <v>0</v>
      </c>
      <c r="F362" s="78">
        <v>0</v>
      </c>
      <c r="G362" s="79">
        <v>0</v>
      </c>
      <c r="H362" s="78">
        <v>0</v>
      </c>
      <c r="I362" s="78">
        <v>0</v>
      </c>
      <c r="J362" s="78"/>
    </row>
    <row r="363" spans="1:10" x14ac:dyDescent="0.25">
      <c r="A363" s="78">
        <v>7570134</v>
      </c>
      <c r="B363" s="78" t="s">
        <v>895</v>
      </c>
      <c r="C363" s="78" t="s">
        <v>479</v>
      </c>
      <c r="D363" s="78">
        <v>0</v>
      </c>
      <c r="E363" s="78">
        <v>0</v>
      </c>
      <c r="F363" s="78">
        <v>0</v>
      </c>
      <c r="G363" s="79">
        <v>0</v>
      </c>
      <c r="H363" s="78">
        <v>0</v>
      </c>
      <c r="I363" s="78">
        <v>0</v>
      </c>
      <c r="J363" s="78"/>
    </row>
    <row r="364" spans="1:10" x14ac:dyDescent="0.25">
      <c r="A364" s="78">
        <v>7570164</v>
      </c>
      <c r="B364" s="78" t="s">
        <v>891</v>
      </c>
      <c r="C364" s="78" t="s">
        <v>479</v>
      </c>
      <c r="D364" s="78">
        <v>0</v>
      </c>
      <c r="E364" s="78">
        <v>0</v>
      </c>
      <c r="F364" s="78">
        <v>0</v>
      </c>
      <c r="G364" s="79">
        <v>0</v>
      </c>
      <c r="H364" s="78">
        <v>0</v>
      </c>
      <c r="I364" s="78">
        <v>0</v>
      </c>
      <c r="J364" s="78"/>
    </row>
    <row r="365" spans="1:10" x14ac:dyDescent="0.25">
      <c r="A365" s="78">
        <v>7570209</v>
      </c>
      <c r="B365" s="78" t="s">
        <v>898</v>
      </c>
      <c r="C365" s="78" t="s">
        <v>899</v>
      </c>
      <c r="D365" s="78">
        <v>0</v>
      </c>
      <c r="E365" s="78">
        <v>0</v>
      </c>
      <c r="F365" s="78">
        <v>0</v>
      </c>
      <c r="G365" s="79">
        <v>0</v>
      </c>
      <c r="H365" s="78">
        <v>0</v>
      </c>
      <c r="I365" s="78">
        <v>0</v>
      </c>
      <c r="J365" s="78"/>
    </row>
    <row r="366" spans="1:10" x14ac:dyDescent="0.25">
      <c r="A366" s="78">
        <v>7571230</v>
      </c>
      <c r="B366" s="78" t="s">
        <v>898</v>
      </c>
      <c r="C366" s="78" t="s">
        <v>901</v>
      </c>
      <c r="D366" s="78">
        <v>0</v>
      </c>
      <c r="E366" s="78">
        <v>0</v>
      </c>
      <c r="F366" s="78">
        <v>0</v>
      </c>
      <c r="G366" s="79">
        <v>0</v>
      </c>
      <c r="H366" s="78">
        <v>0</v>
      </c>
      <c r="I366" s="78">
        <v>0</v>
      </c>
      <c r="J366" s="78"/>
    </row>
    <row r="367" spans="1:10" x14ac:dyDescent="0.25">
      <c r="A367" s="78">
        <v>8510134</v>
      </c>
      <c r="B367" s="78" t="s">
        <v>718</v>
      </c>
      <c r="C367" s="78" t="s">
        <v>458</v>
      </c>
      <c r="D367" s="78">
        <v>0</v>
      </c>
      <c r="E367" s="78">
        <v>0</v>
      </c>
      <c r="F367" s="78">
        <v>0</v>
      </c>
      <c r="G367" s="79">
        <v>0</v>
      </c>
      <c r="H367" s="78">
        <v>0</v>
      </c>
      <c r="I367" s="78">
        <v>0</v>
      </c>
      <c r="J367" s="78"/>
    </row>
    <row r="368" spans="1:10" x14ac:dyDescent="0.25">
      <c r="A368" s="78">
        <v>8510138</v>
      </c>
      <c r="B368" s="78" t="s">
        <v>904</v>
      </c>
      <c r="C368" s="78" t="s">
        <v>415</v>
      </c>
      <c r="D368" s="78">
        <v>0</v>
      </c>
      <c r="E368" s="78">
        <v>0</v>
      </c>
      <c r="F368" s="78">
        <v>0</v>
      </c>
      <c r="G368" s="79">
        <v>0</v>
      </c>
      <c r="H368" s="78">
        <v>0</v>
      </c>
      <c r="I368" s="78">
        <v>0</v>
      </c>
      <c r="J368" s="78"/>
    </row>
    <row r="369" spans="1:10" x14ac:dyDescent="0.25">
      <c r="A369" s="78">
        <v>8510166</v>
      </c>
      <c r="B369" s="78" t="s">
        <v>906</v>
      </c>
      <c r="C369" s="78" t="s">
        <v>314</v>
      </c>
      <c r="D369" s="78">
        <v>0</v>
      </c>
      <c r="E369" s="78">
        <v>0</v>
      </c>
      <c r="F369" s="78">
        <v>0</v>
      </c>
      <c r="G369" s="79">
        <v>0</v>
      </c>
      <c r="H369" s="78">
        <v>0</v>
      </c>
      <c r="I369" s="78">
        <v>0</v>
      </c>
      <c r="J369" s="78"/>
    </row>
    <row r="370" spans="1:10" x14ac:dyDescent="0.25">
      <c r="A370" s="78">
        <v>8510385</v>
      </c>
      <c r="B370" s="78" t="s">
        <v>908</v>
      </c>
      <c r="C370" s="78" t="s">
        <v>314</v>
      </c>
      <c r="D370" s="78">
        <v>0</v>
      </c>
      <c r="E370" s="78">
        <v>0</v>
      </c>
      <c r="F370" s="78">
        <v>0</v>
      </c>
      <c r="G370" s="79">
        <v>0</v>
      </c>
      <c r="H370" s="78">
        <v>0</v>
      </c>
      <c r="I370" s="78">
        <v>0</v>
      </c>
      <c r="J370" s="78"/>
    </row>
    <row r="371" spans="1:10" x14ac:dyDescent="0.25">
      <c r="A371" s="78">
        <v>8510487</v>
      </c>
      <c r="B371" s="78" t="s">
        <v>910</v>
      </c>
      <c r="C371" s="78" t="s">
        <v>314</v>
      </c>
      <c r="D371" s="78">
        <v>0</v>
      </c>
      <c r="E371" s="78">
        <v>0</v>
      </c>
      <c r="F371" s="78">
        <v>0</v>
      </c>
      <c r="G371" s="79">
        <v>0</v>
      </c>
      <c r="H371" s="78">
        <v>0</v>
      </c>
      <c r="I371" s="78">
        <v>0</v>
      </c>
      <c r="J371" s="78"/>
    </row>
    <row r="372" spans="1:10" x14ac:dyDescent="0.25">
      <c r="A372" s="78">
        <v>8510543</v>
      </c>
      <c r="B372" s="78" t="s">
        <v>715</v>
      </c>
      <c r="C372" s="78" t="s">
        <v>474</v>
      </c>
      <c r="D372" s="78">
        <v>0</v>
      </c>
      <c r="E372" s="78">
        <v>0</v>
      </c>
      <c r="F372" s="78">
        <v>0</v>
      </c>
      <c r="G372" s="79">
        <v>0</v>
      </c>
      <c r="H372" s="78">
        <v>0</v>
      </c>
      <c r="I372" s="78">
        <v>0</v>
      </c>
      <c r="J372" s="78"/>
    </row>
    <row r="373" spans="1:10" x14ac:dyDescent="0.25">
      <c r="A373" s="78">
        <v>8510725</v>
      </c>
      <c r="B373" s="78" t="s">
        <v>724</v>
      </c>
      <c r="C373" s="78" t="s">
        <v>474</v>
      </c>
      <c r="D373" s="78">
        <v>0</v>
      </c>
      <c r="E373" s="78">
        <v>0</v>
      </c>
      <c r="F373" s="78">
        <v>0</v>
      </c>
      <c r="G373" s="79">
        <v>0</v>
      </c>
      <c r="H373" s="78">
        <v>0</v>
      </c>
      <c r="I373" s="78">
        <v>0</v>
      </c>
      <c r="J373" s="78"/>
    </row>
    <row r="374" spans="1:10" x14ac:dyDescent="0.25">
      <c r="A374" s="78">
        <v>8510905</v>
      </c>
      <c r="B374" s="78" t="s">
        <v>724</v>
      </c>
      <c r="C374" s="78" t="s">
        <v>719</v>
      </c>
      <c r="D374" s="78">
        <v>0</v>
      </c>
      <c r="E374" s="78">
        <v>0</v>
      </c>
      <c r="F374" s="78">
        <v>0</v>
      </c>
      <c r="G374" s="79">
        <v>0</v>
      </c>
      <c r="H374" s="78">
        <v>0</v>
      </c>
      <c r="I374" s="78">
        <v>0</v>
      </c>
      <c r="J374" s="78"/>
    </row>
    <row r="375" spans="1:10" x14ac:dyDescent="0.25">
      <c r="A375" s="78">
        <v>8511232</v>
      </c>
      <c r="B375" s="78" t="s">
        <v>727</v>
      </c>
      <c r="C375" s="78" t="s">
        <v>46</v>
      </c>
      <c r="D375" s="78">
        <v>0</v>
      </c>
      <c r="E375" s="78">
        <v>0</v>
      </c>
      <c r="F375" s="78">
        <v>0</v>
      </c>
      <c r="G375" s="79">
        <v>0</v>
      </c>
      <c r="H375" s="78">
        <v>0</v>
      </c>
      <c r="I375" s="78">
        <v>0</v>
      </c>
      <c r="J375" s="78"/>
    </row>
    <row r="376" spans="1:10" x14ac:dyDescent="0.25">
      <c r="A376" s="78">
        <v>85116753</v>
      </c>
      <c r="B376" s="78" t="s">
        <v>908</v>
      </c>
      <c r="C376" s="78" t="s">
        <v>916</v>
      </c>
      <c r="D376" s="78">
        <v>0</v>
      </c>
      <c r="E376" s="78">
        <v>0</v>
      </c>
      <c r="F376" s="78">
        <v>0</v>
      </c>
      <c r="G376" s="79">
        <v>0</v>
      </c>
      <c r="H376" s="78">
        <v>0</v>
      </c>
      <c r="I376" s="78">
        <v>0</v>
      </c>
      <c r="J376" s="78"/>
    </row>
    <row r="377" spans="1:10" x14ac:dyDescent="0.25">
      <c r="A377" s="78">
        <v>85116999</v>
      </c>
      <c r="B377" s="78" t="s">
        <v>918</v>
      </c>
      <c r="C377" s="78" t="s">
        <v>847</v>
      </c>
      <c r="D377" s="78">
        <v>0</v>
      </c>
      <c r="E377" s="78">
        <v>0</v>
      </c>
      <c r="F377" s="78">
        <v>0</v>
      </c>
      <c r="G377" s="79">
        <v>0</v>
      </c>
      <c r="H377" s="78">
        <v>0</v>
      </c>
      <c r="I377" s="78">
        <v>0</v>
      </c>
      <c r="J377" s="78"/>
    </row>
    <row r="378" spans="1:10" x14ac:dyDescent="0.25">
      <c r="A378" s="78">
        <v>8512652</v>
      </c>
      <c r="B378" s="78" t="s">
        <v>920</v>
      </c>
      <c r="C378" s="78" t="s">
        <v>921</v>
      </c>
      <c r="D378" s="78">
        <v>0</v>
      </c>
      <c r="E378" s="78">
        <v>0</v>
      </c>
      <c r="F378" s="78">
        <v>0</v>
      </c>
      <c r="G378" s="79">
        <v>0</v>
      </c>
      <c r="H378" s="78">
        <v>0</v>
      </c>
      <c r="I378" s="78">
        <v>0</v>
      </c>
      <c r="J378" s="78"/>
    </row>
    <row r="379" spans="1:10" x14ac:dyDescent="0.25">
      <c r="A379" s="78">
        <v>8530853</v>
      </c>
      <c r="B379" s="78" t="s">
        <v>553</v>
      </c>
      <c r="C379" s="78" t="s">
        <v>923</v>
      </c>
      <c r="D379" s="78">
        <v>0</v>
      </c>
      <c r="E379" s="78">
        <v>0</v>
      </c>
      <c r="F379" s="78">
        <v>0</v>
      </c>
      <c r="G379" s="79">
        <v>0</v>
      </c>
      <c r="H379" s="78">
        <v>0</v>
      </c>
      <c r="I379" s="78">
        <v>0</v>
      </c>
      <c r="J379" s="78"/>
    </row>
    <row r="380" spans="1:10" x14ac:dyDescent="0.25">
      <c r="A380" s="78">
        <v>9711728</v>
      </c>
      <c r="B380" s="78" t="s">
        <v>925</v>
      </c>
      <c r="C380" s="78" t="s">
        <v>926</v>
      </c>
      <c r="D380" s="78">
        <v>0</v>
      </c>
      <c r="E380" s="78">
        <v>0</v>
      </c>
      <c r="F380" s="78">
        <v>0</v>
      </c>
      <c r="G380" s="79">
        <v>0</v>
      </c>
      <c r="H380" s="78">
        <v>0</v>
      </c>
      <c r="I380" s="78">
        <v>0</v>
      </c>
      <c r="J380" s="78"/>
    </row>
    <row r="381" spans="1:10" x14ac:dyDescent="0.25">
      <c r="A381" s="78">
        <v>98111901</v>
      </c>
      <c r="B381" s="78" t="s">
        <v>504</v>
      </c>
      <c r="C381" s="78" t="s">
        <v>928</v>
      </c>
      <c r="D381" s="78">
        <v>0</v>
      </c>
      <c r="E381" s="78">
        <v>0</v>
      </c>
      <c r="F381" s="78">
        <v>0</v>
      </c>
      <c r="G381" s="79">
        <v>0</v>
      </c>
      <c r="H381" s="78">
        <v>0</v>
      </c>
      <c r="I381" s="78">
        <v>0</v>
      </c>
      <c r="J381" s="78"/>
    </row>
    <row r="382" spans="1:10" x14ac:dyDescent="0.25">
      <c r="A382" s="78">
        <v>9816908</v>
      </c>
      <c r="B382" s="78" t="s">
        <v>563</v>
      </c>
      <c r="C382" s="78" t="s">
        <v>565</v>
      </c>
      <c r="D382" s="78">
        <v>0</v>
      </c>
      <c r="E382" s="78">
        <v>0</v>
      </c>
      <c r="F382" s="78">
        <v>0</v>
      </c>
      <c r="G382" s="79">
        <v>0</v>
      </c>
      <c r="H382" s="78">
        <v>0</v>
      </c>
      <c r="I382" s="78">
        <v>0</v>
      </c>
      <c r="J382" s="78"/>
    </row>
    <row r="383" spans="1:10" x14ac:dyDescent="0.25">
      <c r="A383" s="78">
        <v>1010090</v>
      </c>
      <c r="B383" s="78" t="s">
        <v>107</v>
      </c>
      <c r="C383" s="78" t="s">
        <v>35</v>
      </c>
      <c r="D383" s="78">
        <v>0</v>
      </c>
      <c r="E383" s="78">
        <v>0</v>
      </c>
      <c r="F383" s="78">
        <v>0</v>
      </c>
      <c r="G383" s="79">
        <v>0</v>
      </c>
      <c r="H383" s="78">
        <v>0</v>
      </c>
      <c r="I383" s="78">
        <v>0</v>
      </c>
      <c r="J383" s="78"/>
    </row>
    <row r="384" spans="1:10" x14ac:dyDescent="0.25">
      <c r="A384" s="78">
        <v>1030011</v>
      </c>
      <c r="B384" s="78" t="s">
        <v>124</v>
      </c>
      <c r="C384" s="78" t="s">
        <v>35</v>
      </c>
      <c r="D384" s="78">
        <v>0</v>
      </c>
      <c r="E384" s="78">
        <v>0</v>
      </c>
      <c r="F384" s="78">
        <v>0</v>
      </c>
      <c r="G384" s="79">
        <v>0</v>
      </c>
      <c r="H384" s="78">
        <v>0</v>
      </c>
      <c r="I384" s="78">
        <v>0</v>
      </c>
      <c r="J384" s="78"/>
    </row>
    <row r="385" spans="1:10" x14ac:dyDescent="0.25">
      <c r="A385" s="78">
        <v>2030055</v>
      </c>
      <c r="B385" s="78" t="s">
        <v>204</v>
      </c>
      <c r="C385" s="78" t="s">
        <v>35</v>
      </c>
      <c r="D385" s="78">
        <v>0</v>
      </c>
      <c r="E385" s="78">
        <v>0</v>
      </c>
      <c r="F385" s="78">
        <v>0</v>
      </c>
      <c r="G385" s="79">
        <v>0</v>
      </c>
      <c r="H385" s="78">
        <v>0</v>
      </c>
      <c r="I385" s="78">
        <v>0</v>
      </c>
      <c r="J385" s="78"/>
    </row>
    <row r="386" spans="1:10" x14ac:dyDescent="0.25">
      <c r="A386" s="78">
        <v>2050050</v>
      </c>
      <c r="B386" s="78" t="s">
        <v>216</v>
      </c>
      <c r="C386" s="78" t="s">
        <v>35</v>
      </c>
      <c r="D386" s="78">
        <v>0</v>
      </c>
      <c r="E386" s="78">
        <v>0</v>
      </c>
      <c r="F386" s="78">
        <v>0</v>
      </c>
      <c r="G386" s="79">
        <v>0</v>
      </c>
      <c r="H386" s="78">
        <v>0</v>
      </c>
      <c r="I386" s="78">
        <v>0</v>
      </c>
      <c r="J386" s="78"/>
    </row>
    <row r="387" spans="1:10" x14ac:dyDescent="0.25">
      <c r="A387" s="78">
        <v>2510200</v>
      </c>
      <c r="B387" s="78" t="s">
        <v>237</v>
      </c>
      <c r="C387" s="78" t="s">
        <v>35</v>
      </c>
      <c r="D387" s="78">
        <v>0</v>
      </c>
      <c r="E387" s="78">
        <v>0</v>
      </c>
      <c r="F387" s="78">
        <v>0</v>
      </c>
      <c r="G387" s="79">
        <v>0</v>
      </c>
      <c r="H387" s="78">
        <v>0</v>
      </c>
      <c r="I387" s="78">
        <v>0</v>
      </c>
      <c r="J387" s="78"/>
    </row>
    <row r="388" spans="1:10" x14ac:dyDescent="0.25">
      <c r="A388" s="78">
        <v>3010190</v>
      </c>
      <c r="B388" s="78" t="s">
        <v>364</v>
      </c>
      <c r="C388" s="78" t="s">
        <v>35</v>
      </c>
      <c r="D388" s="78">
        <v>0</v>
      </c>
      <c r="E388" s="78">
        <v>0</v>
      </c>
      <c r="F388" s="78">
        <v>0</v>
      </c>
      <c r="G388" s="79">
        <v>0</v>
      </c>
      <c r="H388" s="78">
        <v>0</v>
      </c>
      <c r="I388" s="78">
        <v>0</v>
      </c>
      <c r="J388" s="78"/>
    </row>
    <row r="389" spans="1:10" x14ac:dyDescent="0.25">
      <c r="A389" s="78">
        <v>30201011</v>
      </c>
      <c r="B389" s="78" t="s">
        <v>388</v>
      </c>
      <c r="C389" s="78" t="s">
        <v>474</v>
      </c>
      <c r="D389" s="78">
        <v>0</v>
      </c>
      <c r="E389" s="78">
        <v>0</v>
      </c>
      <c r="F389" s="78">
        <v>0</v>
      </c>
      <c r="G389" s="79">
        <v>0</v>
      </c>
      <c r="H389" s="78">
        <v>0</v>
      </c>
      <c r="I389" s="78">
        <v>0</v>
      </c>
      <c r="J389" s="78"/>
    </row>
    <row r="390" spans="1:10" x14ac:dyDescent="0.25">
      <c r="A390" s="78">
        <v>3530130</v>
      </c>
      <c r="B390" s="78" t="s">
        <v>431</v>
      </c>
      <c r="C390" s="78" t="s">
        <v>415</v>
      </c>
      <c r="D390" s="78">
        <v>0</v>
      </c>
      <c r="E390" s="78">
        <v>0</v>
      </c>
      <c r="F390" s="78">
        <v>0</v>
      </c>
      <c r="G390" s="79">
        <v>0</v>
      </c>
      <c r="H390" s="78">
        <v>0</v>
      </c>
      <c r="I390" s="78">
        <v>0</v>
      </c>
      <c r="J390" s="78"/>
    </row>
    <row r="391" spans="1:10" x14ac:dyDescent="0.25">
      <c r="A391" s="78">
        <v>35702282</v>
      </c>
      <c r="B391" s="78" t="s">
        <v>489</v>
      </c>
      <c r="C391" s="78" t="s">
        <v>1018</v>
      </c>
      <c r="D391" s="78">
        <v>0</v>
      </c>
      <c r="E391" s="78">
        <v>0</v>
      </c>
      <c r="F391" s="78">
        <v>0</v>
      </c>
      <c r="G391" s="79">
        <v>0</v>
      </c>
      <c r="H391" s="78">
        <v>0</v>
      </c>
      <c r="I391" s="78">
        <v>0</v>
      </c>
      <c r="J391" s="78"/>
    </row>
    <row r="392" spans="1:10" x14ac:dyDescent="0.25">
      <c r="A392" s="78">
        <v>4020045</v>
      </c>
      <c r="B392" s="78" t="s">
        <v>530</v>
      </c>
      <c r="C392" s="78" t="s">
        <v>35</v>
      </c>
      <c r="D392" s="78">
        <v>0</v>
      </c>
      <c r="E392" s="78">
        <v>0</v>
      </c>
      <c r="F392" s="78">
        <v>0</v>
      </c>
      <c r="G392" s="79">
        <v>0</v>
      </c>
      <c r="H392" s="78">
        <v>0</v>
      </c>
      <c r="I392" s="78">
        <v>0</v>
      </c>
      <c r="J392" s="78"/>
    </row>
    <row r="393" spans="1:10" x14ac:dyDescent="0.25">
      <c r="A393" s="78">
        <v>4020060</v>
      </c>
      <c r="B393" s="78" t="s">
        <v>530</v>
      </c>
      <c r="C393" s="78" t="s">
        <v>531</v>
      </c>
      <c r="D393" s="78">
        <v>0</v>
      </c>
      <c r="E393" s="78">
        <v>0</v>
      </c>
      <c r="F393" s="78">
        <v>0</v>
      </c>
      <c r="G393" s="79">
        <v>0</v>
      </c>
      <c r="H393" s="78">
        <v>0</v>
      </c>
      <c r="I393" s="78">
        <v>0</v>
      </c>
      <c r="J393" s="78"/>
    </row>
    <row r="394" spans="1:10" x14ac:dyDescent="0.25">
      <c r="A394" s="78">
        <v>4040040</v>
      </c>
      <c r="B394" s="78" t="s">
        <v>541</v>
      </c>
      <c r="C394" s="78" t="s">
        <v>542</v>
      </c>
      <c r="D394" s="78">
        <v>0</v>
      </c>
      <c r="E394" s="78">
        <v>0</v>
      </c>
      <c r="F394" s="78">
        <v>0</v>
      </c>
      <c r="G394" s="79">
        <v>0</v>
      </c>
      <c r="H394" s="78">
        <v>0</v>
      </c>
      <c r="I394" s="78">
        <v>0</v>
      </c>
      <c r="J394" s="78"/>
    </row>
    <row r="395" spans="1:10" x14ac:dyDescent="0.25">
      <c r="A395" s="78">
        <v>4040050</v>
      </c>
      <c r="B395" s="78" t="s">
        <v>541</v>
      </c>
      <c r="C395" s="78" t="s">
        <v>531</v>
      </c>
      <c r="D395" s="78">
        <v>0</v>
      </c>
      <c r="E395" s="78">
        <v>0</v>
      </c>
      <c r="F395" s="78">
        <v>0</v>
      </c>
      <c r="G395" s="79">
        <v>0</v>
      </c>
      <c r="H395" s="78">
        <v>0</v>
      </c>
      <c r="I395" s="78">
        <v>0</v>
      </c>
      <c r="J395" s="78"/>
    </row>
    <row r="396" spans="1:10" x14ac:dyDescent="0.25">
      <c r="A396" s="78">
        <v>40901555</v>
      </c>
      <c r="B396" s="78" t="s">
        <v>583</v>
      </c>
      <c r="C396" s="78" t="s">
        <v>1023</v>
      </c>
      <c r="D396" s="78">
        <v>0</v>
      </c>
      <c r="E396" s="78">
        <v>0</v>
      </c>
      <c r="F396" s="78">
        <v>0</v>
      </c>
      <c r="G396" s="79">
        <v>0</v>
      </c>
      <c r="H396" s="78">
        <v>0</v>
      </c>
      <c r="I396" s="78">
        <v>0</v>
      </c>
      <c r="J396" s="78"/>
    </row>
    <row r="397" spans="1:10" x14ac:dyDescent="0.25">
      <c r="A397" s="78">
        <v>4091107</v>
      </c>
      <c r="B397" s="78" t="s">
        <v>583</v>
      </c>
      <c r="C397" s="78" t="s">
        <v>652</v>
      </c>
      <c r="D397" s="78">
        <v>0</v>
      </c>
      <c r="E397" s="78">
        <v>0</v>
      </c>
      <c r="F397" s="78">
        <v>0</v>
      </c>
      <c r="G397" s="79">
        <v>0</v>
      </c>
      <c r="H397" s="78">
        <v>0</v>
      </c>
      <c r="I397" s="78">
        <v>0</v>
      </c>
      <c r="J397" s="78"/>
    </row>
    <row r="398" spans="1:10" x14ac:dyDescent="0.25">
      <c r="A398" s="78">
        <v>5520320</v>
      </c>
      <c r="B398" s="78" t="s">
        <v>738</v>
      </c>
      <c r="C398" s="78" t="s">
        <v>314</v>
      </c>
      <c r="D398" s="78">
        <v>0</v>
      </c>
      <c r="E398" s="78">
        <v>0</v>
      </c>
      <c r="F398" s="78">
        <v>0</v>
      </c>
      <c r="G398" s="79">
        <v>0</v>
      </c>
      <c r="H398" s="78">
        <v>0</v>
      </c>
      <c r="I398" s="78">
        <v>0</v>
      </c>
      <c r="J398" s="78"/>
    </row>
    <row r="399" spans="1:10" x14ac:dyDescent="0.25">
      <c r="A399" s="78">
        <v>6010060</v>
      </c>
      <c r="B399" s="78" t="s">
        <v>741</v>
      </c>
      <c r="C399" s="78" t="s">
        <v>35</v>
      </c>
      <c r="D399" s="78">
        <v>0</v>
      </c>
      <c r="E399" s="78">
        <v>0</v>
      </c>
      <c r="F399" s="78">
        <v>0</v>
      </c>
      <c r="G399" s="79">
        <v>0</v>
      </c>
      <c r="H399" s="78">
        <v>0</v>
      </c>
      <c r="I399" s="78">
        <v>0</v>
      </c>
      <c r="J399" s="78"/>
    </row>
    <row r="400" spans="1:10" x14ac:dyDescent="0.25">
      <c r="A400" s="78">
        <v>60101210</v>
      </c>
      <c r="B400" s="78" t="s">
        <v>741</v>
      </c>
      <c r="C400" s="78" t="s">
        <v>921</v>
      </c>
      <c r="D400" s="78">
        <v>0</v>
      </c>
      <c r="E400" s="78">
        <v>0</v>
      </c>
      <c r="F400" s="78">
        <v>0</v>
      </c>
      <c r="G400" s="79">
        <v>0</v>
      </c>
      <c r="H400" s="78">
        <v>0</v>
      </c>
      <c r="I400" s="78">
        <v>0</v>
      </c>
      <c r="J400" s="78"/>
    </row>
    <row r="401" spans="1:10" x14ac:dyDescent="0.25">
      <c r="A401" s="78">
        <v>6111931</v>
      </c>
      <c r="B401" s="78" t="s">
        <v>802</v>
      </c>
      <c r="C401" s="78" t="s">
        <v>1027</v>
      </c>
      <c r="D401" s="78">
        <v>0</v>
      </c>
      <c r="E401" s="78">
        <v>0</v>
      </c>
      <c r="F401" s="78">
        <v>0</v>
      </c>
      <c r="G401" s="79">
        <v>0</v>
      </c>
      <c r="H401" s="78">
        <v>0</v>
      </c>
      <c r="I401" s="78">
        <v>0</v>
      </c>
      <c r="J401" s="78"/>
    </row>
    <row r="402" spans="1:10" x14ac:dyDescent="0.25">
      <c r="A402" s="78">
        <v>6510120</v>
      </c>
      <c r="B402" s="78" t="s">
        <v>806</v>
      </c>
      <c r="C402" s="78" t="s">
        <v>531</v>
      </c>
      <c r="D402" s="78">
        <v>0</v>
      </c>
      <c r="E402" s="78">
        <v>0</v>
      </c>
      <c r="F402" s="78">
        <v>0</v>
      </c>
      <c r="G402" s="79">
        <v>0</v>
      </c>
      <c r="H402" s="78">
        <v>0</v>
      </c>
      <c r="I402" s="78">
        <v>0</v>
      </c>
      <c r="J402" s="78"/>
    </row>
    <row r="403" spans="1:10" x14ac:dyDescent="0.25">
      <c r="A403" s="78">
        <v>7540030</v>
      </c>
      <c r="B403" s="78" t="s">
        <v>870</v>
      </c>
      <c r="C403" s="78" t="s">
        <v>1030</v>
      </c>
      <c r="D403" s="78">
        <v>0</v>
      </c>
      <c r="E403" s="78">
        <v>0</v>
      </c>
      <c r="F403" s="78">
        <v>0</v>
      </c>
      <c r="G403" s="79">
        <v>0</v>
      </c>
      <c r="H403" s="78">
        <v>0</v>
      </c>
      <c r="I403" s="78">
        <v>0</v>
      </c>
      <c r="J403" s="78"/>
    </row>
    <row r="404" spans="1:10" x14ac:dyDescent="0.25">
      <c r="A404" s="78">
        <v>9811170</v>
      </c>
      <c r="B404" s="78" t="s">
        <v>489</v>
      </c>
      <c r="C404" s="78" t="s">
        <v>194</v>
      </c>
      <c r="D404" s="78">
        <v>0</v>
      </c>
      <c r="E404" s="78">
        <v>0</v>
      </c>
      <c r="F404" s="78">
        <v>0</v>
      </c>
      <c r="G404" s="79">
        <v>0</v>
      </c>
      <c r="H404" s="78">
        <v>0</v>
      </c>
      <c r="I404" s="78">
        <v>0</v>
      </c>
      <c r="J404" s="78"/>
    </row>
    <row r="405" spans="1:10" x14ac:dyDescent="0.25">
      <c r="A405" s="78" t="s">
        <v>1031</v>
      </c>
      <c r="B405" s="78"/>
      <c r="C405" s="78"/>
      <c r="D405" s="78">
        <v>0</v>
      </c>
      <c r="E405" s="78">
        <v>0</v>
      </c>
      <c r="F405" s="78">
        <v>0</v>
      </c>
      <c r="G405" s="79">
        <v>0</v>
      </c>
      <c r="H405" s="78">
        <v>0</v>
      </c>
      <c r="I405" s="78">
        <v>0</v>
      </c>
      <c r="J405" s="78"/>
    </row>
  </sheetData>
  <mergeCells count="1">
    <mergeCell ref="A1:J1"/>
  </mergeCells>
  <printOptions horizontalCentered="1"/>
  <pageMargins left="0.25" right="0.25" top="0.4" bottom="0.4" header="0.5" footer="0.5"/>
  <pageSetup scale="86" fitToHeight="0" orientation="landscape" r:id="rId1"/>
  <headerFooter>
    <oddHeader>&amp;C&amp;BPhysical ROB Count Sheet</oddHeader>
    <oddFooter>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START HERE</vt:lpstr>
      <vt:lpstr>CONTROL</vt:lpstr>
      <vt:lpstr>Stock Report</vt:lpstr>
      <vt:lpstr>PHYSICAL COUNT</vt:lpstr>
      <vt:lpstr>DELIVERY SUMMARY</vt:lpstr>
      <vt:lpstr>MONTH END CALC</vt:lpstr>
      <vt:lpstr>PARTIES</vt:lpstr>
      <vt:lpstr>CURRENCY RATES</vt:lpstr>
      <vt:lpstr>'ROB PRINT'!Print_Area</vt:lpstr>
      <vt:lpstr>'ROB PRINT'!Print_Titles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Ameya.Paranjpe</dc:creator>
  <cp:lastModifiedBy>Bridge</cp:lastModifiedBy>
  <dcterms:created xsi:type="dcterms:W3CDTF">2025-10-15T16:55:42Z</dcterms:created>
  <dcterms:modified xsi:type="dcterms:W3CDTF">2026-10-01T19:35:11Z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1033-9.1.0.4550</vt:lpwstr>
  </property>
  <property fmtid="{D5CDD505-2E9C-101B-9397-08002B2CF9AE}" pid="3" name="MSIP_Label_272c5b44-6cdc-445f-afa2-937f8dbe5ac7_Enabled">
    <vt:lpwstr>true</vt:lpwstr>
  </property>
  <property fmtid="{D5CDD505-2E9C-101B-9397-08002B2CF9AE}" pid="4" name="MSIP_Label_272c5b44-6cdc-445f-afa2-937f8dbe5ac7_SetDate">
    <vt:lpwstr>2026-09-22T12:13:41Z</vt:lpwstr>
  </property>
  <property fmtid="{D5CDD505-2E9C-101B-9397-08002B2CF9AE}" pid="5" name="MSIP_Label_272c5b44-6cdc-445f-afa2-937f8dbe5ac7_Method">
    <vt:lpwstr>Standard</vt:lpwstr>
  </property>
  <property fmtid="{D5CDD505-2E9C-101B-9397-08002B2CF9AE}" pid="6" name="MSIP_Label_272c5b44-6cdc-445f-afa2-937f8dbe5ac7_Name">
    <vt:lpwstr>Internal Only [Marked]</vt:lpwstr>
  </property>
  <property fmtid="{D5CDD505-2E9C-101B-9397-08002B2CF9AE}" pid="7" name="MSIP_Label_272c5b44-6cdc-445f-afa2-937f8dbe5ac7_SiteId">
    <vt:lpwstr>ecbee5ca-a1e4-4d4e-9c24-621b2df3f698</vt:lpwstr>
  </property>
  <property fmtid="{D5CDD505-2E9C-101B-9397-08002B2CF9AE}" pid="8" name="MSIP_Label_272c5b44-6cdc-445f-afa2-937f8dbe5ac7_ActionId">
    <vt:lpwstr>a7ad09aa-c1c4-4ac2-bd11-621792a0976d</vt:lpwstr>
  </property>
  <property fmtid="{D5CDD505-2E9C-101B-9397-08002B2CF9AE}" pid="9" name="MSIP_Label_272c5b44-6cdc-445f-afa2-937f8dbe5ac7_ContentBits">
    <vt:lpwstr>2</vt:lpwstr>
  </property>
  <property fmtid="{D5CDD505-2E9C-101B-9397-08002B2CF9AE}" pid="10" name="MSIP_Label_272c5b44-6cdc-445f-afa2-937f8dbe5ac7_Tag">
    <vt:lpwstr>10, 3, 0, 1</vt:lpwstr>
  </property>
</Properties>
</file>